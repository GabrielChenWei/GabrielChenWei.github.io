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gabrielchen\Desktop\NTU Gantt\"/>
    </mc:Choice>
  </mc:AlternateContent>
  <bookViews>
    <workbookView xWindow="-120" yWindow="-120" windowWidth="20730" windowHeight="11160" tabRatio="860" activeTab="2"/>
  </bookViews>
  <sheets>
    <sheet name="Dashboard" sheetId="5" r:id="rId1"/>
    <sheet name="visjs Group" sheetId="19" r:id="rId2"/>
    <sheet name="visjs Item" sheetId="20" r:id="rId3"/>
    <sheet name="VA WP4 content" sheetId="18" r:id="rId4"/>
    <sheet name="Stakeholder" sheetId="2" r:id="rId5"/>
    <sheet name="Ref" sheetId="3" r:id="rId6"/>
  </sheets>
  <functionGroups builtInGroupCount="18"/>
  <definedNames>
    <definedName name="_xlnm._FilterDatabase" localSheetId="0" hidden="1">Dashboard!$A$3:$Q$139</definedName>
    <definedName name="_xlnm._FilterDatabase" localSheetId="1" hidden="1">'visjs Group'!$L$1:$L$1115</definedName>
    <definedName name="_xlnm._FilterDatabase" localSheetId="2" hidden="1">'visjs Item'!$C$1:$T$417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6" i="5" l="1"/>
  <c r="S417" i="20"/>
  <c r="R5" i="20" l="1"/>
  <c r="R6" i="20" s="1"/>
  <c r="R7" i="20" s="1"/>
  <c r="R8" i="20" s="1"/>
  <c r="R9" i="20" s="1"/>
  <c r="R10" i="20" s="1"/>
  <c r="R11" i="20" s="1"/>
  <c r="R12" i="20" s="1"/>
  <c r="R13" i="20" s="1"/>
  <c r="R14" i="20" s="1"/>
  <c r="R15" i="20" s="1"/>
  <c r="R16" i="20" s="1"/>
  <c r="R17" i="20" s="1"/>
  <c r="R18" i="20" s="1"/>
  <c r="R19" i="20" s="1"/>
  <c r="R20" i="20" s="1"/>
  <c r="R21" i="20" s="1"/>
  <c r="R22" i="20" s="1"/>
  <c r="R23" i="20" s="1"/>
  <c r="R24" i="20" s="1"/>
  <c r="R25" i="20" s="1"/>
  <c r="R26" i="20" s="1"/>
  <c r="R27" i="20" s="1"/>
  <c r="R28" i="20" s="1"/>
  <c r="R29" i="20" s="1"/>
  <c r="R30" i="20" s="1"/>
  <c r="R31" i="20" s="1"/>
  <c r="R32" i="20" s="1"/>
  <c r="R33" i="20" s="1"/>
  <c r="R34" i="20" s="1"/>
  <c r="R35" i="20" s="1"/>
  <c r="R36" i="20" s="1"/>
  <c r="R37" i="20" s="1"/>
  <c r="R38" i="20" s="1"/>
  <c r="R39" i="20" s="1"/>
  <c r="R40" i="20" s="1"/>
  <c r="R41" i="20" s="1"/>
  <c r="R42" i="20" s="1"/>
  <c r="R43" i="20" s="1"/>
  <c r="R44" i="20" s="1"/>
  <c r="R45" i="20" s="1"/>
  <c r="R46" i="20" s="1"/>
  <c r="R47" i="20" s="1"/>
  <c r="R48" i="20" s="1"/>
  <c r="R49" i="20" s="1"/>
  <c r="R50" i="20" s="1"/>
  <c r="R51" i="20" s="1"/>
  <c r="R52" i="20" s="1"/>
  <c r="R53" i="20" s="1"/>
  <c r="R54" i="20" s="1"/>
  <c r="R55" i="20" s="1"/>
  <c r="R56" i="20" s="1"/>
  <c r="R57" i="20" s="1"/>
  <c r="R58" i="20" s="1"/>
  <c r="R59" i="20" s="1"/>
  <c r="R60" i="20" s="1"/>
  <c r="R61" i="20" s="1"/>
  <c r="R62" i="20" s="1"/>
  <c r="R63" i="20" s="1"/>
  <c r="R64" i="20" s="1"/>
  <c r="R65" i="20" s="1"/>
  <c r="R66" i="20" s="1"/>
  <c r="R67" i="20" s="1"/>
  <c r="R68" i="20" s="1"/>
  <c r="R69" i="20" s="1"/>
  <c r="R70" i="20" s="1"/>
  <c r="R71" i="20" s="1"/>
  <c r="R72" i="20" s="1"/>
  <c r="R73" i="20" s="1"/>
  <c r="R74" i="20" s="1"/>
  <c r="R75" i="20" s="1"/>
  <c r="R76" i="20" s="1"/>
  <c r="R77" i="20" s="1"/>
  <c r="R78" i="20" s="1"/>
  <c r="R79" i="20" s="1"/>
  <c r="R80" i="20" s="1"/>
  <c r="R81" i="20" s="1"/>
  <c r="R82" i="20" s="1"/>
  <c r="R83" i="20" s="1"/>
  <c r="R84" i="20" s="1"/>
  <c r="R85" i="20" s="1"/>
  <c r="R86" i="20" s="1"/>
  <c r="R87" i="20" s="1"/>
  <c r="R88" i="20" s="1"/>
  <c r="R89" i="20" s="1"/>
  <c r="R90" i="20" s="1"/>
  <c r="R91" i="20" s="1"/>
  <c r="R92" i="20" s="1"/>
  <c r="R93" i="20" s="1"/>
  <c r="R94" i="20" s="1"/>
  <c r="R95" i="20" s="1"/>
  <c r="R96" i="20" s="1"/>
  <c r="R97" i="20" s="1"/>
  <c r="R98" i="20" s="1"/>
  <c r="R99" i="20" s="1"/>
  <c r="R100" i="20" s="1"/>
  <c r="R101" i="20" s="1"/>
  <c r="R102" i="20" s="1"/>
  <c r="R103" i="20" s="1"/>
  <c r="R104" i="20" s="1"/>
  <c r="R105" i="20" s="1"/>
  <c r="R106" i="20" s="1"/>
  <c r="R107" i="20" s="1"/>
  <c r="R108" i="20" s="1"/>
  <c r="R109" i="20" s="1"/>
  <c r="R110" i="20" s="1"/>
  <c r="R111" i="20" s="1"/>
  <c r="R112" i="20" s="1"/>
  <c r="R113" i="20" s="1"/>
  <c r="R114" i="20" s="1"/>
  <c r="R115" i="20" s="1"/>
  <c r="R116" i="20" s="1"/>
  <c r="R117" i="20" s="1"/>
  <c r="R118" i="20" s="1"/>
  <c r="R119" i="20" s="1"/>
  <c r="R120" i="20" s="1"/>
  <c r="R121" i="20" s="1"/>
  <c r="R122" i="20" s="1"/>
  <c r="R123" i="20" s="1"/>
  <c r="R124" i="20" s="1"/>
  <c r="R125" i="20" s="1"/>
  <c r="R126" i="20" s="1"/>
  <c r="R127" i="20" s="1"/>
  <c r="R128" i="20" s="1"/>
  <c r="R129" i="20" s="1"/>
  <c r="R130" i="20" s="1"/>
  <c r="R131" i="20" s="1"/>
  <c r="R132" i="20" s="1"/>
  <c r="R133" i="20" s="1"/>
  <c r="R134" i="20" s="1"/>
  <c r="R135" i="20" s="1"/>
  <c r="R136" i="20" s="1"/>
  <c r="R137" i="20" s="1"/>
  <c r="R138" i="20" s="1"/>
  <c r="R139" i="20" s="1"/>
  <c r="R140" i="20" s="1"/>
  <c r="R141" i="20" s="1"/>
  <c r="R142" i="20" s="1"/>
  <c r="R143" i="20" s="1"/>
  <c r="R144" i="20" s="1"/>
  <c r="R145" i="20" s="1"/>
  <c r="R146" i="20" s="1"/>
  <c r="R147" i="20" s="1"/>
  <c r="R148" i="20" s="1"/>
  <c r="R149" i="20" s="1"/>
  <c r="R150" i="20" s="1"/>
  <c r="R151" i="20" s="1"/>
  <c r="R152" i="20" s="1"/>
  <c r="R153" i="20" s="1"/>
  <c r="R154" i="20" s="1"/>
  <c r="R155" i="20" s="1"/>
  <c r="R156" i="20" s="1"/>
  <c r="R157" i="20" s="1"/>
  <c r="R158" i="20" s="1"/>
  <c r="R159" i="20" s="1"/>
  <c r="R160" i="20" s="1"/>
  <c r="R161" i="20" s="1"/>
  <c r="R162" i="20" s="1"/>
  <c r="R163" i="20" s="1"/>
  <c r="R164" i="20" s="1"/>
  <c r="R165" i="20" s="1"/>
  <c r="R166" i="20" s="1"/>
  <c r="R167" i="20" s="1"/>
  <c r="R168" i="20" s="1"/>
  <c r="R169" i="20" s="1"/>
  <c r="R170" i="20" s="1"/>
  <c r="R171" i="20" s="1"/>
  <c r="R172" i="20" s="1"/>
  <c r="R173" i="20" s="1"/>
  <c r="R174" i="20" s="1"/>
  <c r="R175" i="20" s="1"/>
  <c r="R176" i="20" s="1"/>
  <c r="R177" i="20" s="1"/>
  <c r="R178" i="20" s="1"/>
  <c r="R179" i="20" s="1"/>
  <c r="R180" i="20" s="1"/>
  <c r="R181" i="20" s="1"/>
  <c r="R182" i="20" s="1"/>
  <c r="R183" i="20" s="1"/>
  <c r="R184" i="20" s="1"/>
  <c r="R185" i="20" s="1"/>
  <c r="R186" i="20" s="1"/>
  <c r="R187" i="20" s="1"/>
  <c r="R188" i="20" s="1"/>
  <c r="R189" i="20" s="1"/>
  <c r="R190" i="20" s="1"/>
  <c r="R191" i="20" s="1"/>
  <c r="R192" i="20" s="1"/>
  <c r="R193" i="20" s="1"/>
  <c r="R194" i="20" s="1"/>
  <c r="R195" i="20" s="1"/>
  <c r="R196" i="20" s="1"/>
  <c r="R197" i="20" s="1"/>
  <c r="R198" i="20" s="1"/>
  <c r="R199" i="20" s="1"/>
  <c r="R200" i="20" s="1"/>
  <c r="R201" i="20" s="1"/>
  <c r="R202" i="20" s="1"/>
  <c r="R203" i="20" s="1"/>
  <c r="R204" i="20" s="1"/>
  <c r="R205" i="20" s="1"/>
  <c r="R206" i="20" s="1"/>
  <c r="R207" i="20" s="1"/>
  <c r="R208" i="20" s="1"/>
  <c r="R209" i="20" s="1"/>
  <c r="R210" i="20" s="1"/>
  <c r="R211" i="20" s="1"/>
  <c r="R212" i="20" s="1"/>
  <c r="R213" i="20" s="1"/>
  <c r="R214" i="20" s="1"/>
  <c r="R215" i="20" s="1"/>
  <c r="R216" i="20" s="1"/>
  <c r="R217" i="20" s="1"/>
  <c r="R218" i="20" s="1"/>
  <c r="R219" i="20" s="1"/>
  <c r="R220" i="20" s="1"/>
  <c r="R221" i="20" s="1"/>
  <c r="R222" i="20" s="1"/>
  <c r="R223" i="20" s="1"/>
  <c r="R224" i="20" s="1"/>
  <c r="R225" i="20" s="1"/>
  <c r="R226" i="20" s="1"/>
  <c r="R227" i="20" s="1"/>
  <c r="R228" i="20" s="1"/>
  <c r="R229" i="20" s="1"/>
  <c r="R230" i="20" s="1"/>
  <c r="R231" i="20" s="1"/>
  <c r="R232" i="20" s="1"/>
  <c r="R233" i="20" s="1"/>
  <c r="R234" i="20" s="1"/>
  <c r="R235" i="20" s="1"/>
  <c r="R236" i="20" s="1"/>
  <c r="R237" i="20" s="1"/>
  <c r="R238" i="20" s="1"/>
  <c r="R239" i="20" s="1"/>
  <c r="R240" i="20" s="1"/>
  <c r="R241" i="20" s="1"/>
  <c r="R242" i="20" s="1"/>
  <c r="R243" i="20" s="1"/>
  <c r="R244" i="20" s="1"/>
  <c r="R245" i="20" s="1"/>
  <c r="R246" i="20" s="1"/>
  <c r="R247" i="20" s="1"/>
  <c r="R248" i="20" s="1"/>
  <c r="R249" i="20" s="1"/>
  <c r="R250" i="20" s="1"/>
  <c r="R251" i="20" s="1"/>
  <c r="R252" i="20" s="1"/>
  <c r="R253" i="20" s="1"/>
  <c r="R254" i="20" s="1"/>
  <c r="R255" i="20" s="1"/>
  <c r="R256" i="20" s="1"/>
  <c r="R257" i="20" s="1"/>
  <c r="R258" i="20" s="1"/>
  <c r="R259" i="20" s="1"/>
  <c r="R260" i="20" s="1"/>
  <c r="R261" i="20" s="1"/>
  <c r="R262" i="20" s="1"/>
  <c r="R263" i="20" s="1"/>
  <c r="R264" i="20" s="1"/>
  <c r="R265" i="20" s="1"/>
  <c r="R266" i="20" s="1"/>
  <c r="R267" i="20" s="1"/>
  <c r="R268" i="20" s="1"/>
  <c r="R269" i="20" s="1"/>
  <c r="R270" i="20" s="1"/>
  <c r="R271" i="20" s="1"/>
  <c r="R272" i="20" s="1"/>
  <c r="R273" i="20" s="1"/>
  <c r="R274" i="20" s="1"/>
  <c r="R275" i="20" s="1"/>
  <c r="R276" i="20" s="1"/>
  <c r="R277" i="20" s="1"/>
  <c r="R278" i="20" s="1"/>
  <c r="R279" i="20" s="1"/>
  <c r="R280" i="20" s="1"/>
  <c r="R281" i="20" s="1"/>
  <c r="R282" i="20" s="1"/>
  <c r="R283" i="20" s="1"/>
  <c r="R284" i="20" s="1"/>
  <c r="R285" i="20" s="1"/>
  <c r="R286" i="20" s="1"/>
  <c r="R287" i="20" s="1"/>
  <c r="R288" i="20" s="1"/>
  <c r="R289" i="20" s="1"/>
  <c r="R290" i="20" s="1"/>
  <c r="R291" i="20" s="1"/>
  <c r="R292" i="20" s="1"/>
  <c r="R293" i="20" s="1"/>
  <c r="R294" i="20" s="1"/>
  <c r="R295" i="20" s="1"/>
  <c r="R296" i="20" s="1"/>
  <c r="R297" i="20" s="1"/>
  <c r="R298" i="20" s="1"/>
  <c r="R299" i="20" s="1"/>
  <c r="R300" i="20" s="1"/>
  <c r="R301" i="20" s="1"/>
  <c r="R302" i="20" s="1"/>
  <c r="R303" i="20" s="1"/>
  <c r="R304" i="20" s="1"/>
  <c r="R305" i="20" s="1"/>
  <c r="R306" i="20" s="1"/>
  <c r="R307" i="20" s="1"/>
  <c r="R308" i="20" s="1"/>
  <c r="R309" i="20" s="1"/>
  <c r="R310" i="20" s="1"/>
  <c r="R311" i="20" s="1"/>
  <c r="R312" i="20" s="1"/>
  <c r="R313" i="20" s="1"/>
  <c r="R314" i="20" s="1"/>
  <c r="R315" i="20" s="1"/>
  <c r="R316" i="20" s="1"/>
  <c r="R317" i="20" s="1"/>
  <c r="R318" i="20" s="1"/>
  <c r="R319" i="20" s="1"/>
  <c r="R320" i="20" s="1"/>
  <c r="R321" i="20" s="1"/>
  <c r="R322" i="20" s="1"/>
  <c r="R323" i="20" s="1"/>
  <c r="R324" i="20" s="1"/>
  <c r="R325" i="20" s="1"/>
  <c r="R326" i="20" s="1"/>
  <c r="R327" i="20" s="1"/>
  <c r="R328" i="20" s="1"/>
  <c r="R329" i="20" s="1"/>
  <c r="R330" i="20" s="1"/>
  <c r="R331" i="20" s="1"/>
  <c r="R332" i="20" s="1"/>
  <c r="R333" i="20" s="1"/>
  <c r="R334" i="20" s="1"/>
  <c r="R335" i="20" s="1"/>
  <c r="R336" i="20" s="1"/>
  <c r="R337" i="20" s="1"/>
  <c r="R338" i="20" s="1"/>
  <c r="R339" i="20" s="1"/>
  <c r="R340" i="20" s="1"/>
  <c r="R341" i="20" s="1"/>
  <c r="R342" i="20" s="1"/>
  <c r="R343" i="20" s="1"/>
  <c r="R344" i="20" s="1"/>
  <c r="R345" i="20" s="1"/>
  <c r="R346" i="20" s="1"/>
  <c r="R347" i="20" s="1"/>
  <c r="R348" i="20" s="1"/>
  <c r="R349" i="20" s="1"/>
  <c r="R350" i="20" s="1"/>
  <c r="R351" i="20" s="1"/>
  <c r="R352" i="20" s="1"/>
  <c r="R353" i="20" s="1"/>
  <c r="R354" i="20" s="1"/>
  <c r="R355" i="20" s="1"/>
  <c r="R356" i="20" s="1"/>
  <c r="R357" i="20" s="1"/>
  <c r="R358" i="20" s="1"/>
  <c r="R359" i="20" s="1"/>
  <c r="R360" i="20" s="1"/>
  <c r="R361" i="20" s="1"/>
  <c r="R362" i="20" s="1"/>
  <c r="R363" i="20" s="1"/>
  <c r="R364" i="20" s="1"/>
  <c r="R365" i="20" s="1"/>
  <c r="R366" i="20" s="1"/>
  <c r="R367" i="20" s="1"/>
  <c r="R368" i="20" s="1"/>
  <c r="R369" i="20" s="1"/>
  <c r="R370" i="20" s="1"/>
  <c r="R371" i="20" s="1"/>
  <c r="R372" i="20" s="1"/>
  <c r="R373" i="20" s="1"/>
  <c r="R374" i="20" s="1"/>
  <c r="R375" i="20" s="1"/>
  <c r="R376" i="20" s="1"/>
  <c r="R377" i="20" s="1"/>
  <c r="R378" i="20" s="1"/>
  <c r="R379" i="20" s="1"/>
  <c r="R380" i="20" s="1"/>
  <c r="R381" i="20" s="1"/>
  <c r="R382" i="20" s="1"/>
  <c r="R383" i="20" s="1"/>
  <c r="R384" i="20" s="1"/>
  <c r="R385" i="20" s="1"/>
  <c r="R386" i="20" s="1"/>
  <c r="R387" i="20" s="1"/>
  <c r="R388" i="20" s="1"/>
  <c r="R389" i="20" s="1"/>
  <c r="R390" i="20" s="1"/>
  <c r="R391" i="20" s="1"/>
  <c r="R392" i="20" s="1"/>
  <c r="R393" i="20" s="1"/>
  <c r="R394" i="20" s="1"/>
  <c r="R395" i="20" s="1"/>
  <c r="R396" i="20" s="1"/>
  <c r="R397" i="20" s="1"/>
  <c r="R398" i="20" s="1"/>
  <c r="R399" i="20" s="1"/>
  <c r="R400" i="20" s="1"/>
  <c r="R401" i="20" s="1"/>
  <c r="R402" i="20" s="1"/>
  <c r="R403" i="20" s="1"/>
  <c r="R404" i="20" s="1"/>
  <c r="R405" i="20" s="1"/>
  <c r="R406" i="20" s="1"/>
  <c r="R407" i="20" s="1"/>
  <c r="R408" i="20" s="1"/>
  <c r="R409" i="20" s="1"/>
  <c r="R410" i="20" s="1"/>
  <c r="R411" i="20" s="1"/>
  <c r="R412" i="20" s="1"/>
  <c r="R413" i="20" s="1"/>
  <c r="R414" i="20" s="1"/>
  <c r="R415" i="20" s="1"/>
  <c r="R416" i="20" s="1"/>
  <c r="R417" i="20" s="1"/>
  <c r="P5" i="20"/>
  <c r="P6" i="20" s="1"/>
  <c r="P7" i="20" s="1"/>
  <c r="P8" i="20" s="1"/>
  <c r="P9" i="20" s="1"/>
  <c r="P10" i="20" s="1"/>
  <c r="P11" i="20" s="1"/>
  <c r="P12" i="20" s="1"/>
  <c r="P13" i="20" s="1"/>
  <c r="P14" i="20" s="1"/>
  <c r="P15" i="20" s="1"/>
  <c r="P16" i="20" s="1"/>
  <c r="P17" i="20" s="1"/>
  <c r="P18" i="20" s="1"/>
  <c r="P19" i="20" s="1"/>
  <c r="P20" i="20" s="1"/>
  <c r="P21" i="20" s="1"/>
  <c r="P22" i="20" s="1"/>
  <c r="P23" i="20" s="1"/>
  <c r="P24" i="20" s="1"/>
  <c r="P25" i="20" s="1"/>
  <c r="P26" i="20" s="1"/>
  <c r="P27" i="20" s="1"/>
  <c r="P28" i="20" s="1"/>
  <c r="P29" i="20" s="1"/>
  <c r="P30" i="20" s="1"/>
  <c r="P31" i="20" s="1"/>
  <c r="P32" i="20" s="1"/>
  <c r="P33" i="20" s="1"/>
  <c r="P34" i="20" s="1"/>
  <c r="P35" i="20" s="1"/>
  <c r="P36" i="20" s="1"/>
  <c r="P37" i="20" s="1"/>
  <c r="P38" i="20" s="1"/>
  <c r="P39" i="20" s="1"/>
  <c r="P40" i="20" s="1"/>
  <c r="P41" i="20" s="1"/>
  <c r="P42" i="20" s="1"/>
  <c r="P43" i="20" s="1"/>
  <c r="P44" i="20" s="1"/>
  <c r="P45" i="20" s="1"/>
  <c r="P46" i="20" s="1"/>
  <c r="P47" i="20" s="1"/>
  <c r="P48" i="20" s="1"/>
  <c r="P49" i="20" s="1"/>
  <c r="P50" i="20" s="1"/>
  <c r="P51" i="20" s="1"/>
  <c r="P52" i="20" s="1"/>
  <c r="P53" i="20" s="1"/>
  <c r="P54" i="20" s="1"/>
  <c r="P55" i="20" s="1"/>
  <c r="P56" i="20" s="1"/>
  <c r="P57" i="20" s="1"/>
  <c r="P58" i="20" s="1"/>
  <c r="P59" i="20" s="1"/>
  <c r="P60" i="20" s="1"/>
  <c r="P61" i="20" s="1"/>
  <c r="P62" i="20" s="1"/>
  <c r="P63" i="20" s="1"/>
  <c r="P64" i="20" s="1"/>
  <c r="P65" i="20" s="1"/>
  <c r="P66" i="20" s="1"/>
  <c r="P67" i="20" s="1"/>
  <c r="P68" i="20" s="1"/>
  <c r="P69" i="20" s="1"/>
  <c r="P70" i="20" s="1"/>
  <c r="P71" i="20" s="1"/>
  <c r="P72" i="20" s="1"/>
  <c r="P73" i="20" s="1"/>
  <c r="P74" i="20" s="1"/>
  <c r="P75" i="20" s="1"/>
  <c r="P76" i="20" s="1"/>
  <c r="P77" i="20" s="1"/>
  <c r="P78" i="20" s="1"/>
  <c r="P79" i="20" s="1"/>
  <c r="P80" i="20" s="1"/>
  <c r="P81" i="20" s="1"/>
  <c r="P82" i="20" s="1"/>
  <c r="P83" i="20" s="1"/>
  <c r="P84" i="20" s="1"/>
  <c r="P85" i="20" s="1"/>
  <c r="P86" i="20" s="1"/>
  <c r="P87" i="20" s="1"/>
  <c r="P88" i="20" s="1"/>
  <c r="P89" i="20" s="1"/>
  <c r="P90" i="20" s="1"/>
  <c r="P91" i="20" s="1"/>
  <c r="P92" i="20" s="1"/>
  <c r="P93" i="20" s="1"/>
  <c r="P94" i="20" s="1"/>
  <c r="P95" i="20" s="1"/>
  <c r="P96" i="20" s="1"/>
  <c r="P97" i="20" s="1"/>
  <c r="P98" i="20" s="1"/>
  <c r="P99" i="20" s="1"/>
  <c r="P100" i="20" s="1"/>
  <c r="P101" i="20" s="1"/>
  <c r="P102" i="20" s="1"/>
  <c r="P103" i="20" s="1"/>
  <c r="P104" i="20" s="1"/>
  <c r="P105" i="20" s="1"/>
  <c r="P106" i="20" s="1"/>
  <c r="P107" i="20" s="1"/>
  <c r="P108" i="20" s="1"/>
  <c r="P109" i="20" s="1"/>
  <c r="P110" i="20" s="1"/>
  <c r="P111" i="20" s="1"/>
  <c r="P112" i="20" s="1"/>
  <c r="P113" i="20" s="1"/>
  <c r="P114" i="20" s="1"/>
  <c r="P115" i="20" s="1"/>
  <c r="P116" i="20" s="1"/>
  <c r="P117" i="20" s="1"/>
  <c r="P118" i="20" s="1"/>
  <c r="P119" i="20" s="1"/>
  <c r="P120" i="20" s="1"/>
  <c r="P121" i="20" s="1"/>
  <c r="P122" i="20" s="1"/>
  <c r="P123" i="20" s="1"/>
  <c r="P124" i="20" s="1"/>
  <c r="P125" i="20" s="1"/>
  <c r="P126" i="20" s="1"/>
  <c r="P127" i="20" s="1"/>
  <c r="P128" i="20" s="1"/>
  <c r="P129" i="20" s="1"/>
  <c r="P130" i="20" s="1"/>
  <c r="P131" i="20" s="1"/>
  <c r="P132" i="20" s="1"/>
  <c r="P133" i="20" s="1"/>
  <c r="P134" i="20" s="1"/>
  <c r="P135" i="20" s="1"/>
  <c r="P136" i="20" s="1"/>
  <c r="P137" i="20" s="1"/>
  <c r="P138" i="20" s="1"/>
  <c r="P139" i="20" s="1"/>
  <c r="P140" i="20" s="1"/>
  <c r="P141" i="20" s="1"/>
  <c r="P142" i="20" s="1"/>
  <c r="P143" i="20" s="1"/>
  <c r="P144" i="20" s="1"/>
  <c r="P145" i="20" s="1"/>
  <c r="P146" i="20" s="1"/>
  <c r="P147" i="20" s="1"/>
  <c r="P148" i="20" s="1"/>
  <c r="P149" i="20" s="1"/>
  <c r="P150" i="20" s="1"/>
  <c r="P151" i="20" s="1"/>
  <c r="P152" i="20" s="1"/>
  <c r="P153" i="20" s="1"/>
  <c r="P154" i="20" s="1"/>
  <c r="P155" i="20" s="1"/>
  <c r="P156" i="20" s="1"/>
  <c r="P157" i="20" s="1"/>
  <c r="P158" i="20" s="1"/>
  <c r="P159" i="20" s="1"/>
  <c r="P160" i="20" s="1"/>
  <c r="P161" i="20" s="1"/>
  <c r="P162" i="20" s="1"/>
  <c r="P163" i="20" s="1"/>
  <c r="P164" i="20" s="1"/>
  <c r="P165" i="20" s="1"/>
  <c r="P166" i="20" s="1"/>
  <c r="P167" i="20" s="1"/>
  <c r="P168" i="20" s="1"/>
  <c r="P169" i="20" s="1"/>
  <c r="P170" i="20" s="1"/>
  <c r="P171" i="20" s="1"/>
  <c r="P172" i="20" s="1"/>
  <c r="P173" i="20" s="1"/>
  <c r="P174" i="20" s="1"/>
  <c r="P175" i="20" s="1"/>
  <c r="P176" i="20" s="1"/>
  <c r="P177" i="20" s="1"/>
  <c r="P178" i="20" s="1"/>
  <c r="P179" i="20" s="1"/>
  <c r="P180" i="20" s="1"/>
  <c r="P181" i="20" s="1"/>
  <c r="P182" i="20" s="1"/>
  <c r="P183" i="20" s="1"/>
  <c r="P184" i="20" s="1"/>
  <c r="P185" i="20" s="1"/>
  <c r="P186" i="20" s="1"/>
  <c r="P187" i="20" s="1"/>
  <c r="P188" i="20" s="1"/>
  <c r="P189" i="20" s="1"/>
  <c r="P190" i="20" s="1"/>
  <c r="P191" i="20" s="1"/>
  <c r="P192" i="20" s="1"/>
  <c r="P193" i="20" s="1"/>
  <c r="P194" i="20" s="1"/>
  <c r="P195" i="20" s="1"/>
  <c r="P196" i="20" s="1"/>
  <c r="P197" i="20" s="1"/>
  <c r="P198" i="20" s="1"/>
  <c r="P199" i="20" s="1"/>
  <c r="P200" i="20" s="1"/>
  <c r="P201" i="20" s="1"/>
  <c r="P202" i="20" s="1"/>
  <c r="P203" i="20" s="1"/>
  <c r="P204" i="20" s="1"/>
  <c r="P205" i="20" s="1"/>
  <c r="P206" i="20" s="1"/>
  <c r="P207" i="20" s="1"/>
  <c r="P208" i="20" s="1"/>
  <c r="P209" i="20" s="1"/>
  <c r="P210" i="20" s="1"/>
  <c r="P211" i="20" s="1"/>
  <c r="P212" i="20" s="1"/>
  <c r="P213" i="20" s="1"/>
  <c r="P214" i="20" s="1"/>
  <c r="P215" i="20" s="1"/>
  <c r="P216" i="20" s="1"/>
  <c r="P217" i="20" s="1"/>
  <c r="P218" i="20" s="1"/>
  <c r="P219" i="20" s="1"/>
  <c r="P220" i="20" s="1"/>
  <c r="P221" i="20" s="1"/>
  <c r="P222" i="20" s="1"/>
  <c r="P223" i="20" s="1"/>
  <c r="P224" i="20" s="1"/>
  <c r="P225" i="20" s="1"/>
  <c r="P226" i="20" s="1"/>
  <c r="P227" i="20" s="1"/>
  <c r="P228" i="20" s="1"/>
  <c r="P229" i="20" s="1"/>
  <c r="P230" i="20" s="1"/>
  <c r="P231" i="20" s="1"/>
  <c r="P232" i="20" s="1"/>
  <c r="P233" i="20" s="1"/>
  <c r="P234" i="20" s="1"/>
  <c r="P235" i="20" s="1"/>
  <c r="P236" i="20" s="1"/>
  <c r="P237" i="20" s="1"/>
  <c r="P238" i="20" s="1"/>
  <c r="P239" i="20" s="1"/>
  <c r="P240" i="20" s="1"/>
  <c r="P241" i="20" s="1"/>
  <c r="P242" i="20" s="1"/>
  <c r="P243" i="20" s="1"/>
  <c r="P244" i="20" s="1"/>
  <c r="P245" i="20" s="1"/>
  <c r="P246" i="20" s="1"/>
  <c r="P247" i="20" s="1"/>
  <c r="P248" i="20" s="1"/>
  <c r="P249" i="20" s="1"/>
  <c r="P250" i="20" s="1"/>
  <c r="P251" i="20" s="1"/>
  <c r="P252" i="20" s="1"/>
  <c r="P253" i="20" s="1"/>
  <c r="P254" i="20" s="1"/>
  <c r="P255" i="20" s="1"/>
  <c r="P256" i="20" s="1"/>
  <c r="P257" i="20" s="1"/>
  <c r="P258" i="20" s="1"/>
  <c r="P259" i="20" s="1"/>
  <c r="P260" i="20" s="1"/>
  <c r="P261" i="20" s="1"/>
  <c r="P262" i="20" s="1"/>
  <c r="P263" i="20" s="1"/>
  <c r="P264" i="20" s="1"/>
  <c r="P265" i="20" s="1"/>
  <c r="P266" i="20" s="1"/>
  <c r="P267" i="20" s="1"/>
  <c r="P268" i="20" s="1"/>
  <c r="P269" i="20" s="1"/>
  <c r="P270" i="20" s="1"/>
  <c r="P271" i="20" s="1"/>
  <c r="P272" i="20" s="1"/>
  <c r="P273" i="20" s="1"/>
  <c r="P274" i="20" s="1"/>
  <c r="P275" i="20" s="1"/>
  <c r="P276" i="20" s="1"/>
  <c r="P277" i="20" s="1"/>
  <c r="P278" i="20" s="1"/>
  <c r="P279" i="20" s="1"/>
  <c r="P280" i="20" s="1"/>
  <c r="P281" i="20" s="1"/>
  <c r="P282" i="20" s="1"/>
  <c r="P283" i="20" s="1"/>
  <c r="P284" i="20" s="1"/>
  <c r="P285" i="20" s="1"/>
  <c r="P286" i="20" s="1"/>
  <c r="P287" i="20" s="1"/>
  <c r="P288" i="20" s="1"/>
  <c r="P289" i="20" s="1"/>
  <c r="P290" i="20" s="1"/>
  <c r="P291" i="20" s="1"/>
  <c r="P292" i="20" s="1"/>
  <c r="P293" i="20" s="1"/>
  <c r="P294" i="20" s="1"/>
  <c r="P295" i="20" s="1"/>
  <c r="P296" i="20" s="1"/>
  <c r="P297" i="20" s="1"/>
  <c r="P298" i="20" s="1"/>
  <c r="P299" i="20" s="1"/>
  <c r="P300" i="20" s="1"/>
  <c r="P301" i="20" s="1"/>
  <c r="P302" i="20" s="1"/>
  <c r="P303" i="20" s="1"/>
  <c r="P304" i="20" s="1"/>
  <c r="P305" i="20" s="1"/>
  <c r="P306" i="20" s="1"/>
  <c r="P307" i="20" s="1"/>
  <c r="P308" i="20" s="1"/>
  <c r="P309" i="20" s="1"/>
  <c r="P310" i="20" s="1"/>
  <c r="P311" i="20" s="1"/>
  <c r="P312" i="20" s="1"/>
  <c r="P313" i="20" s="1"/>
  <c r="P314" i="20" s="1"/>
  <c r="P315" i="20" s="1"/>
  <c r="P316" i="20" s="1"/>
  <c r="P317" i="20" s="1"/>
  <c r="P318" i="20" s="1"/>
  <c r="P319" i="20" s="1"/>
  <c r="P320" i="20" s="1"/>
  <c r="P321" i="20" s="1"/>
  <c r="P322" i="20" s="1"/>
  <c r="P323" i="20" s="1"/>
  <c r="P324" i="20" s="1"/>
  <c r="P325" i="20" s="1"/>
  <c r="P326" i="20" s="1"/>
  <c r="P327" i="20" s="1"/>
  <c r="P328" i="20" s="1"/>
  <c r="P329" i="20" s="1"/>
  <c r="P330" i="20" s="1"/>
  <c r="P331" i="20" s="1"/>
  <c r="P332" i="20" s="1"/>
  <c r="P333" i="20" s="1"/>
  <c r="P334" i="20" s="1"/>
  <c r="P335" i="20" s="1"/>
  <c r="P336" i="20" s="1"/>
  <c r="P337" i="20" s="1"/>
  <c r="P338" i="20" s="1"/>
  <c r="P339" i="20" s="1"/>
  <c r="P340" i="20" s="1"/>
  <c r="P341" i="20" s="1"/>
  <c r="P342" i="20" s="1"/>
  <c r="P343" i="20" s="1"/>
  <c r="P344" i="20" s="1"/>
  <c r="P345" i="20" s="1"/>
  <c r="P346" i="20" s="1"/>
  <c r="P347" i="20" s="1"/>
  <c r="P348" i="20" s="1"/>
  <c r="P349" i="20" s="1"/>
  <c r="P350" i="20" s="1"/>
  <c r="P351" i="20" s="1"/>
  <c r="P352" i="20" s="1"/>
  <c r="P353" i="20" s="1"/>
  <c r="P354" i="20" s="1"/>
  <c r="P355" i="20" s="1"/>
  <c r="P356" i="20" s="1"/>
  <c r="P357" i="20" s="1"/>
  <c r="P358" i="20" s="1"/>
  <c r="P359" i="20" s="1"/>
  <c r="P360" i="20" s="1"/>
  <c r="P361" i="20" s="1"/>
  <c r="P362" i="20" s="1"/>
  <c r="P363" i="20" s="1"/>
  <c r="P364" i="20" s="1"/>
  <c r="P365" i="20" s="1"/>
  <c r="P366" i="20" s="1"/>
  <c r="P367" i="20" s="1"/>
  <c r="P368" i="20" s="1"/>
  <c r="P369" i="20" s="1"/>
  <c r="P370" i="20" s="1"/>
  <c r="P371" i="20" s="1"/>
  <c r="P372" i="20" s="1"/>
  <c r="P373" i="20" s="1"/>
  <c r="P374" i="20" s="1"/>
  <c r="P375" i="20" s="1"/>
  <c r="P376" i="20" s="1"/>
  <c r="P377" i="20" s="1"/>
  <c r="P378" i="20" s="1"/>
  <c r="P379" i="20" s="1"/>
  <c r="P380" i="20" s="1"/>
  <c r="P381" i="20" s="1"/>
  <c r="P382" i="20" s="1"/>
  <c r="P383" i="20" s="1"/>
  <c r="P384" i="20" s="1"/>
  <c r="P385" i="20" s="1"/>
  <c r="P386" i="20" s="1"/>
  <c r="P387" i="20" s="1"/>
  <c r="P388" i="20" s="1"/>
  <c r="P389" i="20" s="1"/>
  <c r="P390" i="20" s="1"/>
  <c r="P391" i="20" s="1"/>
  <c r="P392" i="20" s="1"/>
  <c r="P393" i="20" s="1"/>
  <c r="P394" i="20" s="1"/>
  <c r="P395" i="20" s="1"/>
  <c r="P396" i="20" s="1"/>
  <c r="P397" i="20" s="1"/>
  <c r="P398" i="20" s="1"/>
  <c r="P399" i="20" s="1"/>
  <c r="P400" i="20" s="1"/>
  <c r="P401" i="20" s="1"/>
  <c r="P402" i="20" s="1"/>
  <c r="P403" i="20" s="1"/>
  <c r="P404" i="20" s="1"/>
  <c r="P405" i="20" s="1"/>
  <c r="P406" i="20" s="1"/>
  <c r="P407" i="20" s="1"/>
  <c r="P408" i="20" s="1"/>
  <c r="P409" i="20" s="1"/>
  <c r="P410" i="20" s="1"/>
  <c r="P411" i="20" s="1"/>
  <c r="P412" i="20" s="1"/>
  <c r="P413" i="20" s="1"/>
  <c r="P414" i="20" s="1"/>
  <c r="P415" i="20" s="1"/>
  <c r="P416" i="20" s="1"/>
  <c r="P417" i="20" s="1"/>
  <c r="N5" i="20"/>
  <c r="N6" i="20" s="1"/>
  <c r="N7" i="20" s="1"/>
  <c r="N8" i="20" s="1"/>
  <c r="N9" i="20" s="1"/>
  <c r="N10" i="20" s="1"/>
  <c r="N11" i="20" s="1"/>
  <c r="N12" i="20" s="1"/>
  <c r="N13" i="20" s="1"/>
  <c r="N14" i="20" s="1"/>
  <c r="N15" i="20" s="1"/>
  <c r="N16" i="20" s="1"/>
  <c r="N17" i="20" s="1"/>
  <c r="N18" i="20" s="1"/>
  <c r="N19" i="20" s="1"/>
  <c r="N20" i="20" s="1"/>
  <c r="N21" i="20" s="1"/>
  <c r="N22" i="20" s="1"/>
  <c r="N23" i="20" s="1"/>
  <c r="N24" i="20" s="1"/>
  <c r="N25" i="20" s="1"/>
  <c r="N26" i="20" s="1"/>
  <c r="N27" i="20" s="1"/>
  <c r="N28" i="20" s="1"/>
  <c r="N29" i="20" s="1"/>
  <c r="N30" i="20" s="1"/>
  <c r="N31" i="20" s="1"/>
  <c r="N32" i="20" s="1"/>
  <c r="N33" i="20" s="1"/>
  <c r="N34" i="20" s="1"/>
  <c r="N35" i="20" s="1"/>
  <c r="N36" i="20" s="1"/>
  <c r="N37" i="20" s="1"/>
  <c r="N38" i="20" s="1"/>
  <c r="N39" i="20" s="1"/>
  <c r="N40" i="20" s="1"/>
  <c r="N41" i="20" s="1"/>
  <c r="N42" i="20" s="1"/>
  <c r="N43" i="20" s="1"/>
  <c r="N44" i="20" s="1"/>
  <c r="N45" i="20" s="1"/>
  <c r="N46" i="20" s="1"/>
  <c r="N47" i="20" s="1"/>
  <c r="N48" i="20" s="1"/>
  <c r="N49" i="20" s="1"/>
  <c r="N50" i="20" s="1"/>
  <c r="N51" i="20" s="1"/>
  <c r="N52" i="20" s="1"/>
  <c r="N53" i="20" s="1"/>
  <c r="N54" i="20" s="1"/>
  <c r="N55" i="20" s="1"/>
  <c r="N56" i="20" s="1"/>
  <c r="N57" i="20" s="1"/>
  <c r="N58" i="20" s="1"/>
  <c r="N59" i="20" s="1"/>
  <c r="N60" i="20" s="1"/>
  <c r="N61" i="20" s="1"/>
  <c r="N62" i="20" s="1"/>
  <c r="N63" i="20" s="1"/>
  <c r="N64" i="20" s="1"/>
  <c r="N65" i="20" s="1"/>
  <c r="N66" i="20" s="1"/>
  <c r="N67" i="20" s="1"/>
  <c r="N68" i="20" s="1"/>
  <c r="N69" i="20" s="1"/>
  <c r="N70" i="20" s="1"/>
  <c r="N71" i="20" s="1"/>
  <c r="N72" i="20" s="1"/>
  <c r="N73" i="20" s="1"/>
  <c r="N74" i="20" s="1"/>
  <c r="N75" i="20" s="1"/>
  <c r="N76" i="20" s="1"/>
  <c r="N77" i="20" s="1"/>
  <c r="N78" i="20" s="1"/>
  <c r="N79" i="20" s="1"/>
  <c r="N80" i="20" s="1"/>
  <c r="N81" i="20" s="1"/>
  <c r="N82" i="20" s="1"/>
  <c r="N83" i="20" s="1"/>
  <c r="N84" i="20" s="1"/>
  <c r="N85" i="20" s="1"/>
  <c r="N86" i="20" s="1"/>
  <c r="N87" i="20" s="1"/>
  <c r="N88" i="20" s="1"/>
  <c r="N89" i="20" s="1"/>
  <c r="N90" i="20" s="1"/>
  <c r="N91" i="20" s="1"/>
  <c r="N92" i="20" s="1"/>
  <c r="N93" i="20" s="1"/>
  <c r="N94" i="20" s="1"/>
  <c r="N95" i="20" s="1"/>
  <c r="N96" i="20" s="1"/>
  <c r="N97" i="20" s="1"/>
  <c r="N98" i="20" s="1"/>
  <c r="N99" i="20" s="1"/>
  <c r="N100" i="20" s="1"/>
  <c r="N101" i="20" s="1"/>
  <c r="N102" i="20" s="1"/>
  <c r="N103" i="20" s="1"/>
  <c r="N104" i="20" s="1"/>
  <c r="N105" i="20" s="1"/>
  <c r="N106" i="20" s="1"/>
  <c r="N107" i="20" s="1"/>
  <c r="N108" i="20" s="1"/>
  <c r="N109" i="20" s="1"/>
  <c r="N110" i="20" s="1"/>
  <c r="N111" i="20" s="1"/>
  <c r="N112" i="20" s="1"/>
  <c r="N113" i="20" s="1"/>
  <c r="N114" i="20" s="1"/>
  <c r="N115" i="20" s="1"/>
  <c r="N116" i="20" s="1"/>
  <c r="N117" i="20" s="1"/>
  <c r="N118" i="20" s="1"/>
  <c r="N119" i="20" s="1"/>
  <c r="N120" i="20" s="1"/>
  <c r="N121" i="20" s="1"/>
  <c r="N122" i="20" s="1"/>
  <c r="N123" i="20" s="1"/>
  <c r="N124" i="20" s="1"/>
  <c r="N125" i="20" s="1"/>
  <c r="N126" i="20" s="1"/>
  <c r="N127" i="20" s="1"/>
  <c r="N128" i="20" s="1"/>
  <c r="N129" i="20" s="1"/>
  <c r="N130" i="20" s="1"/>
  <c r="N131" i="20" s="1"/>
  <c r="N132" i="20" s="1"/>
  <c r="N133" i="20" s="1"/>
  <c r="N134" i="20" s="1"/>
  <c r="N135" i="20" s="1"/>
  <c r="N136" i="20" s="1"/>
  <c r="N137" i="20" s="1"/>
  <c r="N138" i="20" s="1"/>
  <c r="N139" i="20" s="1"/>
  <c r="N140" i="20" s="1"/>
  <c r="N141" i="20" s="1"/>
  <c r="N142" i="20" s="1"/>
  <c r="N143" i="20" s="1"/>
  <c r="N144" i="20" s="1"/>
  <c r="N145" i="20" s="1"/>
  <c r="N146" i="20" s="1"/>
  <c r="N147" i="20" s="1"/>
  <c r="N148" i="20" s="1"/>
  <c r="N149" i="20" s="1"/>
  <c r="N150" i="20" s="1"/>
  <c r="N151" i="20" s="1"/>
  <c r="N152" i="20" s="1"/>
  <c r="N153" i="20" s="1"/>
  <c r="N154" i="20" s="1"/>
  <c r="N155" i="20" s="1"/>
  <c r="N156" i="20" s="1"/>
  <c r="N157" i="20" s="1"/>
  <c r="N158" i="20" s="1"/>
  <c r="N159" i="20" s="1"/>
  <c r="N160" i="20" s="1"/>
  <c r="N161" i="20" s="1"/>
  <c r="N162" i="20" s="1"/>
  <c r="N163" i="20" s="1"/>
  <c r="N164" i="20" s="1"/>
  <c r="N165" i="20" s="1"/>
  <c r="N166" i="20" s="1"/>
  <c r="N167" i="20" s="1"/>
  <c r="N168" i="20" s="1"/>
  <c r="N169" i="20" s="1"/>
  <c r="N170" i="20" s="1"/>
  <c r="N171" i="20" s="1"/>
  <c r="N172" i="20" s="1"/>
  <c r="N173" i="20" s="1"/>
  <c r="N174" i="20" s="1"/>
  <c r="N175" i="20" s="1"/>
  <c r="N176" i="20" s="1"/>
  <c r="N177" i="20" s="1"/>
  <c r="N178" i="20" s="1"/>
  <c r="N179" i="20" s="1"/>
  <c r="N180" i="20" s="1"/>
  <c r="N181" i="20" s="1"/>
  <c r="N182" i="20" s="1"/>
  <c r="N183" i="20" s="1"/>
  <c r="N184" i="20" s="1"/>
  <c r="N185" i="20" s="1"/>
  <c r="N186" i="20" s="1"/>
  <c r="N187" i="20" s="1"/>
  <c r="N188" i="20" s="1"/>
  <c r="N189" i="20" s="1"/>
  <c r="N190" i="20" s="1"/>
  <c r="N191" i="20" s="1"/>
  <c r="N192" i="20" s="1"/>
  <c r="N193" i="20" s="1"/>
  <c r="N194" i="20" s="1"/>
  <c r="N195" i="20" s="1"/>
  <c r="N196" i="20" s="1"/>
  <c r="N197" i="20" s="1"/>
  <c r="N198" i="20" s="1"/>
  <c r="N199" i="20" s="1"/>
  <c r="N200" i="20" s="1"/>
  <c r="N201" i="20" s="1"/>
  <c r="N202" i="20" s="1"/>
  <c r="N203" i="20" s="1"/>
  <c r="N204" i="20" s="1"/>
  <c r="N205" i="20" s="1"/>
  <c r="N206" i="20" s="1"/>
  <c r="N207" i="20" s="1"/>
  <c r="N208" i="20" s="1"/>
  <c r="N209" i="20" s="1"/>
  <c r="N210" i="20" s="1"/>
  <c r="N211" i="20" s="1"/>
  <c r="N212" i="20" s="1"/>
  <c r="N213" i="20" s="1"/>
  <c r="N214" i="20" s="1"/>
  <c r="N215" i="20" s="1"/>
  <c r="N216" i="20" s="1"/>
  <c r="N217" i="20" s="1"/>
  <c r="N218" i="20" s="1"/>
  <c r="N219" i="20" s="1"/>
  <c r="N220" i="20" s="1"/>
  <c r="N221" i="20" s="1"/>
  <c r="N222" i="20" s="1"/>
  <c r="N223" i="20" s="1"/>
  <c r="N224" i="20" s="1"/>
  <c r="N225" i="20" s="1"/>
  <c r="N226" i="20" s="1"/>
  <c r="N227" i="20" s="1"/>
  <c r="N228" i="20" s="1"/>
  <c r="N229" i="20" s="1"/>
  <c r="N230" i="20" s="1"/>
  <c r="N231" i="20" s="1"/>
  <c r="N232" i="20" s="1"/>
  <c r="N233" i="20" s="1"/>
  <c r="N234" i="20" s="1"/>
  <c r="N235" i="20" s="1"/>
  <c r="N236" i="20" s="1"/>
  <c r="N237" i="20" s="1"/>
  <c r="N238" i="20" s="1"/>
  <c r="N239" i="20" s="1"/>
  <c r="N240" i="20" s="1"/>
  <c r="N241" i="20" s="1"/>
  <c r="N242" i="20" s="1"/>
  <c r="N243" i="20" s="1"/>
  <c r="N244" i="20" s="1"/>
  <c r="N245" i="20" s="1"/>
  <c r="N246" i="20" s="1"/>
  <c r="N247" i="20" s="1"/>
  <c r="N248" i="20" s="1"/>
  <c r="N249" i="20" s="1"/>
  <c r="N250" i="20" s="1"/>
  <c r="N251" i="20" s="1"/>
  <c r="N252" i="20" s="1"/>
  <c r="N253" i="20" s="1"/>
  <c r="N254" i="20" s="1"/>
  <c r="N255" i="20" s="1"/>
  <c r="N256" i="20" s="1"/>
  <c r="N257" i="20" s="1"/>
  <c r="N258" i="20" s="1"/>
  <c r="N259" i="20" s="1"/>
  <c r="N260" i="20" s="1"/>
  <c r="N261" i="20" s="1"/>
  <c r="N262" i="20" s="1"/>
  <c r="N263" i="20" s="1"/>
  <c r="N264" i="20" s="1"/>
  <c r="N265" i="20" s="1"/>
  <c r="N266" i="20" s="1"/>
  <c r="N267" i="20" s="1"/>
  <c r="N268" i="20" s="1"/>
  <c r="N269" i="20" s="1"/>
  <c r="N270" i="20" s="1"/>
  <c r="N271" i="20" s="1"/>
  <c r="N272" i="20" s="1"/>
  <c r="N273" i="20" s="1"/>
  <c r="N274" i="20" s="1"/>
  <c r="N275" i="20" s="1"/>
  <c r="N276" i="20" s="1"/>
  <c r="N277" i="20" s="1"/>
  <c r="N278" i="20" s="1"/>
  <c r="N279" i="20" s="1"/>
  <c r="N280" i="20" s="1"/>
  <c r="N281" i="20" s="1"/>
  <c r="N282" i="20" s="1"/>
  <c r="N283" i="20" s="1"/>
  <c r="N284" i="20" s="1"/>
  <c r="N285" i="20" s="1"/>
  <c r="N286" i="20" s="1"/>
  <c r="N287" i="20" s="1"/>
  <c r="N288" i="20" s="1"/>
  <c r="N289" i="20" s="1"/>
  <c r="N290" i="20" s="1"/>
  <c r="N291" i="20" s="1"/>
  <c r="N292" i="20" s="1"/>
  <c r="N293" i="20" s="1"/>
  <c r="N294" i="20" s="1"/>
  <c r="N295" i="20" s="1"/>
  <c r="N296" i="20" s="1"/>
  <c r="N297" i="20" s="1"/>
  <c r="N298" i="20" s="1"/>
  <c r="N299" i="20" s="1"/>
  <c r="N300" i="20" s="1"/>
  <c r="N301" i="20" s="1"/>
  <c r="N302" i="20" s="1"/>
  <c r="N303" i="20" s="1"/>
  <c r="N304" i="20" s="1"/>
  <c r="N305" i="20" s="1"/>
  <c r="N306" i="20" s="1"/>
  <c r="N307" i="20" s="1"/>
  <c r="N308" i="20" s="1"/>
  <c r="N309" i="20" s="1"/>
  <c r="N310" i="20" s="1"/>
  <c r="N311" i="20" s="1"/>
  <c r="N312" i="20" s="1"/>
  <c r="N313" i="20" s="1"/>
  <c r="N314" i="20" s="1"/>
  <c r="N315" i="20" s="1"/>
  <c r="N316" i="20" s="1"/>
  <c r="N317" i="20" s="1"/>
  <c r="N318" i="20" s="1"/>
  <c r="N319" i="20" s="1"/>
  <c r="N320" i="20" s="1"/>
  <c r="N321" i="20" s="1"/>
  <c r="N322" i="20" s="1"/>
  <c r="N323" i="20" s="1"/>
  <c r="N324" i="20" s="1"/>
  <c r="N325" i="20" s="1"/>
  <c r="N326" i="20" s="1"/>
  <c r="N327" i="20" s="1"/>
  <c r="N328" i="20" s="1"/>
  <c r="N329" i="20" s="1"/>
  <c r="N330" i="20" s="1"/>
  <c r="N331" i="20" s="1"/>
  <c r="N332" i="20" s="1"/>
  <c r="N333" i="20" s="1"/>
  <c r="N334" i="20" s="1"/>
  <c r="N335" i="20" s="1"/>
  <c r="N336" i="20" s="1"/>
  <c r="N337" i="20" s="1"/>
  <c r="N338" i="20" s="1"/>
  <c r="N339" i="20" s="1"/>
  <c r="N340" i="20" s="1"/>
  <c r="N341" i="20" s="1"/>
  <c r="N342" i="20" s="1"/>
  <c r="N343" i="20" s="1"/>
  <c r="N344" i="20" s="1"/>
  <c r="N345" i="20" s="1"/>
  <c r="N346" i="20" s="1"/>
  <c r="N347" i="20" s="1"/>
  <c r="N348" i="20" s="1"/>
  <c r="N349" i="20" s="1"/>
  <c r="N350" i="20" s="1"/>
  <c r="N351" i="20" s="1"/>
  <c r="N352" i="20" s="1"/>
  <c r="N353" i="20" s="1"/>
  <c r="N354" i="20" s="1"/>
  <c r="N355" i="20" s="1"/>
  <c r="N356" i="20" s="1"/>
  <c r="N357" i="20" s="1"/>
  <c r="N358" i="20" s="1"/>
  <c r="N359" i="20" s="1"/>
  <c r="N360" i="20" s="1"/>
  <c r="N361" i="20" s="1"/>
  <c r="N362" i="20" s="1"/>
  <c r="N363" i="20" s="1"/>
  <c r="N364" i="20" s="1"/>
  <c r="N365" i="20" s="1"/>
  <c r="N366" i="20" s="1"/>
  <c r="N367" i="20" s="1"/>
  <c r="N368" i="20" s="1"/>
  <c r="N369" i="20" s="1"/>
  <c r="N370" i="20" s="1"/>
  <c r="N371" i="20" s="1"/>
  <c r="N372" i="20" s="1"/>
  <c r="N373" i="20" s="1"/>
  <c r="N374" i="20" s="1"/>
  <c r="N375" i="20" s="1"/>
  <c r="N376" i="20" s="1"/>
  <c r="N377" i="20" s="1"/>
  <c r="N378" i="20" s="1"/>
  <c r="N379" i="20" s="1"/>
  <c r="N380" i="20" s="1"/>
  <c r="N381" i="20" s="1"/>
  <c r="N382" i="20" s="1"/>
  <c r="N383" i="20" s="1"/>
  <c r="N384" i="20" s="1"/>
  <c r="N385" i="20" s="1"/>
  <c r="N386" i="20" s="1"/>
  <c r="N387" i="20" s="1"/>
  <c r="N388" i="20" s="1"/>
  <c r="N389" i="20" s="1"/>
  <c r="N390" i="20" s="1"/>
  <c r="N391" i="20" s="1"/>
  <c r="N392" i="20" s="1"/>
  <c r="N393" i="20" s="1"/>
  <c r="N394" i="20" s="1"/>
  <c r="N395" i="20" s="1"/>
  <c r="N396" i="20" s="1"/>
  <c r="N397" i="20" s="1"/>
  <c r="N398" i="20" s="1"/>
  <c r="N399" i="20" s="1"/>
  <c r="N400" i="20" s="1"/>
  <c r="N401" i="20" s="1"/>
  <c r="N402" i="20" s="1"/>
  <c r="N403" i="20" s="1"/>
  <c r="N404" i="20" s="1"/>
  <c r="N405" i="20" s="1"/>
  <c r="N406" i="20" s="1"/>
  <c r="N407" i="20" s="1"/>
  <c r="N408" i="20" s="1"/>
  <c r="N409" i="20" s="1"/>
  <c r="N410" i="20" s="1"/>
  <c r="N411" i="20" s="1"/>
  <c r="N412" i="20" s="1"/>
  <c r="N413" i="20" s="1"/>
  <c r="N414" i="20" s="1"/>
  <c r="N415" i="20" s="1"/>
  <c r="N416" i="20" s="1"/>
  <c r="N417" i="20" s="1"/>
  <c r="L5" i="20"/>
  <c r="L6" i="20" s="1"/>
  <c r="L7" i="20" s="1"/>
  <c r="L8" i="20" s="1"/>
  <c r="L9" i="20" s="1"/>
  <c r="L10" i="20" s="1"/>
  <c r="L11" i="20" s="1"/>
  <c r="L12" i="20" s="1"/>
  <c r="L13" i="20" s="1"/>
  <c r="L14" i="20" s="1"/>
  <c r="L15" i="20" s="1"/>
  <c r="L16" i="20" s="1"/>
  <c r="L17" i="20" s="1"/>
  <c r="L18" i="20" s="1"/>
  <c r="L19" i="20" s="1"/>
  <c r="L20" i="20" s="1"/>
  <c r="L21" i="20" s="1"/>
  <c r="L22" i="20" s="1"/>
  <c r="L23" i="20" s="1"/>
  <c r="L24" i="20" s="1"/>
  <c r="L25" i="20" s="1"/>
  <c r="L26" i="20" s="1"/>
  <c r="L27" i="20" s="1"/>
  <c r="L28" i="20" s="1"/>
  <c r="L29" i="20" s="1"/>
  <c r="L30" i="20" s="1"/>
  <c r="L31" i="20" s="1"/>
  <c r="L32" i="20" s="1"/>
  <c r="L33" i="20" s="1"/>
  <c r="L34" i="20" s="1"/>
  <c r="L35" i="20" s="1"/>
  <c r="L36" i="20" s="1"/>
  <c r="L37" i="20" s="1"/>
  <c r="L38" i="20" s="1"/>
  <c r="L39" i="20" s="1"/>
  <c r="L40" i="20" s="1"/>
  <c r="L41" i="20" s="1"/>
  <c r="L42" i="20" s="1"/>
  <c r="L43" i="20" s="1"/>
  <c r="L44" i="20" s="1"/>
  <c r="L45" i="20" s="1"/>
  <c r="L46" i="20" s="1"/>
  <c r="L47" i="20" s="1"/>
  <c r="L48" i="20" s="1"/>
  <c r="L49" i="20" s="1"/>
  <c r="L50" i="20" s="1"/>
  <c r="L51" i="20" s="1"/>
  <c r="L52" i="20" s="1"/>
  <c r="L53" i="20" s="1"/>
  <c r="L54" i="20" s="1"/>
  <c r="L55" i="20" s="1"/>
  <c r="L56" i="20" s="1"/>
  <c r="L57" i="20" s="1"/>
  <c r="L58" i="20" s="1"/>
  <c r="L59" i="20" s="1"/>
  <c r="L60" i="20" s="1"/>
  <c r="L61" i="20" s="1"/>
  <c r="L62" i="20" s="1"/>
  <c r="L63" i="20" s="1"/>
  <c r="L64" i="20" s="1"/>
  <c r="L65" i="20" s="1"/>
  <c r="L66" i="20" s="1"/>
  <c r="L67" i="20" s="1"/>
  <c r="L68" i="20" s="1"/>
  <c r="L69" i="20" s="1"/>
  <c r="L70" i="20" s="1"/>
  <c r="L71" i="20" s="1"/>
  <c r="L72" i="20" s="1"/>
  <c r="L73" i="20" s="1"/>
  <c r="L74" i="20" s="1"/>
  <c r="L75" i="20" s="1"/>
  <c r="L76" i="20" s="1"/>
  <c r="L77" i="20" s="1"/>
  <c r="L78" i="20" s="1"/>
  <c r="L79" i="20" s="1"/>
  <c r="L80" i="20" s="1"/>
  <c r="L81" i="20" s="1"/>
  <c r="L82" i="20" s="1"/>
  <c r="L83" i="20" s="1"/>
  <c r="L84" i="20" s="1"/>
  <c r="L85" i="20" s="1"/>
  <c r="L86" i="20" s="1"/>
  <c r="L87" i="20" s="1"/>
  <c r="L88" i="20" s="1"/>
  <c r="L89" i="20" s="1"/>
  <c r="L90" i="20" s="1"/>
  <c r="L91" i="20" s="1"/>
  <c r="L92" i="20" s="1"/>
  <c r="L93" i="20" s="1"/>
  <c r="L94" i="20" s="1"/>
  <c r="L95" i="20" s="1"/>
  <c r="L96" i="20" s="1"/>
  <c r="L97" i="20" s="1"/>
  <c r="L98" i="20" s="1"/>
  <c r="L99" i="20" s="1"/>
  <c r="L100" i="20" s="1"/>
  <c r="L101" i="20" s="1"/>
  <c r="L102" i="20" s="1"/>
  <c r="L103" i="20" s="1"/>
  <c r="L104" i="20" s="1"/>
  <c r="L105" i="20" s="1"/>
  <c r="L106" i="20" s="1"/>
  <c r="L107" i="20" s="1"/>
  <c r="L108" i="20" s="1"/>
  <c r="L109" i="20" s="1"/>
  <c r="L110" i="20" s="1"/>
  <c r="L111" i="20" s="1"/>
  <c r="L112" i="20" s="1"/>
  <c r="L113" i="20" s="1"/>
  <c r="L114" i="20" s="1"/>
  <c r="L115" i="20" s="1"/>
  <c r="L116" i="20" s="1"/>
  <c r="L117" i="20" s="1"/>
  <c r="L118" i="20" s="1"/>
  <c r="L119" i="20" s="1"/>
  <c r="L120" i="20" s="1"/>
  <c r="L121" i="20" s="1"/>
  <c r="L122" i="20" s="1"/>
  <c r="L123" i="20" s="1"/>
  <c r="L124" i="20" s="1"/>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L231" i="20" s="1"/>
  <c r="L232" i="20" s="1"/>
  <c r="L233" i="20" s="1"/>
  <c r="L234" i="20" s="1"/>
  <c r="L235" i="20" s="1"/>
  <c r="L236" i="20" s="1"/>
  <c r="L237" i="20" s="1"/>
  <c r="L238" i="20" s="1"/>
  <c r="L239" i="20" s="1"/>
  <c r="L240" i="20" s="1"/>
  <c r="L241" i="20" s="1"/>
  <c r="L242" i="20" s="1"/>
  <c r="L243" i="20" s="1"/>
  <c r="L244" i="20" s="1"/>
  <c r="L245" i="20" s="1"/>
  <c r="L246" i="20" s="1"/>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s="1"/>
  <c r="L327" i="20" s="1"/>
  <c r="L328" i="20" s="1"/>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L372" i="20" s="1"/>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L412" i="20" s="1"/>
  <c r="L413" i="20" s="1"/>
  <c r="L414" i="20" s="1"/>
  <c r="L415" i="20" s="1"/>
  <c r="L416" i="20" s="1"/>
  <c r="L417" i="20" s="1"/>
  <c r="J5" i="20"/>
  <c r="J6" i="20" s="1"/>
  <c r="J7" i="20" s="1"/>
  <c r="J8" i="20" s="1"/>
  <c r="J9" i="20" s="1"/>
  <c r="J10" i="20" s="1"/>
  <c r="J11" i="20" s="1"/>
  <c r="J12" i="20" s="1"/>
  <c r="J13" i="20" s="1"/>
  <c r="J14" i="20" s="1"/>
  <c r="J15" i="20" s="1"/>
  <c r="J16" i="20" s="1"/>
  <c r="J17" i="20" s="1"/>
  <c r="J18" i="20" s="1"/>
  <c r="J19" i="20" s="1"/>
  <c r="J20" i="20" s="1"/>
  <c r="J21" i="20" s="1"/>
  <c r="J22" i="20" s="1"/>
  <c r="J23" i="20" s="1"/>
  <c r="J24" i="20" s="1"/>
  <c r="J25" i="20" s="1"/>
  <c r="J26" i="20" s="1"/>
  <c r="J27" i="20" s="1"/>
  <c r="J28" i="20" s="1"/>
  <c r="J29" i="20" s="1"/>
  <c r="J30" i="20" s="1"/>
  <c r="J31" i="20" s="1"/>
  <c r="J32" i="20" s="1"/>
  <c r="J33" i="20" s="1"/>
  <c r="J34" i="20" s="1"/>
  <c r="J35" i="20" s="1"/>
  <c r="J36" i="20" s="1"/>
  <c r="J37" i="20" s="1"/>
  <c r="J38" i="20" s="1"/>
  <c r="J39" i="20" s="1"/>
  <c r="J40" i="20" s="1"/>
  <c r="J41" i="20" s="1"/>
  <c r="J42" i="20" s="1"/>
  <c r="J43" i="20" s="1"/>
  <c r="J44" i="20" s="1"/>
  <c r="J45" i="20" s="1"/>
  <c r="J46" i="20" s="1"/>
  <c r="J47" i="20" s="1"/>
  <c r="J48" i="20" s="1"/>
  <c r="J49" i="20" s="1"/>
  <c r="J50" i="20" s="1"/>
  <c r="J51" i="20" s="1"/>
  <c r="J52" i="20" s="1"/>
  <c r="J53" i="20" s="1"/>
  <c r="J54" i="20" s="1"/>
  <c r="J55" i="20" s="1"/>
  <c r="J56" i="20" s="1"/>
  <c r="J57" i="20" s="1"/>
  <c r="J58" i="20" s="1"/>
  <c r="J59" i="20" s="1"/>
  <c r="J60" i="20" s="1"/>
  <c r="J61" i="20" s="1"/>
  <c r="J62" i="20" s="1"/>
  <c r="J63" i="20" s="1"/>
  <c r="J64" i="20" s="1"/>
  <c r="J65" i="20" s="1"/>
  <c r="J66" i="20" s="1"/>
  <c r="J67" i="20" s="1"/>
  <c r="J68" i="20" s="1"/>
  <c r="J69" i="20" s="1"/>
  <c r="J70" i="20" s="1"/>
  <c r="J71" i="20" s="1"/>
  <c r="J72" i="20" s="1"/>
  <c r="J73" i="20" s="1"/>
  <c r="J74" i="20" s="1"/>
  <c r="J75" i="20" s="1"/>
  <c r="J76" i="20" s="1"/>
  <c r="J77" i="20" s="1"/>
  <c r="J78" i="20" s="1"/>
  <c r="J79" i="20" s="1"/>
  <c r="J80" i="20" s="1"/>
  <c r="J81" i="20" s="1"/>
  <c r="J82" i="20" s="1"/>
  <c r="J83" i="20" s="1"/>
  <c r="J84" i="20" s="1"/>
  <c r="J85" i="20" s="1"/>
  <c r="J86" i="20" s="1"/>
  <c r="J87" i="20" s="1"/>
  <c r="J88" i="20" s="1"/>
  <c r="J89" i="20" s="1"/>
  <c r="J90" i="20" s="1"/>
  <c r="J91" i="20" s="1"/>
  <c r="J92" i="20" s="1"/>
  <c r="J93" i="20" s="1"/>
  <c r="J94" i="20" s="1"/>
  <c r="J95" i="20" s="1"/>
  <c r="J96" i="20" s="1"/>
  <c r="J97" i="20" s="1"/>
  <c r="J98" i="20" s="1"/>
  <c r="J99" i="20" s="1"/>
  <c r="J100" i="20" s="1"/>
  <c r="J101" i="20" s="1"/>
  <c r="J102" i="20" s="1"/>
  <c r="J103" i="20" s="1"/>
  <c r="J104" i="20" s="1"/>
  <c r="J105" i="20" s="1"/>
  <c r="J106" i="20" s="1"/>
  <c r="J107" i="20" s="1"/>
  <c r="J108" i="20" s="1"/>
  <c r="J109" i="20" s="1"/>
  <c r="J110" i="20" s="1"/>
  <c r="J111" i="20" s="1"/>
  <c r="J112" i="20" s="1"/>
  <c r="J113" i="20" s="1"/>
  <c r="J114" i="20" s="1"/>
  <c r="J115" i="20" s="1"/>
  <c r="J116" i="20" s="1"/>
  <c r="J117" i="20" s="1"/>
  <c r="J118" i="20" s="1"/>
  <c r="J119" i="20" s="1"/>
  <c r="J120" i="20" s="1"/>
  <c r="J121" i="20" s="1"/>
  <c r="J122" i="20" s="1"/>
  <c r="J123" i="20" s="1"/>
  <c r="J124" i="20" s="1"/>
  <c r="J125" i="20" s="1"/>
  <c r="J126" i="20" s="1"/>
  <c r="J127" i="20" s="1"/>
  <c r="J128" i="20" s="1"/>
  <c r="J129" i="20" s="1"/>
  <c r="J130" i="20" s="1"/>
  <c r="J131" i="20" s="1"/>
  <c r="J132" i="20" s="1"/>
  <c r="J133" i="20" s="1"/>
  <c r="J134" i="20" s="1"/>
  <c r="J135" i="20" s="1"/>
  <c r="J136" i="20" s="1"/>
  <c r="J137" i="20" s="1"/>
  <c r="J138" i="20" s="1"/>
  <c r="J139" i="20" s="1"/>
  <c r="J140" i="20" s="1"/>
  <c r="J141" i="20" s="1"/>
  <c r="J142" i="20" s="1"/>
  <c r="J143" i="20" s="1"/>
  <c r="J144" i="20" s="1"/>
  <c r="J145" i="20" s="1"/>
  <c r="J146" i="20" s="1"/>
  <c r="J147" i="20" s="1"/>
  <c r="J148" i="20" s="1"/>
  <c r="J149" i="20" s="1"/>
  <c r="J150" i="20" s="1"/>
  <c r="J151" i="20" s="1"/>
  <c r="J152" i="20" s="1"/>
  <c r="J153" i="20" s="1"/>
  <c r="J154" i="20" s="1"/>
  <c r="J155" i="20" s="1"/>
  <c r="J156" i="20" s="1"/>
  <c r="J157" i="20" s="1"/>
  <c r="J158" i="20" s="1"/>
  <c r="J159" i="20" s="1"/>
  <c r="J160" i="20" s="1"/>
  <c r="J161" i="20" s="1"/>
  <c r="J162" i="20" s="1"/>
  <c r="J163" i="20" s="1"/>
  <c r="J164" i="20" s="1"/>
  <c r="J165" i="20" s="1"/>
  <c r="J166" i="20" s="1"/>
  <c r="J167" i="20" s="1"/>
  <c r="J168" i="20" s="1"/>
  <c r="J169" i="20" s="1"/>
  <c r="J170" i="20" s="1"/>
  <c r="J171" i="20" s="1"/>
  <c r="J172" i="20" s="1"/>
  <c r="J173" i="20" s="1"/>
  <c r="J174" i="20" s="1"/>
  <c r="J175" i="20" s="1"/>
  <c r="J176" i="20" s="1"/>
  <c r="J177" i="20" s="1"/>
  <c r="J178" i="20" s="1"/>
  <c r="J179" i="20" s="1"/>
  <c r="J180" i="20" s="1"/>
  <c r="J181" i="20" s="1"/>
  <c r="J182" i="20" s="1"/>
  <c r="J183" i="20" s="1"/>
  <c r="J184" i="20" s="1"/>
  <c r="J185" i="20" s="1"/>
  <c r="J186" i="20" s="1"/>
  <c r="J187" i="20" s="1"/>
  <c r="J188" i="20" s="1"/>
  <c r="J189" i="20" s="1"/>
  <c r="J190" i="20" s="1"/>
  <c r="J191" i="20" s="1"/>
  <c r="J192" i="20" s="1"/>
  <c r="J193" i="20" s="1"/>
  <c r="J194" i="20" s="1"/>
  <c r="J195" i="20" s="1"/>
  <c r="J196" i="20" s="1"/>
  <c r="J197" i="20" s="1"/>
  <c r="J198" i="20" s="1"/>
  <c r="J199" i="20" s="1"/>
  <c r="J200" i="20" s="1"/>
  <c r="J201" i="20" s="1"/>
  <c r="J202" i="20" s="1"/>
  <c r="J203" i="20" s="1"/>
  <c r="J204" i="20" s="1"/>
  <c r="J205" i="20" s="1"/>
  <c r="J206" i="20" s="1"/>
  <c r="J207" i="20" s="1"/>
  <c r="J208" i="20" s="1"/>
  <c r="J209" i="20" s="1"/>
  <c r="J210" i="20" s="1"/>
  <c r="J211" i="20" s="1"/>
  <c r="J212" i="20" s="1"/>
  <c r="J213" i="20" s="1"/>
  <c r="J214" i="20" s="1"/>
  <c r="J215" i="20" s="1"/>
  <c r="J216" i="20" s="1"/>
  <c r="J217" i="20" s="1"/>
  <c r="J218" i="20" s="1"/>
  <c r="J219" i="20" s="1"/>
  <c r="J220" i="20" s="1"/>
  <c r="J221" i="20" s="1"/>
  <c r="J222" i="20" s="1"/>
  <c r="J223" i="20" s="1"/>
  <c r="J224" i="20" s="1"/>
  <c r="J225" i="20" s="1"/>
  <c r="J226" i="20" s="1"/>
  <c r="J227" i="20" s="1"/>
  <c r="J228" i="20" s="1"/>
  <c r="J229" i="20" s="1"/>
  <c r="J230" i="20" s="1"/>
  <c r="J231" i="20" s="1"/>
  <c r="J232" i="20" s="1"/>
  <c r="J233" i="20" s="1"/>
  <c r="J234" i="20" s="1"/>
  <c r="J235" i="20" s="1"/>
  <c r="J236" i="20" s="1"/>
  <c r="J237" i="20" s="1"/>
  <c r="J238" i="20" s="1"/>
  <c r="J239" i="20" s="1"/>
  <c r="J240" i="20" s="1"/>
  <c r="J241" i="20" s="1"/>
  <c r="J242" i="20" s="1"/>
  <c r="J243" i="20" s="1"/>
  <c r="J244" i="20" s="1"/>
  <c r="J245" i="20" s="1"/>
  <c r="J246" i="20" s="1"/>
  <c r="J247" i="20" s="1"/>
  <c r="J248" i="20" s="1"/>
  <c r="J249" i="20" s="1"/>
  <c r="J250" i="20" s="1"/>
  <c r="J251" i="20" s="1"/>
  <c r="J252" i="20" s="1"/>
  <c r="J253" i="20" s="1"/>
  <c r="J254" i="20" s="1"/>
  <c r="J255" i="20" s="1"/>
  <c r="J256" i="20" s="1"/>
  <c r="J257" i="20" s="1"/>
  <c r="J258" i="20" s="1"/>
  <c r="J259" i="20" s="1"/>
  <c r="J260" i="20" s="1"/>
  <c r="J261" i="20" s="1"/>
  <c r="J262" i="20" s="1"/>
  <c r="J263" i="20" s="1"/>
  <c r="J264" i="20" s="1"/>
  <c r="J265" i="20" s="1"/>
  <c r="J266" i="20" s="1"/>
  <c r="J267" i="20" s="1"/>
  <c r="J268" i="20" s="1"/>
  <c r="J269" i="20" s="1"/>
  <c r="J270" i="20" s="1"/>
  <c r="J271" i="20" s="1"/>
  <c r="J272" i="20" s="1"/>
  <c r="J273" i="20" s="1"/>
  <c r="J274" i="20" s="1"/>
  <c r="J275" i="20" s="1"/>
  <c r="J276" i="20" s="1"/>
  <c r="J277" i="20" s="1"/>
  <c r="J278" i="20" s="1"/>
  <c r="J279" i="20" s="1"/>
  <c r="J280" i="20" s="1"/>
  <c r="J281" i="20" s="1"/>
  <c r="J282" i="20" s="1"/>
  <c r="J283" i="20" s="1"/>
  <c r="J284" i="20" s="1"/>
  <c r="J285" i="20" s="1"/>
  <c r="J286" i="20" s="1"/>
  <c r="J287" i="20" s="1"/>
  <c r="J288" i="20" s="1"/>
  <c r="J289" i="20" s="1"/>
  <c r="J290" i="20" s="1"/>
  <c r="J291" i="20" s="1"/>
  <c r="J292" i="20" s="1"/>
  <c r="J293" i="20" s="1"/>
  <c r="J294" i="20" s="1"/>
  <c r="J295" i="20" s="1"/>
  <c r="J296" i="20" s="1"/>
  <c r="J297" i="20" s="1"/>
  <c r="J298" i="20" s="1"/>
  <c r="J299" i="20" s="1"/>
  <c r="J300" i="20" s="1"/>
  <c r="J301" i="20" s="1"/>
  <c r="J302" i="20" s="1"/>
  <c r="J303" i="20" s="1"/>
  <c r="J304" i="20" s="1"/>
  <c r="J305" i="20" s="1"/>
  <c r="J306" i="20" s="1"/>
  <c r="J307" i="20" s="1"/>
  <c r="J308" i="20" s="1"/>
  <c r="J309" i="20" s="1"/>
  <c r="J310" i="20" s="1"/>
  <c r="J311" i="20" s="1"/>
  <c r="J312" i="20" s="1"/>
  <c r="J313" i="20" s="1"/>
  <c r="J314" i="20" s="1"/>
  <c r="J315" i="20" s="1"/>
  <c r="J316" i="20" s="1"/>
  <c r="J317" i="20" s="1"/>
  <c r="J318" i="20" s="1"/>
  <c r="J319" i="20" s="1"/>
  <c r="J320" i="20" s="1"/>
  <c r="J321" i="20" s="1"/>
  <c r="J322" i="20" s="1"/>
  <c r="J323" i="20" s="1"/>
  <c r="J324" i="20" s="1"/>
  <c r="J325" i="20" s="1"/>
  <c r="J326" i="20" s="1"/>
  <c r="J327" i="20" s="1"/>
  <c r="J328" i="20" s="1"/>
  <c r="J329" i="20" s="1"/>
  <c r="J330" i="20" s="1"/>
  <c r="J331" i="20" s="1"/>
  <c r="J332" i="20" s="1"/>
  <c r="J333" i="20" s="1"/>
  <c r="J334" i="20" s="1"/>
  <c r="J335" i="20" s="1"/>
  <c r="J336" i="20" s="1"/>
  <c r="J337" i="20" s="1"/>
  <c r="J338" i="20" s="1"/>
  <c r="J339" i="20" s="1"/>
  <c r="J340" i="20" s="1"/>
  <c r="J341" i="20" s="1"/>
  <c r="J342" i="20" s="1"/>
  <c r="J343" i="20" s="1"/>
  <c r="J344" i="20" s="1"/>
  <c r="J345" i="20" s="1"/>
  <c r="J346" i="20" s="1"/>
  <c r="J347" i="20" s="1"/>
  <c r="J348" i="20" s="1"/>
  <c r="J349" i="20" s="1"/>
  <c r="J350" i="20" s="1"/>
  <c r="J351" i="20" s="1"/>
  <c r="J352" i="20" s="1"/>
  <c r="J353" i="20" s="1"/>
  <c r="J354" i="20" s="1"/>
  <c r="J355" i="20" s="1"/>
  <c r="J356" i="20" s="1"/>
  <c r="J357" i="20" s="1"/>
  <c r="J358" i="20" s="1"/>
  <c r="J359" i="20" s="1"/>
  <c r="J360" i="20" s="1"/>
  <c r="J361" i="20" s="1"/>
  <c r="J362" i="20" s="1"/>
  <c r="J363" i="20" s="1"/>
  <c r="J364" i="20" s="1"/>
  <c r="J365" i="20" s="1"/>
  <c r="J366" i="20" s="1"/>
  <c r="J367" i="20" s="1"/>
  <c r="J368" i="20" s="1"/>
  <c r="J369" i="20" s="1"/>
  <c r="J370" i="20" s="1"/>
  <c r="J371" i="20" s="1"/>
  <c r="J372" i="20" s="1"/>
  <c r="J373" i="20" s="1"/>
  <c r="J374" i="20" s="1"/>
  <c r="J375" i="20" s="1"/>
  <c r="J376" i="20" s="1"/>
  <c r="J377" i="20" s="1"/>
  <c r="J378" i="20" s="1"/>
  <c r="J379" i="20" s="1"/>
  <c r="J380" i="20" s="1"/>
  <c r="J381" i="20" s="1"/>
  <c r="J382" i="20" s="1"/>
  <c r="J383" i="20" s="1"/>
  <c r="J384" i="20" s="1"/>
  <c r="J385" i="20" s="1"/>
  <c r="J386" i="20" s="1"/>
  <c r="J387" i="20" s="1"/>
  <c r="J388" i="20" s="1"/>
  <c r="J389" i="20" s="1"/>
  <c r="J390" i="20" s="1"/>
  <c r="J391" i="20" s="1"/>
  <c r="J392" i="20" s="1"/>
  <c r="J393" i="20" s="1"/>
  <c r="J394" i="20" s="1"/>
  <c r="J395" i="20" s="1"/>
  <c r="J396" i="20" s="1"/>
  <c r="J397" i="20" s="1"/>
  <c r="J398" i="20" s="1"/>
  <c r="J399" i="20" s="1"/>
  <c r="J400" i="20" s="1"/>
  <c r="J401" i="20" s="1"/>
  <c r="J402" i="20" s="1"/>
  <c r="J403" i="20" s="1"/>
  <c r="J404" i="20" s="1"/>
  <c r="J405" i="20" s="1"/>
  <c r="J406" i="20" s="1"/>
  <c r="J407" i="20" s="1"/>
  <c r="J408" i="20" s="1"/>
  <c r="J409" i="20" s="1"/>
  <c r="J410" i="20" s="1"/>
  <c r="J411" i="20" s="1"/>
  <c r="J412" i="20" s="1"/>
  <c r="J413" i="20" s="1"/>
  <c r="J414" i="20" s="1"/>
  <c r="J415" i="20" s="1"/>
  <c r="J416" i="20" s="1"/>
  <c r="J417" i="20" s="1"/>
  <c r="H5" i="20"/>
  <c r="H6" i="20" s="1"/>
  <c r="H7" i="20" s="1"/>
  <c r="H8" i="20" s="1"/>
  <c r="H9" i="20" s="1"/>
  <c r="H10" i="20" s="1"/>
  <c r="H11" i="20" s="1"/>
  <c r="H12" i="20" s="1"/>
  <c r="H13" i="20" s="1"/>
  <c r="H14" i="20" s="1"/>
  <c r="H15" i="20" s="1"/>
  <c r="H16" i="20" s="1"/>
  <c r="H17" i="20" s="1"/>
  <c r="H18" i="20" s="1"/>
  <c r="H19" i="20" s="1"/>
  <c r="H20" i="20" s="1"/>
  <c r="H21" i="20" s="1"/>
  <c r="H22" i="20" s="1"/>
  <c r="H23" i="20" s="1"/>
  <c r="H24" i="20" s="1"/>
  <c r="H25" i="20" s="1"/>
  <c r="H26" i="20" s="1"/>
  <c r="H27" i="20" s="1"/>
  <c r="H28" i="20" s="1"/>
  <c r="H29" i="20" s="1"/>
  <c r="H30" i="20" s="1"/>
  <c r="H31" i="20" s="1"/>
  <c r="H32" i="20" s="1"/>
  <c r="H33" i="20" s="1"/>
  <c r="H34" i="20" s="1"/>
  <c r="H35" i="20" s="1"/>
  <c r="H36" i="20" s="1"/>
  <c r="H37" i="20" s="1"/>
  <c r="H38" i="20" s="1"/>
  <c r="H39" i="20" s="1"/>
  <c r="H40" i="20" s="1"/>
  <c r="H41" i="20" s="1"/>
  <c r="H42" i="20" s="1"/>
  <c r="H43" i="20" s="1"/>
  <c r="H44" i="20" s="1"/>
  <c r="H45" i="20" s="1"/>
  <c r="H46" i="20" s="1"/>
  <c r="H47" i="20" s="1"/>
  <c r="H48" i="20" s="1"/>
  <c r="H49" i="20" s="1"/>
  <c r="H50" i="20" s="1"/>
  <c r="H51" i="20" s="1"/>
  <c r="H52" i="20" s="1"/>
  <c r="H53" i="20" s="1"/>
  <c r="H54" i="20" s="1"/>
  <c r="H55" i="20" s="1"/>
  <c r="H56" i="20" s="1"/>
  <c r="H57" i="20" s="1"/>
  <c r="H58" i="20" s="1"/>
  <c r="H59" i="20" s="1"/>
  <c r="H60" i="20" s="1"/>
  <c r="H61" i="20" s="1"/>
  <c r="H62" i="20" s="1"/>
  <c r="H63" i="20" s="1"/>
  <c r="H64" i="20" s="1"/>
  <c r="H65" i="20" s="1"/>
  <c r="H66" i="20" s="1"/>
  <c r="H67" i="20" s="1"/>
  <c r="H68" i="20" s="1"/>
  <c r="H69" i="20" s="1"/>
  <c r="H70" i="20" s="1"/>
  <c r="H71" i="20" s="1"/>
  <c r="H72" i="20" s="1"/>
  <c r="H73" i="20" s="1"/>
  <c r="H74" i="20" s="1"/>
  <c r="H75" i="20" s="1"/>
  <c r="H76" i="20" s="1"/>
  <c r="H77" i="20" s="1"/>
  <c r="H78" i="20" s="1"/>
  <c r="H79" i="20" s="1"/>
  <c r="H80" i="20" s="1"/>
  <c r="H81" i="20" s="1"/>
  <c r="H82" i="20" s="1"/>
  <c r="H83" i="20" s="1"/>
  <c r="H84" i="20" s="1"/>
  <c r="H85" i="20" s="1"/>
  <c r="H86" i="20" s="1"/>
  <c r="H87" i="20" s="1"/>
  <c r="H88" i="20" s="1"/>
  <c r="H89" i="20" s="1"/>
  <c r="H90" i="20" s="1"/>
  <c r="H91" i="20" s="1"/>
  <c r="H92" i="20" s="1"/>
  <c r="H93" i="20" s="1"/>
  <c r="H94" i="20" s="1"/>
  <c r="H95" i="20" s="1"/>
  <c r="H96" i="20" s="1"/>
  <c r="H97" i="20" s="1"/>
  <c r="H98" i="20" s="1"/>
  <c r="H99" i="20" s="1"/>
  <c r="H100" i="20" s="1"/>
  <c r="H101" i="20" s="1"/>
  <c r="H102" i="20" s="1"/>
  <c r="H103" i="20" s="1"/>
  <c r="H104" i="20" s="1"/>
  <c r="H105" i="20" s="1"/>
  <c r="H106" i="20" s="1"/>
  <c r="H107" i="20" s="1"/>
  <c r="H108" i="20" s="1"/>
  <c r="H109" i="20" s="1"/>
  <c r="H110" i="20" s="1"/>
  <c r="H111" i="20" s="1"/>
  <c r="H112" i="20" s="1"/>
  <c r="H113" i="20" s="1"/>
  <c r="H114" i="20" s="1"/>
  <c r="H115" i="20" s="1"/>
  <c r="H116" i="20" s="1"/>
  <c r="H117" i="20" s="1"/>
  <c r="H118" i="20" s="1"/>
  <c r="H119" i="20" s="1"/>
  <c r="H120" i="20" s="1"/>
  <c r="H121" i="20" s="1"/>
  <c r="H122" i="20" s="1"/>
  <c r="H123" i="20" s="1"/>
  <c r="H124" i="20" s="1"/>
  <c r="H125" i="20" s="1"/>
  <c r="H126" i="20" s="1"/>
  <c r="H127" i="20" s="1"/>
  <c r="H128" i="20" s="1"/>
  <c r="H129" i="20" s="1"/>
  <c r="H130" i="20" s="1"/>
  <c r="H131" i="20" s="1"/>
  <c r="H132" i="20" s="1"/>
  <c r="H133" i="20" s="1"/>
  <c r="H134" i="20" s="1"/>
  <c r="H135" i="20" s="1"/>
  <c r="H136" i="20" s="1"/>
  <c r="H137" i="20" s="1"/>
  <c r="H138" i="20" s="1"/>
  <c r="H139" i="20" s="1"/>
  <c r="H140" i="20" s="1"/>
  <c r="H141" i="20" s="1"/>
  <c r="H142" i="20" s="1"/>
  <c r="H143" i="20" s="1"/>
  <c r="H144" i="20" s="1"/>
  <c r="H145" i="20" s="1"/>
  <c r="H146" i="20" s="1"/>
  <c r="H147" i="20" s="1"/>
  <c r="H148" i="20" s="1"/>
  <c r="H149" i="20" s="1"/>
  <c r="H150" i="20" s="1"/>
  <c r="H151" i="20" s="1"/>
  <c r="H152" i="20" s="1"/>
  <c r="H153" i="20" s="1"/>
  <c r="H154" i="20" s="1"/>
  <c r="H155" i="20" s="1"/>
  <c r="H156" i="20" s="1"/>
  <c r="H157" i="20" s="1"/>
  <c r="H158" i="20" s="1"/>
  <c r="H159" i="20" s="1"/>
  <c r="H160" i="20" s="1"/>
  <c r="H161" i="20" s="1"/>
  <c r="H162" i="20" s="1"/>
  <c r="H163" i="20" s="1"/>
  <c r="H164" i="20" s="1"/>
  <c r="H165" i="20" s="1"/>
  <c r="H166" i="20" s="1"/>
  <c r="H167" i="20" s="1"/>
  <c r="H168" i="20" s="1"/>
  <c r="H169" i="20" s="1"/>
  <c r="H170" i="20" s="1"/>
  <c r="H171" i="20" s="1"/>
  <c r="H172" i="20" s="1"/>
  <c r="H173" i="20" s="1"/>
  <c r="H174" i="20" s="1"/>
  <c r="H175" i="20" s="1"/>
  <c r="H176" i="20" s="1"/>
  <c r="H177" i="20" s="1"/>
  <c r="H178" i="20" s="1"/>
  <c r="H179" i="20" s="1"/>
  <c r="H180" i="20" s="1"/>
  <c r="H181" i="20" s="1"/>
  <c r="H182" i="20" s="1"/>
  <c r="H183" i="20" s="1"/>
  <c r="H184" i="20" s="1"/>
  <c r="H185" i="20" s="1"/>
  <c r="H186" i="20" s="1"/>
  <c r="H187" i="20" s="1"/>
  <c r="H188" i="20" s="1"/>
  <c r="H189" i="20" s="1"/>
  <c r="H190" i="20" s="1"/>
  <c r="H191" i="20" s="1"/>
  <c r="H192" i="20" s="1"/>
  <c r="H193" i="20" s="1"/>
  <c r="H194" i="20" s="1"/>
  <c r="H195" i="20" s="1"/>
  <c r="H196" i="20" s="1"/>
  <c r="H197" i="20" s="1"/>
  <c r="H198" i="20" s="1"/>
  <c r="H199" i="20" s="1"/>
  <c r="H200" i="20" s="1"/>
  <c r="H201" i="20" s="1"/>
  <c r="H202" i="20" s="1"/>
  <c r="H203" i="20" s="1"/>
  <c r="H204" i="20" s="1"/>
  <c r="H205" i="20" s="1"/>
  <c r="H206" i="20" s="1"/>
  <c r="H207" i="20" s="1"/>
  <c r="H208" i="20" s="1"/>
  <c r="H209" i="20" s="1"/>
  <c r="H210" i="20" s="1"/>
  <c r="H211" i="20" s="1"/>
  <c r="H212" i="20" s="1"/>
  <c r="H213" i="20" s="1"/>
  <c r="H214" i="20" s="1"/>
  <c r="H215" i="20" s="1"/>
  <c r="H216" i="20" s="1"/>
  <c r="H217" i="20" s="1"/>
  <c r="H218" i="20" s="1"/>
  <c r="H219" i="20" s="1"/>
  <c r="H220" i="20" s="1"/>
  <c r="H221" i="20" s="1"/>
  <c r="H222" i="20" s="1"/>
  <c r="H223" i="20" s="1"/>
  <c r="H224" i="20" s="1"/>
  <c r="H225" i="20" s="1"/>
  <c r="H226" i="20" s="1"/>
  <c r="H227" i="20" s="1"/>
  <c r="H228" i="20" s="1"/>
  <c r="H229" i="20" s="1"/>
  <c r="H230" i="20" s="1"/>
  <c r="H231" i="20" s="1"/>
  <c r="H232" i="20" s="1"/>
  <c r="H233" i="20" s="1"/>
  <c r="H234" i="20" s="1"/>
  <c r="H235" i="20" s="1"/>
  <c r="H236" i="20" s="1"/>
  <c r="H237" i="20" s="1"/>
  <c r="H238" i="20" s="1"/>
  <c r="H239" i="20" s="1"/>
  <c r="H240" i="20" s="1"/>
  <c r="H241" i="20" s="1"/>
  <c r="H242" i="20" s="1"/>
  <c r="H243" i="20" s="1"/>
  <c r="H244" i="20" s="1"/>
  <c r="H245" i="20" s="1"/>
  <c r="H246" i="20" s="1"/>
  <c r="H247" i="20" s="1"/>
  <c r="H248" i="20" s="1"/>
  <c r="H249" i="20" s="1"/>
  <c r="H250" i="20" s="1"/>
  <c r="H251" i="20" s="1"/>
  <c r="H252" i="20" s="1"/>
  <c r="H253" i="20" s="1"/>
  <c r="H254" i="20" s="1"/>
  <c r="H255" i="20" s="1"/>
  <c r="H256" i="20" s="1"/>
  <c r="H257" i="20" s="1"/>
  <c r="H258" i="20" s="1"/>
  <c r="H259" i="20" s="1"/>
  <c r="H260" i="20" s="1"/>
  <c r="H261" i="20" s="1"/>
  <c r="H262" i="20" s="1"/>
  <c r="H263" i="20" s="1"/>
  <c r="H264" i="20" s="1"/>
  <c r="H265" i="20" s="1"/>
  <c r="H266" i="20" s="1"/>
  <c r="H267" i="20" s="1"/>
  <c r="H268" i="20" s="1"/>
  <c r="H269" i="20" s="1"/>
  <c r="H270" i="20" s="1"/>
  <c r="H271" i="20" s="1"/>
  <c r="H272" i="20" s="1"/>
  <c r="H273" i="20" s="1"/>
  <c r="H274" i="20" s="1"/>
  <c r="H275" i="20" s="1"/>
  <c r="H276" i="20" s="1"/>
  <c r="H277" i="20" s="1"/>
  <c r="H278" i="20" s="1"/>
  <c r="H279" i="20" s="1"/>
  <c r="H280" i="20" s="1"/>
  <c r="H281" i="20" s="1"/>
  <c r="H282" i="20" s="1"/>
  <c r="H283" i="20" s="1"/>
  <c r="H284" i="20" s="1"/>
  <c r="H285" i="20" s="1"/>
  <c r="H286" i="20" s="1"/>
  <c r="H287" i="20" s="1"/>
  <c r="H288" i="20" s="1"/>
  <c r="H289" i="20" s="1"/>
  <c r="H290" i="20" s="1"/>
  <c r="H291" i="20" s="1"/>
  <c r="H292" i="20" s="1"/>
  <c r="H293" i="20" s="1"/>
  <c r="H294" i="20" s="1"/>
  <c r="H295" i="20" s="1"/>
  <c r="H296" i="20" s="1"/>
  <c r="H297" i="20" s="1"/>
  <c r="H298" i="20" s="1"/>
  <c r="H299" i="20" s="1"/>
  <c r="H300" i="20" s="1"/>
  <c r="H301" i="20" s="1"/>
  <c r="H302" i="20" s="1"/>
  <c r="H303" i="20" s="1"/>
  <c r="H304" i="20" s="1"/>
  <c r="H305" i="20" s="1"/>
  <c r="H306" i="20" s="1"/>
  <c r="H307" i="20" s="1"/>
  <c r="H308" i="20" s="1"/>
  <c r="H309" i="20" s="1"/>
  <c r="H310" i="20" s="1"/>
  <c r="H311" i="20" s="1"/>
  <c r="H312" i="20" s="1"/>
  <c r="H313" i="20" s="1"/>
  <c r="H314" i="20" s="1"/>
  <c r="H315" i="20" s="1"/>
  <c r="H316" i="20" s="1"/>
  <c r="H317" i="20" s="1"/>
  <c r="H318" i="20" s="1"/>
  <c r="H319" i="20" s="1"/>
  <c r="H320" i="20" s="1"/>
  <c r="H321" i="20" s="1"/>
  <c r="H322" i="20" s="1"/>
  <c r="H323" i="20" s="1"/>
  <c r="H324" i="20" s="1"/>
  <c r="H325" i="20" s="1"/>
  <c r="H326" i="20" s="1"/>
  <c r="H327" i="20" s="1"/>
  <c r="H328" i="20" s="1"/>
  <c r="H329" i="20" s="1"/>
  <c r="H330" i="20" s="1"/>
  <c r="H331" i="20" s="1"/>
  <c r="H332" i="20" s="1"/>
  <c r="H333" i="20" s="1"/>
  <c r="H334" i="20" s="1"/>
  <c r="H335" i="20" s="1"/>
  <c r="H336" i="20" s="1"/>
  <c r="H337" i="20" s="1"/>
  <c r="H338" i="20" s="1"/>
  <c r="H339" i="20" s="1"/>
  <c r="H340" i="20" s="1"/>
  <c r="H341" i="20" s="1"/>
  <c r="H342" i="20" s="1"/>
  <c r="H343" i="20" s="1"/>
  <c r="H344" i="20" s="1"/>
  <c r="H345" i="20" s="1"/>
  <c r="H346" i="20" s="1"/>
  <c r="H347" i="20" s="1"/>
  <c r="H348" i="20" s="1"/>
  <c r="H349" i="20" s="1"/>
  <c r="H350" i="20" s="1"/>
  <c r="H351" i="20" s="1"/>
  <c r="H352" i="20" s="1"/>
  <c r="H353" i="20" s="1"/>
  <c r="H354" i="20" s="1"/>
  <c r="H355" i="20" s="1"/>
  <c r="H356" i="20" s="1"/>
  <c r="H357" i="20" s="1"/>
  <c r="H358" i="20" s="1"/>
  <c r="H359" i="20" s="1"/>
  <c r="H360" i="20" s="1"/>
  <c r="H361" i="20" s="1"/>
  <c r="H362" i="20" s="1"/>
  <c r="H363" i="20" s="1"/>
  <c r="H364" i="20" s="1"/>
  <c r="H365" i="20" s="1"/>
  <c r="H366" i="20" s="1"/>
  <c r="H367" i="20" s="1"/>
  <c r="H368" i="20" s="1"/>
  <c r="H369" i="20" s="1"/>
  <c r="H370" i="20" s="1"/>
  <c r="H371" i="20" s="1"/>
  <c r="H372" i="20" s="1"/>
  <c r="H373" i="20" s="1"/>
  <c r="H374" i="20" s="1"/>
  <c r="H375" i="20" s="1"/>
  <c r="H376" i="20" s="1"/>
  <c r="H377" i="20" s="1"/>
  <c r="H378" i="20" s="1"/>
  <c r="H379" i="20" s="1"/>
  <c r="H380" i="20" s="1"/>
  <c r="H381" i="20" s="1"/>
  <c r="H382" i="20" s="1"/>
  <c r="H383" i="20" s="1"/>
  <c r="H384" i="20" s="1"/>
  <c r="H385" i="20" s="1"/>
  <c r="H386" i="20" s="1"/>
  <c r="H387" i="20" s="1"/>
  <c r="H388" i="20" s="1"/>
  <c r="H389" i="20" s="1"/>
  <c r="H390" i="20" s="1"/>
  <c r="H391" i="20" s="1"/>
  <c r="H392" i="20" s="1"/>
  <c r="H393" i="20" s="1"/>
  <c r="H394" i="20" s="1"/>
  <c r="H395" i="20" s="1"/>
  <c r="H396" i="20" s="1"/>
  <c r="H397" i="20" s="1"/>
  <c r="H398" i="20" s="1"/>
  <c r="H399" i="20" s="1"/>
  <c r="H400" i="20" s="1"/>
  <c r="H401" i="20" s="1"/>
  <c r="H402" i="20" s="1"/>
  <c r="H403" i="20" s="1"/>
  <c r="H404" i="20" s="1"/>
  <c r="H405" i="20" s="1"/>
  <c r="H406" i="20" s="1"/>
  <c r="H407" i="20" s="1"/>
  <c r="H408" i="20" s="1"/>
  <c r="H409" i="20" s="1"/>
  <c r="H410" i="20" s="1"/>
  <c r="H411" i="20" s="1"/>
  <c r="H412" i="20" s="1"/>
  <c r="H413" i="20" s="1"/>
  <c r="H414" i="20" s="1"/>
  <c r="H415" i="20" s="1"/>
  <c r="H416" i="20" s="1"/>
  <c r="H417" i="20" s="1"/>
  <c r="D5" i="20"/>
  <c r="D6" i="20" s="1"/>
  <c r="D7" i="20" s="1"/>
  <c r="D8" i="20" s="1"/>
  <c r="D9" i="20" s="1"/>
  <c r="D10" i="20" s="1"/>
  <c r="D11" i="20" s="1"/>
  <c r="D12" i="20" s="1"/>
  <c r="D13" i="20" s="1"/>
  <c r="D14" i="20" s="1"/>
  <c r="D15" i="20" s="1"/>
  <c r="D16" i="20" s="1"/>
  <c r="D17" i="20" s="1"/>
  <c r="D18" i="20" s="1"/>
  <c r="D19" i="20" s="1"/>
  <c r="D20" i="20" s="1"/>
  <c r="D21" i="20" s="1"/>
  <c r="D22" i="20" s="1"/>
  <c r="D23" i="20" s="1"/>
  <c r="D24" i="20" s="1"/>
  <c r="D25" i="20" s="1"/>
  <c r="D26" i="20" s="1"/>
  <c r="D27" i="20" s="1"/>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D56" i="20" s="1"/>
  <c r="D57" i="20" s="1"/>
  <c r="D58" i="20" s="1"/>
  <c r="D59" i="20" s="1"/>
  <c r="D60" i="20" s="1"/>
  <c r="D61" i="20" s="1"/>
  <c r="D62" i="20" s="1"/>
  <c r="D63" i="20" s="1"/>
  <c r="D64" i="20" s="1"/>
  <c r="D65" i="20" s="1"/>
  <c r="D66" i="20" s="1"/>
  <c r="D67" i="20" s="1"/>
  <c r="D68" i="20" s="1"/>
  <c r="D69" i="20" s="1"/>
  <c r="D70" i="20" s="1"/>
  <c r="D71" i="20" s="1"/>
  <c r="D72" i="20" s="1"/>
  <c r="D73" i="20" s="1"/>
  <c r="D74" i="20" s="1"/>
  <c r="D75" i="20" s="1"/>
  <c r="D76" i="20" s="1"/>
  <c r="D77" i="20" s="1"/>
  <c r="D78" i="20" s="1"/>
  <c r="D79" i="20" s="1"/>
  <c r="D80" i="20" s="1"/>
  <c r="D81" i="20" s="1"/>
  <c r="D82" i="20" s="1"/>
  <c r="D83" i="20" s="1"/>
  <c r="D84" i="20" s="1"/>
  <c r="D85" i="20" s="1"/>
  <c r="D86" i="20" s="1"/>
  <c r="D87" i="20" s="1"/>
  <c r="D88" i="20" s="1"/>
  <c r="D89" i="20" s="1"/>
  <c r="D90" i="20" s="1"/>
  <c r="D91" i="20" s="1"/>
  <c r="D92" i="20" s="1"/>
  <c r="D93" i="20" s="1"/>
  <c r="D94" i="20" s="1"/>
  <c r="D95" i="20" s="1"/>
  <c r="D96" i="20" s="1"/>
  <c r="D97" i="20" s="1"/>
  <c r="D98" i="20" s="1"/>
  <c r="D99" i="20" s="1"/>
  <c r="D100" i="20" s="1"/>
  <c r="D101" i="20" s="1"/>
  <c r="D102" i="20" s="1"/>
  <c r="D103" i="20" s="1"/>
  <c r="D104" i="20" s="1"/>
  <c r="D105" i="20" s="1"/>
  <c r="D106" i="20" s="1"/>
  <c r="D107" i="20" s="1"/>
  <c r="D108" i="20" s="1"/>
  <c r="D109" i="20" s="1"/>
  <c r="D110" i="20" s="1"/>
  <c r="D111" i="20" s="1"/>
  <c r="D112" i="20" s="1"/>
  <c r="D113" i="20" s="1"/>
  <c r="D114" i="20" s="1"/>
  <c r="D115" i="20" s="1"/>
  <c r="D116" i="20" s="1"/>
  <c r="D117" i="20" s="1"/>
  <c r="D118" i="20" s="1"/>
  <c r="D119" i="20" s="1"/>
  <c r="D120" i="20" s="1"/>
  <c r="D121" i="20" s="1"/>
  <c r="D122" i="20" s="1"/>
  <c r="D123" i="20" s="1"/>
  <c r="D124" i="20" s="1"/>
  <c r="D125" i="20" s="1"/>
  <c r="D126" i="20" s="1"/>
  <c r="D127" i="20" s="1"/>
  <c r="D128" i="20" s="1"/>
  <c r="D129" i="20" s="1"/>
  <c r="D130" i="20" s="1"/>
  <c r="D131" i="20" s="1"/>
  <c r="D132" i="20" s="1"/>
  <c r="D133" i="20" s="1"/>
  <c r="D134" i="20" s="1"/>
  <c r="D135" i="20" s="1"/>
  <c r="D136" i="20" s="1"/>
  <c r="D137" i="20" s="1"/>
  <c r="D138" i="20" s="1"/>
  <c r="D139" i="20" s="1"/>
  <c r="D140" i="20" s="1"/>
  <c r="D141" i="20" s="1"/>
  <c r="D142" i="20" s="1"/>
  <c r="D143" i="20" s="1"/>
  <c r="D144" i="20" s="1"/>
  <c r="D145" i="20" s="1"/>
  <c r="D146" i="20" s="1"/>
  <c r="D147" i="20" s="1"/>
  <c r="D148" i="20" s="1"/>
  <c r="D149" i="20" s="1"/>
  <c r="D150" i="20" s="1"/>
  <c r="D151" i="20" s="1"/>
  <c r="D152" i="20" s="1"/>
  <c r="D153" i="20" s="1"/>
  <c r="D154" i="20" s="1"/>
  <c r="D155" i="20" s="1"/>
  <c r="D156" i="20" s="1"/>
  <c r="D157" i="20" s="1"/>
  <c r="D158" i="20" s="1"/>
  <c r="D159" i="20" s="1"/>
  <c r="D160" i="20" s="1"/>
  <c r="D161" i="20" s="1"/>
  <c r="D162" i="20" s="1"/>
  <c r="D163" i="20" s="1"/>
  <c r="D164" i="20" s="1"/>
  <c r="D165" i="20" s="1"/>
  <c r="D166" i="20" s="1"/>
  <c r="D167" i="20" s="1"/>
  <c r="D168" i="20" s="1"/>
  <c r="D169" i="20" s="1"/>
  <c r="D170" i="20" s="1"/>
  <c r="D171" i="20" s="1"/>
  <c r="D172" i="20" s="1"/>
  <c r="D173" i="20" s="1"/>
  <c r="D174" i="20" s="1"/>
  <c r="D175" i="20" s="1"/>
  <c r="D176" i="20" s="1"/>
  <c r="D177" i="20" s="1"/>
  <c r="D178" i="20" s="1"/>
  <c r="D179" i="20" s="1"/>
  <c r="D180" i="20" s="1"/>
  <c r="D181" i="20" s="1"/>
  <c r="D182" i="20" s="1"/>
  <c r="D183" i="20" s="1"/>
  <c r="D184" i="20" s="1"/>
  <c r="D185" i="20" s="1"/>
  <c r="D186" i="20" s="1"/>
  <c r="D187" i="20" s="1"/>
  <c r="D188" i="20" s="1"/>
  <c r="D189" i="20" s="1"/>
  <c r="D190" i="20" s="1"/>
  <c r="D191" i="20" s="1"/>
  <c r="D192" i="20" s="1"/>
  <c r="D193" i="20" s="1"/>
  <c r="D194" i="20" s="1"/>
  <c r="D195" i="20" s="1"/>
  <c r="D196" i="20" s="1"/>
  <c r="D197" i="20" s="1"/>
  <c r="D198" i="20" s="1"/>
  <c r="D199" i="20" s="1"/>
  <c r="D200" i="20" s="1"/>
  <c r="D201" i="20" s="1"/>
  <c r="D202" i="20" s="1"/>
  <c r="D203" i="20" s="1"/>
  <c r="D204" i="20" s="1"/>
  <c r="D205" i="20" s="1"/>
  <c r="D206" i="20" s="1"/>
  <c r="D207" i="20" s="1"/>
  <c r="D208" i="20" s="1"/>
  <c r="D209" i="20" s="1"/>
  <c r="D210" i="20" s="1"/>
  <c r="D211" i="20" s="1"/>
  <c r="D212" i="20" s="1"/>
  <c r="D213" i="20" s="1"/>
  <c r="D214" i="20" s="1"/>
  <c r="D215" i="20" s="1"/>
  <c r="D216" i="20" s="1"/>
  <c r="D217" i="20" s="1"/>
  <c r="D218" i="20" s="1"/>
  <c r="D219" i="20" s="1"/>
  <c r="D220" i="20" s="1"/>
  <c r="D221" i="20" s="1"/>
  <c r="D222" i="20" s="1"/>
  <c r="D223" i="20" s="1"/>
  <c r="D224" i="20" s="1"/>
  <c r="D225" i="20" s="1"/>
  <c r="D226" i="20" s="1"/>
  <c r="D227" i="20" s="1"/>
  <c r="D228" i="20" s="1"/>
  <c r="D229" i="20" s="1"/>
  <c r="D230" i="20" s="1"/>
  <c r="D231" i="20" s="1"/>
  <c r="D232" i="20" s="1"/>
  <c r="D233" i="20" s="1"/>
  <c r="D234" i="20" s="1"/>
  <c r="D235" i="20" s="1"/>
  <c r="D236" i="20" s="1"/>
  <c r="D237" i="20" s="1"/>
  <c r="D238" i="20" s="1"/>
  <c r="D239" i="20" s="1"/>
  <c r="D240" i="20" s="1"/>
  <c r="D241" i="20" s="1"/>
  <c r="D242" i="20" s="1"/>
  <c r="D243" i="20" s="1"/>
  <c r="D244" i="20" s="1"/>
  <c r="D245" i="20" s="1"/>
  <c r="D246" i="20" s="1"/>
  <c r="D247" i="20" s="1"/>
  <c r="D248" i="20" s="1"/>
  <c r="D249" i="20" s="1"/>
  <c r="D250" i="20" s="1"/>
  <c r="D251" i="20" s="1"/>
  <c r="D252" i="20" s="1"/>
  <c r="D253" i="20" s="1"/>
  <c r="D254" i="20" s="1"/>
  <c r="D255" i="20" s="1"/>
  <c r="D256" i="20" s="1"/>
  <c r="D257" i="20" s="1"/>
  <c r="D258" i="20" s="1"/>
  <c r="D259" i="20" s="1"/>
  <c r="D260" i="20" s="1"/>
  <c r="D261" i="20" s="1"/>
  <c r="D262" i="20" s="1"/>
  <c r="D263" i="20" s="1"/>
  <c r="D264" i="20" s="1"/>
  <c r="D265" i="20" s="1"/>
  <c r="D266" i="20" s="1"/>
  <c r="D267" i="20" s="1"/>
  <c r="D268" i="20" s="1"/>
  <c r="D269" i="20" s="1"/>
  <c r="D270" i="20" s="1"/>
  <c r="D271" i="20" s="1"/>
  <c r="D272" i="20" s="1"/>
  <c r="D273" i="20" s="1"/>
  <c r="D274" i="20" s="1"/>
  <c r="D275" i="20" s="1"/>
  <c r="D276" i="20" s="1"/>
  <c r="D277" i="20" s="1"/>
  <c r="D278" i="20" s="1"/>
  <c r="D279" i="20" s="1"/>
  <c r="D280" i="20" s="1"/>
  <c r="D281" i="20" s="1"/>
  <c r="D282" i="20" s="1"/>
  <c r="D283" i="20" s="1"/>
  <c r="D284" i="20" s="1"/>
  <c r="D285" i="20" s="1"/>
  <c r="D286" i="20" s="1"/>
  <c r="D287" i="20" s="1"/>
  <c r="D288" i="20" s="1"/>
  <c r="D289" i="20" s="1"/>
  <c r="D290" i="20" s="1"/>
  <c r="D291" i="20" s="1"/>
  <c r="D292" i="20" s="1"/>
  <c r="D293" i="20" s="1"/>
  <c r="D294" i="20" s="1"/>
  <c r="D295" i="20" s="1"/>
  <c r="D296" i="20" s="1"/>
  <c r="D297" i="20" s="1"/>
  <c r="D298" i="20" s="1"/>
  <c r="D299" i="20" s="1"/>
  <c r="D300" i="20" s="1"/>
  <c r="D301" i="20" s="1"/>
  <c r="D302" i="20" s="1"/>
  <c r="D303" i="20" s="1"/>
  <c r="D304" i="20" s="1"/>
  <c r="D305" i="20" s="1"/>
  <c r="D306" i="20" s="1"/>
  <c r="D307" i="20" s="1"/>
  <c r="D308" i="20" s="1"/>
  <c r="D309" i="20" s="1"/>
  <c r="D310" i="20" s="1"/>
  <c r="D311" i="20" s="1"/>
  <c r="D312" i="20" s="1"/>
  <c r="D313" i="20" s="1"/>
  <c r="D314" i="20" s="1"/>
  <c r="D315" i="20" s="1"/>
  <c r="D316" i="20" s="1"/>
  <c r="D317" i="20" s="1"/>
  <c r="D318" i="20" s="1"/>
  <c r="D319" i="20" s="1"/>
  <c r="D320" i="20" s="1"/>
  <c r="D321" i="20" s="1"/>
  <c r="D322" i="20" s="1"/>
  <c r="D323" i="20" s="1"/>
  <c r="D324" i="20" s="1"/>
  <c r="D325" i="20" s="1"/>
  <c r="D326" i="20" s="1"/>
  <c r="D327" i="20" s="1"/>
  <c r="D328" i="20" s="1"/>
  <c r="D329" i="20" s="1"/>
  <c r="D330" i="20" s="1"/>
  <c r="D331" i="20" s="1"/>
  <c r="D332" i="20" s="1"/>
  <c r="D333" i="20" s="1"/>
  <c r="D334" i="20" s="1"/>
  <c r="D335" i="20" s="1"/>
  <c r="D336" i="20" s="1"/>
  <c r="D337" i="20" s="1"/>
  <c r="D338" i="20" s="1"/>
  <c r="D339" i="20" s="1"/>
  <c r="D340" i="20" s="1"/>
  <c r="D341" i="20" s="1"/>
  <c r="D342" i="20" s="1"/>
  <c r="D343" i="20" s="1"/>
  <c r="D344" i="20" s="1"/>
  <c r="D345" i="20" s="1"/>
  <c r="D346" i="20" s="1"/>
  <c r="D347" i="20" s="1"/>
  <c r="D348" i="20" s="1"/>
  <c r="D349" i="20" s="1"/>
  <c r="D350" i="20" s="1"/>
  <c r="D351" i="20" s="1"/>
  <c r="D352" i="20" s="1"/>
  <c r="D353" i="20" s="1"/>
  <c r="D354" i="20" s="1"/>
  <c r="D355" i="20" s="1"/>
  <c r="D356" i="20" s="1"/>
  <c r="D357" i="20" s="1"/>
  <c r="D358" i="20" s="1"/>
  <c r="D359" i="20" s="1"/>
  <c r="D360" i="20" s="1"/>
  <c r="D361" i="20" s="1"/>
  <c r="D362" i="20" s="1"/>
  <c r="D363" i="20" s="1"/>
  <c r="D364" i="20" s="1"/>
  <c r="D365" i="20" s="1"/>
  <c r="D366" i="20" s="1"/>
  <c r="D367" i="20" s="1"/>
  <c r="D368" i="20" s="1"/>
  <c r="D369" i="20" s="1"/>
  <c r="D370" i="20" s="1"/>
  <c r="D371" i="20" s="1"/>
  <c r="D372" i="20" s="1"/>
  <c r="D373" i="20" s="1"/>
  <c r="D374" i="20" s="1"/>
  <c r="D375" i="20" s="1"/>
  <c r="D376" i="20" s="1"/>
  <c r="D377" i="20" s="1"/>
  <c r="D378" i="20" s="1"/>
  <c r="D379" i="20" s="1"/>
  <c r="D380" i="20" s="1"/>
  <c r="D381" i="20" s="1"/>
  <c r="D382" i="20" s="1"/>
  <c r="D383" i="20" s="1"/>
  <c r="D384" i="20" s="1"/>
  <c r="D385" i="20" s="1"/>
  <c r="D386" i="20" s="1"/>
  <c r="D387" i="20" s="1"/>
  <c r="D388" i="20" s="1"/>
  <c r="D389" i="20" s="1"/>
  <c r="D390" i="20" s="1"/>
  <c r="D391" i="20" s="1"/>
  <c r="D392" i="20" s="1"/>
  <c r="D393" i="20" s="1"/>
  <c r="D394" i="20" s="1"/>
  <c r="D395" i="20" s="1"/>
  <c r="D396" i="20" s="1"/>
  <c r="D397" i="20" s="1"/>
  <c r="D398" i="20" s="1"/>
  <c r="D399" i="20" s="1"/>
  <c r="D400" i="20" s="1"/>
  <c r="D401" i="20" s="1"/>
  <c r="D402" i="20" s="1"/>
  <c r="D403" i="20" s="1"/>
  <c r="D404" i="20" s="1"/>
  <c r="D405" i="20" s="1"/>
  <c r="D406" i="20" s="1"/>
  <c r="D407" i="20" s="1"/>
  <c r="D408" i="20" s="1"/>
  <c r="D409" i="20" s="1"/>
  <c r="D410" i="20" s="1"/>
  <c r="D411" i="20" s="1"/>
  <c r="D412" i="20" s="1"/>
  <c r="D413" i="20" s="1"/>
  <c r="D414" i="20" s="1"/>
  <c r="D415" i="20" s="1"/>
  <c r="D416" i="20" s="1"/>
  <c r="D417" i="20" s="1"/>
  <c r="F5" i="20"/>
  <c r="F6" i="20" s="1"/>
  <c r="F7" i="20" s="1"/>
  <c r="F8" i="20" s="1"/>
  <c r="F9" i="20" s="1"/>
  <c r="F10" i="20" s="1"/>
  <c r="F11" i="20" s="1"/>
  <c r="F12" i="20" s="1"/>
  <c r="F13" i="20" s="1"/>
  <c r="F14" i="20" s="1"/>
  <c r="F15" i="20" s="1"/>
  <c r="F16" i="20" s="1"/>
  <c r="F17" i="20" s="1"/>
  <c r="F18" i="20" s="1"/>
  <c r="F19" i="20" s="1"/>
  <c r="F20" i="20" s="1"/>
  <c r="F21" i="20" s="1"/>
  <c r="F22" i="20" s="1"/>
  <c r="F23" i="20" s="1"/>
  <c r="F24" i="20" s="1"/>
  <c r="F25" i="20" s="1"/>
  <c r="F26" i="20" s="1"/>
  <c r="F27" i="20" s="1"/>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F353" i="20" s="1"/>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s="1"/>
  <c r="F413" i="20" s="1"/>
  <c r="F414" i="20" s="1"/>
  <c r="F415" i="20" s="1"/>
  <c r="F416" i="20" s="1"/>
  <c r="F417" i="20" s="1"/>
  <c r="M417" i="20" l="1"/>
  <c r="M415" i="20"/>
  <c r="M414" i="20"/>
  <c r="M412" i="20"/>
  <c r="M411" i="20"/>
  <c r="M409" i="20"/>
  <c r="M408" i="20"/>
  <c r="M406" i="20"/>
  <c r="M405" i="20"/>
  <c r="M403" i="20"/>
  <c r="M402" i="20"/>
  <c r="M400" i="20"/>
  <c r="M399" i="20"/>
  <c r="M397" i="20"/>
  <c r="M396" i="20"/>
  <c r="M394" i="20"/>
  <c r="M393" i="20"/>
  <c r="M391" i="20"/>
  <c r="M390" i="20"/>
  <c r="M388" i="20"/>
  <c r="M387" i="20"/>
  <c r="M385" i="20"/>
  <c r="M384" i="20"/>
  <c r="M382" i="20"/>
  <c r="M381" i="20"/>
  <c r="M379" i="20"/>
  <c r="M378" i="20"/>
  <c r="M376" i="20"/>
  <c r="M375" i="20"/>
  <c r="M373" i="20"/>
  <c r="M372" i="20"/>
  <c r="M370" i="20"/>
  <c r="M369" i="20"/>
  <c r="M367" i="20"/>
  <c r="M366" i="20"/>
  <c r="M364" i="20"/>
  <c r="M363" i="20"/>
  <c r="M361" i="20"/>
  <c r="M360" i="20"/>
  <c r="M358" i="20"/>
  <c r="M357" i="20"/>
  <c r="M355" i="20"/>
  <c r="M354" i="20"/>
  <c r="M352" i="20"/>
  <c r="M351" i="20"/>
  <c r="M349" i="20"/>
  <c r="M348" i="20"/>
  <c r="M346" i="20"/>
  <c r="M345" i="20"/>
  <c r="M343" i="20"/>
  <c r="M342" i="20"/>
  <c r="M340" i="20"/>
  <c r="M339" i="20"/>
  <c r="M337" i="20"/>
  <c r="M336" i="20"/>
  <c r="M334" i="20"/>
  <c r="M333" i="20"/>
  <c r="M331" i="20"/>
  <c r="M330" i="20"/>
  <c r="M328" i="20"/>
  <c r="M327" i="20"/>
  <c r="M325" i="20"/>
  <c r="M324" i="20"/>
  <c r="M322" i="20"/>
  <c r="M321" i="20"/>
  <c r="M319" i="20"/>
  <c r="M318" i="20"/>
  <c r="M316" i="20"/>
  <c r="M315" i="20"/>
  <c r="M313" i="20"/>
  <c r="M312" i="20"/>
  <c r="M310" i="20"/>
  <c r="M309" i="20"/>
  <c r="M307" i="20"/>
  <c r="M306" i="20"/>
  <c r="M304" i="20"/>
  <c r="M303" i="20"/>
  <c r="M301" i="20"/>
  <c r="M300" i="20"/>
  <c r="M298" i="20"/>
  <c r="M297" i="20"/>
  <c r="M295" i="20"/>
  <c r="M294" i="20"/>
  <c r="M292" i="20"/>
  <c r="M291" i="20"/>
  <c r="M289" i="20"/>
  <c r="M288" i="20"/>
  <c r="M286" i="20"/>
  <c r="M285" i="20"/>
  <c r="M283" i="20"/>
  <c r="M282" i="20"/>
  <c r="M280" i="20"/>
  <c r="M279" i="20"/>
  <c r="M277" i="20"/>
  <c r="M276" i="20"/>
  <c r="M274" i="20"/>
  <c r="M273" i="20"/>
  <c r="M271" i="20"/>
  <c r="M270" i="20"/>
  <c r="M268" i="20"/>
  <c r="M267" i="20"/>
  <c r="M265" i="20"/>
  <c r="M264" i="20"/>
  <c r="M262" i="20"/>
  <c r="M261" i="20"/>
  <c r="M259" i="20"/>
  <c r="M258" i="20"/>
  <c r="M256" i="20"/>
  <c r="M255" i="20"/>
  <c r="M253" i="20"/>
  <c r="M252" i="20"/>
  <c r="M250" i="20"/>
  <c r="M249" i="20"/>
  <c r="M247" i="20"/>
  <c r="M246" i="20"/>
  <c r="M244" i="20"/>
  <c r="M243" i="20"/>
  <c r="M241" i="20"/>
  <c r="M240" i="20"/>
  <c r="M238" i="20"/>
  <c r="M237" i="20"/>
  <c r="M235" i="20"/>
  <c r="M234" i="20"/>
  <c r="M232" i="20"/>
  <c r="M231" i="20"/>
  <c r="M229" i="20"/>
  <c r="M228" i="20"/>
  <c r="M226" i="20"/>
  <c r="M225" i="20"/>
  <c r="M223" i="20"/>
  <c r="M222" i="20"/>
  <c r="M220" i="20"/>
  <c r="M219" i="20"/>
  <c r="M217" i="20"/>
  <c r="M216" i="20"/>
  <c r="M214" i="20"/>
  <c r="M213" i="20"/>
  <c r="M211" i="20"/>
  <c r="M210" i="20"/>
  <c r="M208" i="20"/>
  <c r="M207" i="20"/>
  <c r="M205" i="20"/>
  <c r="M204" i="20"/>
  <c r="M202" i="20"/>
  <c r="M201" i="20"/>
  <c r="M199" i="20"/>
  <c r="M198" i="20"/>
  <c r="M196" i="20"/>
  <c r="M195" i="20"/>
  <c r="M193" i="20"/>
  <c r="M192" i="20"/>
  <c r="M190" i="20"/>
  <c r="M189" i="20"/>
  <c r="M187" i="20"/>
  <c r="M186" i="20"/>
  <c r="M184" i="20"/>
  <c r="M183" i="20"/>
  <c r="M181" i="20"/>
  <c r="M180" i="20"/>
  <c r="M178" i="20"/>
  <c r="M177" i="20"/>
  <c r="M175" i="20"/>
  <c r="M174" i="20"/>
  <c r="M172" i="20"/>
  <c r="M171" i="20"/>
  <c r="M169" i="20"/>
  <c r="M168" i="20"/>
  <c r="M166" i="20"/>
  <c r="M165" i="20"/>
  <c r="M163" i="20"/>
  <c r="M162" i="20"/>
  <c r="M160" i="20"/>
  <c r="M159" i="20"/>
  <c r="M157" i="20"/>
  <c r="M156" i="20"/>
  <c r="M154" i="20"/>
  <c r="M153" i="20"/>
  <c r="M151" i="20"/>
  <c r="M150" i="20"/>
  <c r="M148" i="20"/>
  <c r="M147" i="20"/>
  <c r="M145" i="20"/>
  <c r="M144" i="20"/>
  <c r="M142" i="20"/>
  <c r="M141" i="20"/>
  <c r="M139" i="20"/>
  <c r="M138" i="20"/>
  <c r="M136" i="20"/>
  <c r="M135" i="20"/>
  <c r="M133" i="20"/>
  <c r="M132" i="20"/>
  <c r="M130" i="20"/>
  <c r="M129" i="20"/>
  <c r="M127" i="20"/>
  <c r="M126" i="20"/>
  <c r="M124" i="20"/>
  <c r="M123" i="20"/>
  <c r="M121" i="20"/>
  <c r="M120" i="20"/>
  <c r="M118" i="20"/>
  <c r="M117" i="20"/>
  <c r="M115" i="20"/>
  <c r="M114" i="20"/>
  <c r="M112" i="20"/>
  <c r="M111" i="20"/>
  <c r="M109" i="20"/>
  <c r="M108" i="20"/>
  <c r="M106" i="20"/>
  <c r="M105" i="20"/>
  <c r="M103" i="20"/>
  <c r="M102" i="20"/>
  <c r="M100" i="20"/>
  <c r="M99" i="20"/>
  <c r="M97" i="20"/>
  <c r="M96" i="20"/>
  <c r="M94" i="20"/>
  <c r="M93" i="20"/>
  <c r="M91" i="20"/>
  <c r="M90" i="20"/>
  <c r="M88" i="20"/>
  <c r="M87" i="20"/>
  <c r="M85" i="20"/>
  <c r="M84" i="20"/>
  <c r="M82" i="20"/>
  <c r="M81" i="20"/>
  <c r="M79" i="20"/>
  <c r="M78" i="20"/>
  <c r="M76" i="20"/>
  <c r="M75" i="20"/>
  <c r="M73" i="20"/>
  <c r="M72" i="20"/>
  <c r="M70" i="20"/>
  <c r="M69" i="20"/>
  <c r="M67" i="20"/>
  <c r="M66" i="20"/>
  <c r="M64" i="20"/>
  <c r="M63" i="20"/>
  <c r="M61" i="20"/>
  <c r="M60" i="20"/>
  <c r="M58" i="20"/>
  <c r="M57" i="20"/>
  <c r="M55" i="20"/>
  <c r="M54" i="20"/>
  <c r="M52" i="20"/>
  <c r="M51" i="20"/>
  <c r="M49" i="20"/>
  <c r="M48" i="20"/>
  <c r="M46" i="20"/>
  <c r="M45" i="20"/>
  <c r="M43" i="20"/>
  <c r="M42" i="20"/>
  <c r="M40" i="20"/>
  <c r="M39" i="20"/>
  <c r="M37" i="20"/>
  <c r="M36" i="20"/>
  <c r="M34" i="20"/>
  <c r="M33" i="20"/>
  <c r="M31" i="20"/>
  <c r="M30" i="20"/>
  <c r="M28" i="20"/>
  <c r="M27" i="20"/>
  <c r="M25" i="20"/>
  <c r="M24" i="20"/>
  <c r="M22" i="20"/>
  <c r="M21" i="20"/>
  <c r="M19" i="20"/>
  <c r="M18" i="20"/>
  <c r="M16" i="20"/>
  <c r="M15" i="20"/>
  <c r="M13" i="20"/>
  <c r="M12" i="20"/>
  <c r="M10" i="20"/>
  <c r="E1106" i="19"/>
  <c r="F1101" i="19"/>
  <c r="E1074" i="19"/>
  <c r="F1069" i="19"/>
  <c r="E1066" i="19"/>
  <c r="F1061" i="19"/>
  <c r="E1058" i="19"/>
  <c r="F1053" i="19"/>
  <c r="E1050" i="19"/>
  <c r="F1045" i="19"/>
  <c r="E1042" i="19"/>
  <c r="F1037" i="19"/>
  <c r="E1034" i="19"/>
  <c r="F1029" i="19"/>
  <c r="E1018" i="19"/>
  <c r="F1013" i="19"/>
  <c r="E1010" i="19"/>
  <c r="F1005" i="19"/>
  <c r="E1002" i="19"/>
  <c r="F997" i="19"/>
  <c r="E994" i="19"/>
  <c r="F989" i="19"/>
  <c r="E986" i="19"/>
  <c r="F981" i="19"/>
  <c r="E978" i="19"/>
  <c r="F973" i="19"/>
  <c r="E962" i="19"/>
  <c r="F957" i="19"/>
  <c r="E954" i="19"/>
  <c r="F949" i="19"/>
  <c r="E946" i="19"/>
  <c r="F941" i="19"/>
  <c r="E938" i="19"/>
  <c r="F933" i="19"/>
  <c r="E930" i="19"/>
  <c r="F925" i="19"/>
  <c r="E922" i="19"/>
  <c r="F917" i="19"/>
  <c r="E850" i="19"/>
  <c r="F845" i="19"/>
  <c r="E842" i="19"/>
  <c r="F837" i="19"/>
  <c r="E834" i="19"/>
  <c r="F829" i="19"/>
  <c r="E826" i="19"/>
  <c r="F821" i="19"/>
  <c r="E818" i="19"/>
  <c r="F813" i="19"/>
  <c r="E810" i="19"/>
  <c r="F805" i="19"/>
  <c r="E906" i="19"/>
  <c r="F901" i="19"/>
  <c r="E898" i="19"/>
  <c r="F893" i="19"/>
  <c r="E890" i="19"/>
  <c r="F885" i="19"/>
  <c r="E882" i="19"/>
  <c r="F877" i="19"/>
  <c r="E874" i="19"/>
  <c r="F869" i="19"/>
  <c r="E866" i="19"/>
  <c r="F861" i="19"/>
  <c r="E738" i="19"/>
  <c r="F733" i="19"/>
  <c r="E730" i="19"/>
  <c r="F725" i="19"/>
  <c r="E722" i="19"/>
  <c r="F717" i="19"/>
  <c r="E714" i="19"/>
  <c r="F709" i="19"/>
  <c r="E706" i="19"/>
  <c r="F701" i="19"/>
  <c r="E698" i="19"/>
  <c r="F693" i="19"/>
  <c r="E794" i="19"/>
  <c r="F789" i="19"/>
  <c r="E786" i="19"/>
  <c r="F781" i="19"/>
  <c r="E778" i="19"/>
  <c r="F773" i="19"/>
  <c r="E770" i="19"/>
  <c r="F765" i="19"/>
  <c r="E762" i="19"/>
  <c r="F757" i="19"/>
  <c r="E754" i="19"/>
  <c r="F749" i="19"/>
  <c r="E1090" i="19"/>
  <c r="F1085" i="19"/>
  <c r="E1082" i="19"/>
  <c r="F1077" i="19"/>
  <c r="E682" i="19"/>
  <c r="F677" i="19"/>
  <c r="E674" i="19"/>
  <c r="F669" i="19"/>
  <c r="E666" i="19"/>
  <c r="F661" i="19"/>
  <c r="E658" i="19"/>
  <c r="F653" i="19"/>
  <c r="E650" i="19"/>
  <c r="F645" i="19"/>
  <c r="E642" i="19"/>
  <c r="F637" i="19"/>
  <c r="E626" i="19"/>
  <c r="F621" i="19"/>
  <c r="E618" i="19"/>
  <c r="F613" i="19"/>
  <c r="E610" i="19"/>
  <c r="F605" i="19"/>
  <c r="E602" i="19"/>
  <c r="F597" i="19"/>
  <c r="E594" i="19"/>
  <c r="F589" i="19"/>
  <c r="E586" i="19"/>
  <c r="F581" i="19"/>
  <c r="E578" i="19"/>
  <c r="F573" i="19"/>
  <c r="E570" i="19"/>
  <c r="F565" i="19"/>
  <c r="E506" i="19"/>
  <c r="F501" i="19"/>
  <c r="E498" i="19"/>
  <c r="F493" i="19"/>
  <c r="E522" i="19"/>
  <c r="F517" i="19"/>
  <c r="E514" i="19"/>
  <c r="F509" i="19"/>
  <c r="E538" i="19"/>
  <c r="F533" i="19"/>
  <c r="E530" i="19"/>
  <c r="F525" i="19"/>
  <c r="E554" i="19"/>
  <c r="F549" i="19"/>
  <c r="E546" i="19"/>
  <c r="F541" i="19"/>
  <c r="E466" i="19"/>
  <c r="F461" i="19"/>
  <c r="E458" i="19"/>
  <c r="F453" i="19"/>
  <c r="E482" i="19"/>
  <c r="F477" i="19"/>
  <c r="E474" i="19"/>
  <c r="F469" i="19"/>
  <c r="E450" i="19"/>
  <c r="F445" i="19"/>
  <c r="E442" i="19"/>
  <c r="F437" i="19"/>
  <c r="E426" i="19"/>
  <c r="F421" i="19"/>
  <c r="E418" i="19"/>
  <c r="F413" i="19"/>
  <c r="E410" i="19"/>
  <c r="F405" i="19"/>
  <c r="E402" i="19"/>
  <c r="F397" i="19"/>
  <c r="E394" i="19"/>
  <c r="F389" i="19"/>
  <c r="E386" i="19"/>
  <c r="F381" i="19"/>
  <c r="E370" i="19"/>
  <c r="F365" i="19"/>
  <c r="E362" i="19"/>
  <c r="F357" i="19"/>
  <c r="E354" i="19"/>
  <c r="F349" i="19"/>
  <c r="E346" i="19"/>
  <c r="F341" i="19"/>
  <c r="E338" i="19"/>
  <c r="F333" i="19"/>
  <c r="E330" i="19"/>
  <c r="F325" i="19"/>
  <c r="E322" i="19"/>
  <c r="F317" i="19"/>
  <c r="E314" i="19"/>
  <c r="F309" i="19"/>
  <c r="E306" i="19"/>
  <c r="F301" i="19"/>
  <c r="E298" i="19"/>
  <c r="F293" i="19"/>
  <c r="E290" i="19"/>
  <c r="F285" i="19"/>
  <c r="E282" i="19"/>
  <c r="F277" i="19"/>
  <c r="E274" i="19"/>
  <c r="F269" i="19"/>
  <c r="E266" i="19"/>
  <c r="F261" i="19"/>
  <c r="E258" i="19"/>
  <c r="F253" i="19"/>
  <c r="E250" i="19"/>
  <c r="F245" i="19"/>
  <c r="E242" i="19"/>
  <c r="F237" i="19"/>
  <c r="E234" i="19"/>
  <c r="F229" i="19"/>
  <c r="E226" i="19"/>
  <c r="F221" i="19"/>
  <c r="E210" i="19" l="1"/>
  <c r="F205" i="19"/>
  <c r="E202" i="19"/>
  <c r="F197" i="19"/>
  <c r="E194" i="19"/>
  <c r="F189" i="19"/>
  <c r="E186" i="19"/>
  <c r="F181" i="19"/>
  <c r="E178" i="19"/>
  <c r="F173" i="19"/>
  <c r="E170" i="19"/>
  <c r="F165" i="19"/>
  <c r="E162" i="19"/>
  <c r="F157" i="19"/>
  <c r="O359" i="20"/>
  <c r="G319" i="20"/>
  <c r="O326" i="20"/>
  <c r="G226" i="20"/>
  <c r="Q226" i="20"/>
  <c r="S147" i="20"/>
  <c r="S63" i="20"/>
  <c r="Q325" i="20"/>
  <c r="G379" i="20"/>
  <c r="S203" i="20"/>
  <c r="S39" i="20"/>
  <c r="Q230" i="20"/>
  <c r="Q37" i="20"/>
  <c r="S243" i="20"/>
  <c r="O143" i="20"/>
  <c r="Q361" i="20"/>
  <c r="O134" i="20"/>
  <c r="Q275" i="20"/>
  <c r="G190" i="20"/>
  <c r="S197" i="20"/>
  <c r="G115" i="20"/>
  <c r="S101" i="20"/>
  <c r="G130" i="20"/>
  <c r="O20" i="20"/>
  <c r="S117" i="20"/>
  <c r="S222" i="20"/>
  <c r="G334" i="20"/>
  <c r="S268" i="20"/>
  <c r="S47" i="20"/>
  <c r="Q218" i="20"/>
  <c r="Q175" i="20"/>
  <c r="O284" i="20"/>
  <c r="Q217" i="20"/>
  <c r="O179" i="20"/>
  <c r="Q149" i="20"/>
  <c r="O239" i="20"/>
  <c r="Q43" i="20"/>
  <c r="G250" i="20"/>
  <c r="Q265" i="20"/>
  <c r="S183" i="20"/>
  <c r="S272" i="20"/>
  <c r="S76" i="20"/>
  <c r="G337" i="20"/>
  <c r="O119" i="20"/>
  <c r="S100" i="20"/>
  <c r="Q286" i="20"/>
  <c r="O266" i="20"/>
  <c r="S188" i="20"/>
  <c r="O233" i="20"/>
  <c r="S113" i="20"/>
  <c r="O230" i="20"/>
  <c r="Q400" i="20"/>
  <c r="G196" i="20"/>
  <c r="Q374" i="20"/>
  <c r="Q136" i="20"/>
  <c r="S180" i="20"/>
  <c r="G307" i="20"/>
  <c r="S255" i="20"/>
  <c r="S355" i="20"/>
  <c r="Q215" i="20"/>
  <c r="S172" i="20"/>
  <c r="Q67" i="20"/>
  <c r="O62" i="20"/>
  <c r="S415" i="20"/>
  <c r="O26" i="20"/>
  <c r="S338" i="20"/>
  <c r="S294" i="20"/>
  <c r="Q209" i="20"/>
  <c r="Q13" i="20"/>
  <c r="S171" i="20"/>
  <c r="G283" i="20"/>
  <c r="S321" i="20"/>
  <c r="S400" i="20"/>
  <c r="G154" i="20"/>
  <c r="O122" i="20"/>
  <c r="S389" i="20"/>
  <c r="S410" i="20"/>
  <c r="Q194" i="20"/>
  <c r="S161" i="20"/>
  <c r="G109" i="20"/>
  <c r="S122" i="20"/>
  <c r="Q22" i="20"/>
  <c r="G259" i="20"/>
  <c r="S46" i="20"/>
  <c r="S106" i="20"/>
  <c r="S177" i="20"/>
  <c r="O128" i="20"/>
  <c r="S348" i="20"/>
  <c r="S314" i="20"/>
  <c r="S170" i="20"/>
  <c r="S55" i="20"/>
  <c r="Q196" i="20"/>
  <c r="S315" i="20"/>
  <c r="S109" i="20"/>
  <c r="S9" i="20"/>
  <c r="Q19" i="20"/>
  <c r="Q308" i="20"/>
  <c r="G394" i="20"/>
  <c r="Q371" i="20"/>
  <c r="G364" i="20"/>
  <c r="G202" i="20"/>
  <c r="S287" i="20"/>
  <c r="Q250" i="20"/>
  <c r="Q274" i="20"/>
  <c r="S286" i="20"/>
  <c r="G97" i="20"/>
  <c r="O212" i="20"/>
  <c r="Q20" i="20"/>
  <c r="O140" i="20"/>
  <c r="Q130" i="20"/>
  <c r="S362" i="20"/>
  <c r="Q382" i="20"/>
  <c r="G172" i="20"/>
  <c r="S199" i="20"/>
  <c r="S48" i="20"/>
  <c r="S254" i="20"/>
  <c r="S359" i="20"/>
  <c r="S102" i="20"/>
  <c r="Q326" i="20"/>
  <c r="S97" i="20"/>
  <c r="Q346" i="20"/>
  <c r="Q271" i="20"/>
  <c r="G301" i="20"/>
  <c r="G349" i="20"/>
  <c r="S127" i="20"/>
  <c r="S307" i="20"/>
  <c r="O401" i="20"/>
  <c r="Q362" i="20"/>
  <c r="Q205" i="20"/>
  <c r="S92" i="20"/>
  <c r="G193" i="20"/>
  <c r="G325" i="20"/>
  <c r="Q355" i="20"/>
  <c r="S72" i="20"/>
  <c r="G391" i="20"/>
  <c r="G118" i="20"/>
  <c r="S396" i="20"/>
  <c r="O35" i="20"/>
  <c r="G16" i="20"/>
  <c r="O23" i="20"/>
  <c r="G406" i="20"/>
  <c r="Q398" i="20"/>
  <c r="S327" i="20"/>
  <c r="S337" i="20"/>
  <c r="Q77" i="20"/>
  <c r="G271" i="20"/>
  <c r="Q88" i="20"/>
  <c r="G286" i="20"/>
  <c r="S312" i="20"/>
  <c r="Q410" i="20"/>
  <c r="S382" i="20"/>
  <c r="S292" i="20"/>
  <c r="O11" i="20"/>
  <c r="S208" i="20"/>
  <c r="S372" i="20"/>
  <c r="S376" i="20"/>
  <c r="S352" i="20"/>
  <c r="S305" i="20"/>
  <c r="Q284" i="20"/>
  <c r="S21" i="20"/>
  <c r="S209" i="20"/>
  <c r="Q7" i="20"/>
  <c r="S36" i="20"/>
  <c r="S192" i="20"/>
  <c r="S53" i="20"/>
  <c r="S121" i="20"/>
  <c r="G37" i="20"/>
  <c r="Q272" i="20"/>
  <c r="Q200" i="20"/>
  <c r="S139" i="20"/>
  <c r="S160" i="20"/>
  <c r="G55" i="20"/>
  <c r="Q379" i="20"/>
  <c r="Q256" i="20"/>
  <c r="G58" i="20"/>
  <c r="G232" i="20"/>
  <c r="O278" i="20"/>
  <c r="G70" i="20"/>
  <c r="O44" i="20"/>
  <c r="S149" i="20"/>
  <c r="G121" i="20"/>
  <c r="S125" i="20"/>
  <c r="S409" i="20"/>
  <c r="Q388" i="20"/>
  <c r="G31" i="20"/>
  <c r="S336" i="20"/>
  <c r="S340" i="20"/>
  <c r="G256" i="20"/>
  <c r="G241" i="20"/>
  <c r="Q359" i="20"/>
  <c r="O248" i="20"/>
  <c r="O80" i="20"/>
  <c r="O329" i="20"/>
  <c r="Q358" i="20"/>
  <c r="S73" i="20"/>
  <c r="G295" i="20"/>
  <c r="S54" i="20"/>
  <c r="O101" i="20"/>
  <c r="O323" i="20"/>
  <c r="S368" i="20"/>
  <c r="O407" i="20"/>
  <c r="Q293" i="20"/>
  <c r="O272" i="20"/>
  <c r="Q182" i="20"/>
  <c r="S405" i="20"/>
  <c r="G205" i="20"/>
  <c r="Q416" i="20"/>
  <c r="S78" i="20"/>
  <c r="Q167" i="20"/>
  <c r="S189" i="20"/>
  <c r="Q397" i="20"/>
  <c r="S278" i="20"/>
  <c r="G46" i="20"/>
  <c r="Q305" i="20"/>
  <c r="Q380" i="20"/>
  <c r="Q319" i="20"/>
  <c r="S350" i="20"/>
  <c r="Q241" i="20"/>
  <c r="S193" i="20"/>
  <c r="Q103" i="20"/>
  <c r="Q242" i="20"/>
  <c r="G409" i="20"/>
  <c r="Q113" i="20"/>
  <c r="G298" i="20"/>
  <c r="S381" i="20"/>
  <c r="Q71" i="20"/>
  <c r="Q155" i="20"/>
  <c r="Q283" i="20"/>
  <c r="Q61" i="20"/>
  <c r="S252" i="20"/>
  <c r="O269" i="20"/>
  <c r="G274" i="20"/>
  <c r="O314" i="20"/>
  <c r="S200" i="20"/>
  <c r="O182" i="20"/>
  <c r="S74" i="20"/>
  <c r="S308" i="20"/>
  <c r="G34" i="20"/>
  <c r="S236" i="20"/>
  <c r="G376" i="20"/>
  <c r="S328" i="20"/>
  <c r="Q151" i="20"/>
  <c r="S262" i="20"/>
  <c r="S253" i="20"/>
  <c r="S251" i="20"/>
  <c r="O227" i="20"/>
  <c r="Q190" i="20"/>
  <c r="O305" i="20"/>
  <c r="S112" i="20"/>
  <c r="Q118" i="20"/>
  <c r="S49" i="20"/>
  <c r="S220" i="20"/>
  <c r="S157" i="20"/>
  <c r="G388" i="20"/>
  <c r="Q251" i="20"/>
  <c r="O167" i="20"/>
  <c r="S339" i="20"/>
  <c r="S271" i="20"/>
  <c r="S26" i="20"/>
  <c r="Q202" i="20"/>
  <c r="O176" i="20"/>
  <c r="S162" i="20"/>
  <c r="O197" i="20"/>
  <c r="S90" i="20"/>
  <c r="Q79" i="20"/>
  <c r="S14" i="20"/>
  <c r="Q404" i="20"/>
  <c r="Q107" i="20"/>
  <c r="S329" i="20"/>
  <c r="Q377" i="20"/>
  <c r="Q368" i="20"/>
  <c r="S159" i="20"/>
  <c r="Q352" i="20"/>
  <c r="O368" i="20"/>
  <c r="S115" i="20"/>
  <c r="S98" i="20"/>
  <c r="G253" i="20"/>
  <c r="G370" i="20"/>
  <c r="S377" i="20"/>
  <c r="Q298" i="20"/>
  <c r="Q278" i="20"/>
  <c r="O32" i="20"/>
  <c r="O350" i="20"/>
  <c r="O200" i="20"/>
  <c r="Q314" i="20"/>
  <c r="G124" i="20"/>
  <c r="S169" i="20"/>
  <c r="Q409" i="20"/>
  <c r="Q35" i="20"/>
  <c r="G178" i="20"/>
  <c r="O296" i="20"/>
  <c r="O161" i="20"/>
  <c r="S132" i="20"/>
  <c r="S52" i="20"/>
  <c r="Q64" i="20"/>
  <c r="O170" i="20"/>
  <c r="S120" i="20"/>
  <c r="Q178" i="20"/>
  <c r="Q176" i="20"/>
  <c r="Q94" i="20"/>
  <c r="O56" i="20"/>
  <c r="S191" i="20"/>
  <c r="S56" i="20"/>
  <c r="Q395" i="20"/>
  <c r="S264" i="20"/>
  <c r="Q332" i="20"/>
  <c r="O125" i="20"/>
  <c r="G94" i="20"/>
  <c r="O209" i="20"/>
  <c r="S7" i="20"/>
  <c r="O86" i="20"/>
  <c r="S263" i="20"/>
  <c r="Q26" i="20"/>
  <c r="S320" i="20"/>
  <c r="Q109" i="20"/>
  <c r="G367" i="20"/>
  <c r="G73" i="20"/>
  <c r="Q154" i="20"/>
  <c r="S103" i="20"/>
  <c r="S24" i="20"/>
  <c r="Q56" i="20"/>
  <c r="Q391" i="20"/>
  <c r="S235" i="20"/>
  <c r="O344" i="20"/>
  <c r="O290" i="20"/>
  <c r="S66" i="20"/>
  <c r="S289" i="20"/>
  <c r="Q340" i="20"/>
  <c r="S88" i="20"/>
  <c r="S155" i="20"/>
  <c r="Q334" i="20"/>
  <c r="Q193" i="20"/>
  <c r="Q311" i="20"/>
  <c r="Q227" i="20"/>
  <c r="O53" i="20"/>
  <c r="Q229" i="20"/>
  <c r="O71" i="20"/>
  <c r="G175" i="20"/>
  <c r="O17" i="20"/>
  <c r="G361" i="20"/>
  <c r="S398" i="20"/>
  <c r="Q131" i="20"/>
  <c r="S326" i="20"/>
  <c r="G199" i="20"/>
  <c r="S31" i="20"/>
  <c r="O38" i="20"/>
  <c r="S201" i="20"/>
  <c r="S367" i="20"/>
  <c r="Q335" i="20"/>
  <c r="O98" i="20"/>
  <c r="Q373" i="20"/>
  <c r="O74" i="20"/>
  <c r="S416" i="20"/>
  <c r="Q376" i="20"/>
  <c r="Q289" i="20"/>
  <c r="G19" i="20"/>
  <c r="G277" i="20"/>
  <c r="S399" i="20"/>
  <c r="O191" i="20"/>
  <c r="Q349" i="20"/>
  <c r="G247" i="20"/>
  <c r="O380" i="20"/>
  <c r="Q304" i="20"/>
  <c r="S217" i="20"/>
  <c r="O77" i="20"/>
  <c r="S158" i="20"/>
  <c r="O59" i="20"/>
  <c r="S378" i="20"/>
  <c r="S330" i="20"/>
  <c r="S246" i="20"/>
  <c r="S358" i="20"/>
  <c r="G220" i="20"/>
  <c r="Q337" i="20"/>
  <c r="O50" i="20"/>
  <c r="G187" i="20"/>
  <c r="S140" i="20"/>
  <c r="O293" i="20"/>
  <c r="Q98" i="20"/>
  <c r="S114" i="20"/>
  <c r="G133" i="20"/>
  <c r="G166" i="20"/>
  <c r="Q91" i="20"/>
  <c r="S110" i="20"/>
  <c r="O332" i="20"/>
  <c r="S309" i="20"/>
  <c r="S118" i="20"/>
  <c r="G238" i="20"/>
  <c r="Q14" i="20"/>
  <c r="O287" i="20"/>
  <c r="G292" i="20"/>
  <c r="Q266" i="20"/>
  <c r="S148" i="20"/>
  <c r="O113" i="20"/>
  <c r="Q407" i="20"/>
  <c r="Q268" i="20"/>
  <c r="O341" i="20"/>
  <c r="G403" i="20"/>
  <c r="S124" i="20"/>
  <c r="Q329" i="20"/>
  <c r="O302" i="20"/>
  <c r="G229" i="20"/>
  <c r="Q296" i="20"/>
  <c r="Q263" i="20"/>
  <c r="S293" i="20"/>
  <c r="S173" i="20"/>
  <c r="Q244" i="20"/>
  <c r="G262" i="20"/>
  <c r="Q214" i="20"/>
  <c r="G49" i="20"/>
  <c r="Q389" i="20"/>
  <c r="O386" i="20"/>
  <c r="G340" i="20"/>
  <c r="O356" i="20"/>
  <c r="S267" i="20"/>
  <c r="Q254" i="20"/>
  <c r="G181" i="20"/>
  <c r="G112" i="20"/>
  <c r="S393" i="20"/>
  <c r="S45" i="20"/>
  <c r="S300" i="20"/>
  <c r="S318" i="20"/>
  <c r="S332" i="20"/>
  <c r="S61" i="20"/>
  <c r="Q415" i="20"/>
  <c r="Q85" i="20"/>
  <c r="G316" i="20"/>
  <c r="S227" i="20"/>
  <c r="S178" i="20"/>
  <c r="S87" i="20"/>
  <c r="Q106" i="20"/>
  <c r="S69" i="20"/>
  <c r="Q53" i="20"/>
  <c r="S223" i="20"/>
  <c r="G346" i="20"/>
  <c r="S274" i="20"/>
  <c r="S273" i="20"/>
  <c r="Q188" i="20"/>
  <c r="S181" i="20"/>
  <c r="Q245" i="20"/>
  <c r="O149" i="20"/>
  <c r="S224" i="20"/>
  <c r="O68" i="20"/>
  <c r="Q179" i="20"/>
  <c r="Q169" i="20"/>
  <c r="S317" i="20"/>
  <c r="S75" i="20"/>
  <c r="S288" i="20"/>
  <c r="S27" i="20"/>
  <c r="Q356" i="20"/>
  <c r="O317" i="20"/>
  <c r="Q233" i="20"/>
  <c r="O203" i="20"/>
  <c r="Q158" i="20"/>
  <c r="G142" i="20"/>
  <c r="S86" i="20"/>
  <c r="S111" i="20"/>
  <c r="G217" i="20"/>
  <c r="Q119" i="20"/>
  <c r="Q25" i="20"/>
  <c r="G106" i="20"/>
  <c r="Q161" i="20"/>
  <c r="G136" i="20"/>
  <c r="S316" i="20"/>
  <c r="S123" i="20"/>
  <c r="S265" i="20"/>
  <c r="S215" i="20"/>
  <c r="S231" i="20"/>
  <c r="S126" i="20"/>
  <c r="S81" i="20"/>
  <c r="S283" i="20"/>
  <c r="Q74" i="20"/>
  <c r="Q350" i="20"/>
  <c r="S22" i="20"/>
  <c r="Q248" i="20"/>
  <c r="O299" i="20"/>
  <c r="Q224" i="20"/>
  <c r="Q295" i="20"/>
  <c r="G310" i="20"/>
  <c r="G208" i="20"/>
  <c r="G244" i="20"/>
  <c r="G163" i="20"/>
  <c r="S194" i="20"/>
  <c r="S93" i="20"/>
  <c r="G43" i="20"/>
  <c r="S85" i="20"/>
  <c r="S19" i="20"/>
  <c r="S291" i="20"/>
  <c r="O392" i="20"/>
  <c r="Q173" i="20"/>
  <c r="O260" i="20"/>
  <c r="S353" i="20"/>
  <c r="G223" i="20"/>
  <c r="S218" i="20"/>
  <c r="G265" i="20"/>
  <c r="O371" i="20"/>
  <c r="S130" i="20"/>
  <c r="S153" i="20"/>
  <c r="S373" i="20"/>
  <c r="O335" i="20"/>
  <c r="Q253" i="20"/>
  <c r="S50" i="20"/>
  <c r="Q320" i="20"/>
  <c r="Q223" i="20"/>
  <c r="S279" i="20"/>
  <c r="Q92" i="20"/>
  <c r="S379" i="20"/>
  <c r="S370" i="20"/>
  <c r="S230" i="20"/>
  <c r="O41" i="20"/>
  <c r="O155" i="20"/>
  <c r="O152" i="20"/>
  <c r="Q112" i="20"/>
  <c r="O185" i="20"/>
  <c r="Q49" i="20"/>
  <c r="O110" i="20"/>
  <c r="G67" i="20"/>
  <c r="S91" i="20"/>
  <c r="S363" i="20"/>
  <c r="S23" i="20"/>
  <c r="S333" i="20"/>
  <c r="O263" i="20"/>
  <c r="G85" i="20"/>
  <c r="Q203" i="20"/>
  <c r="O362" i="20"/>
  <c r="S105" i="20"/>
  <c r="O218" i="20"/>
  <c r="S68" i="20"/>
  <c r="O164" i="20"/>
  <c r="S342" i="20"/>
  <c r="S77" i="20"/>
  <c r="S228" i="20"/>
  <c r="Q97" i="20"/>
  <c r="G184" i="20"/>
  <c r="S37" i="20"/>
  <c r="S62" i="20"/>
  <c r="S179" i="20"/>
  <c r="Q310" i="20"/>
  <c r="O47" i="20"/>
  <c r="Q86" i="20"/>
  <c r="S334" i="20"/>
  <c r="Q76" i="20"/>
  <c r="G313" i="20"/>
  <c r="G211" i="20"/>
  <c r="S13" i="20"/>
  <c r="S256" i="20"/>
  <c r="O107" i="20"/>
  <c r="Q406" i="20"/>
  <c r="O224" i="20"/>
  <c r="S295" i="20"/>
  <c r="O365" i="20"/>
  <c r="O137" i="20"/>
  <c r="S168" i="20"/>
  <c r="O95" i="20"/>
  <c r="S135" i="20"/>
  <c r="S402" i="20"/>
  <c r="Q317" i="20"/>
  <c r="G64" i="20"/>
  <c r="S346" i="20"/>
  <c r="S290" i="20"/>
  <c r="O281" i="20"/>
  <c r="S108" i="20"/>
  <c r="G214" i="20"/>
  <c r="S57" i="20"/>
  <c r="S406" i="20"/>
  <c r="G28" i="20"/>
  <c r="G268" i="20"/>
  <c r="Q206" i="20"/>
  <c r="S38" i="20"/>
  <c r="S369" i="20"/>
  <c r="S361" i="20"/>
  <c r="O158" i="20"/>
  <c r="Q277" i="20"/>
  <c r="Q70" i="20"/>
  <c r="Q140" i="20"/>
  <c r="S96" i="20"/>
  <c r="S349" i="20"/>
  <c r="S392" i="20"/>
  <c r="G4" i="20"/>
  <c r="G358" i="20"/>
  <c r="S257" i="20"/>
  <c r="Q68" i="20"/>
  <c r="S408" i="20"/>
  <c r="S221" i="20"/>
  <c r="G328" i="20"/>
  <c r="Q307" i="20"/>
  <c r="O89" i="20"/>
  <c r="O404" i="20"/>
  <c r="O398" i="20"/>
  <c r="G289" i="20"/>
  <c r="G304" i="20"/>
  <c r="S242" i="20"/>
  <c r="S145" i="20"/>
  <c r="S136" i="20"/>
  <c r="S198" i="20"/>
  <c r="S391" i="20"/>
  <c r="O308" i="20"/>
  <c r="G151" i="20"/>
  <c r="O173" i="20"/>
  <c r="Q80" i="20"/>
  <c r="O131" i="20"/>
  <c r="G280" i="20"/>
  <c r="S137" i="20"/>
  <c r="S10" i="20"/>
  <c r="S70" i="20"/>
  <c r="S99" i="20"/>
  <c r="Q38" i="20"/>
  <c r="G169" i="20"/>
  <c r="Q262" i="20"/>
  <c r="Q292" i="20"/>
  <c r="Q152" i="20"/>
  <c r="Q187" i="20"/>
  <c r="O413" i="20"/>
  <c r="Q370" i="20"/>
  <c r="O389" i="20"/>
  <c r="S299" i="20"/>
  <c r="Q290" i="20"/>
  <c r="S219" i="20"/>
  <c r="Q181" i="20"/>
  <c r="S241" i="20"/>
  <c r="G100" i="20"/>
  <c r="S395" i="20"/>
  <c r="S32" i="20"/>
  <c r="S190" i="20"/>
  <c r="S234" i="20"/>
  <c r="Q121" i="20"/>
  <c r="S196" i="20"/>
  <c r="O5" i="20"/>
  <c r="G343" i="20"/>
  <c r="S374" i="20"/>
  <c r="S270" i="20"/>
  <c r="Q221" i="20"/>
  <c r="Q137" i="20"/>
  <c r="S276" i="20"/>
  <c r="O275" i="20"/>
  <c r="G331" i="20"/>
  <c r="O383" i="20"/>
  <c r="S258" i="20"/>
  <c r="O206" i="20"/>
  <c r="S151" i="20"/>
  <c r="S65" i="20"/>
  <c r="S154" i="20"/>
  <c r="G355" i="20"/>
  <c r="S357" i="20"/>
  <c r="S319" i="20"/>
  <c r="S94" i="20"/>
  <c r="S138" i="20"/>
  <c r="S205" i="20"/>
  <c r="O83" i="20"/>
  <c r="Q11" i="20"/>
  <c r="O92" i="20"/>
  <c r="Q316" i="20"/>
  <c r="S233" i="20"/>
  <c r="S266" i="20"/>
  <c r="G157" i="20"/>
  <c r="Q116" i="20"/>
  <c r="G40" i="20"/>
  <c r="S129" i="20"/>
  <c r="G415" i="20"/>
  <c r="S383" i="20"/>
  <c r="Q353" i="20"/>
  <c r="S229" i="20"/>
  <c r="G235" i="20"/>
  <c r="S404" i="20"/>
  <c r="Q403" i="20"/>
  <c r="S146" i="20"/>
  <c r="Q232" i="20"/>
  <c r="S156" i="20"/>
  <c r="G160" i="20"/>
  <c r="Q47" i="20"/>
  <c r="G76" i="20"/>
  <c r="S71" i="20"/>
  <c r="S354" i="20"/>
  <c r="Q65" i="20"/>
  <c r="Q100" i="20"/>
  <c r="S298" i="20"/>
  <c r="Q166" i="20"/>
  <c r="S128" i="20"/>
  <c r="Q46" i="20"/>
  <c r="G352" i="20"/>
  <c r="S141" i="20"/>
  <c r="S204" i="20"/>
  <c r="Q122" i="20"/>
  <c r="Q139" i="20"/>
  <c r="S325" i="20"/>
  <c r="Q32" i="20"/>
  <c r="G13" i="20"/>
  <c r="S304" i="20"/>
  <c r="G385" i="20"/>
  <c r="O320" i="20"/>
  <c r="S371" i="20"/>
  <c r="G61" i="20"/>
  <c r="Q31" i="20"/>
  <c r="O245" i="20"/>
  <c r="G148" i="20"/>
  <c r="S8" i="20"/>
  <c r="G382" i="20"/>
  <c r="G412" i="20"/>
  <c r="O410" i="20"/>
  <c r="Q338" i="20"/>
  <c r="G322" i="20"/>
  <c r="Q247" i="20"/>
  <c r="S225" i="20"/>
  <c r="G145" i="20"/>
  <c r="Q145" i="20"/>
  <c r="Q331" i="20"/>
  <c r="S297" i="20"/>
  <c r="G79" i="20"/>
  <c r="G91" i="20"/>
  <c r="Q394" i="20"/>
  <c r="S150" i="20"/>
  <c r="S174" i="20"/>
  <c r="O188" i="20"/>
  <c r="Q95" i="20"/>
  <c r="O194" i="20"/>
  <c r="S15" i="20"/>
  <c r="S12" i="20"/>
  <c r="S310" i="20"/>
  <c r="S284" i="20"/>
  <c r="S375" i="20"/>
  <c r="S166" i="20"/>
  <c r="Q197" i="20"/>
  <c r="S311" i="20"/>
  <c r="Q235" i="20"/>
  <c r="G82" i="20"/>
  <c r="G25" i="20"/>
  <c r="Q191" i="20"/>
  <c r="Q128" i="20"/>
  <c r="S67" i="20"/>
  <c r="S89" i="20"/>
  <c r="Q220" i="20"/>
  <c r="Q44" i="20"/>
  <c r="O416" i="20"/>
  <c r="O338" i="20"/>
  <c r="Q125" i="20"/>
  <c r="O8" i="20"/>
  <c r="S182" i="20"/>
  <c r="S214" i="20"/>
  <c r="S335" i="20"/>
  <c r="Q89" i="20"/>
  <c r="G22" i="20"/>
  <c r="S104" i="20"/>
  <c r="Q146" i="20"/>
  <c r="S35" i="20"/>
  <c r="S44" i="20"/>
  <c r="G7" i="20"/>
  <c r="Q23" i="20"/>
  <c r="S394" i="20"/>
  <c r="G103" i="20"/>
  <c r="S34" i="20"/>
  <c r="O104" i="20"/>
  <c r="S51" i="20"/>
  <c r="O146" i="20"/>
  <c r="S187" i="20"/>
  <c r="O65" i="20"/>
  <c r="S79" i="20"/>
  <c r="S176" i="20"/>
  <c r="S250" i="20"/>
  <c r="Q148" i="20"/>
  <c r="S380" i="20"/>
  <c r="Q341" i="20"/>
  <c r="O251" i="20"/>
  <c r="G10" i="20"/>
  <c r="Q34" i="20"/>
  <c r="O353" i="20"/>
  <c r="S269" i="20"/>
  <c r="O311" i="20"/>
  <c r="S20" i="20"/>
  <c r="S397" i="20"/>
  <c r="S237" i="20"/>
  <c r="S401" i="20"/>
  <c r="S390" i="20"/>
  <c r="O236" i="20"/>
  <c r="O14" i="20"/>
  <c r="Q10" i="20"/>
  <c r="Q52" i="20"/>
  <c r="Q160" i="20"/>
  <c r="S64" i="20"/>
  <c r="O374" i="20"/>
  <c r="G52" i="20"/>
  <c r="Q73" i="20"/>
  <c r="Q115" i="20"/>
  <c r="Q133" i="20"/>
  <c r="S80" i="20"/>
  <c r="Q110" i="20"/>
  <c r="O377" i="20"/>
  <c r="S331" i="20"/>
  <c r="S152" i="20"/>
  <c r="G139" i="20"/>
  <c r="S95" i="20"/>
  <c r="Q287" i="20"/>
  <c r="Q269" i="20"/>
  <c r="Q313" i="20"/>
  <c r="Q124" i="20"/>
  <c r="Q62" i="20"/>
  <c r="S116" i="20"/>
  <c r="O395" i="20"/>
  <c r="Q347" i="20"/>
  <c r="Q8" i="20"/>
  <c r="Q401" i="20"/>
  <c r="O347" i="20"/>
  <c r="S277" i="20"/>
  <c r="Q104" i="20"/>
  <c r="G373" i="20"/>
  <c r="S33" i="20"/>
  <c r="S356" i="20"/>
  <c r="Q157" i="20"/>
  <c r="Q236" i="20"/>
  <c r="S202" i="20"/>
  <c r="S403" i="20"/>
  <c r="O215" i="20"/>
  <c r="Q392" i="20"/>
  <c r="O221" i="20"/>
  <c r="S133" i="20"/>
  <c r="O257" i="20"/>
  <c r="Q55" i="20"/>
  <c r="S43" i="20"/>
  <c r="G127" i="20"/>
  <c r="S351" i="20"/>
  <c r="Q50" i="20"/>
  <c r="S216" i="20"/>
  <c r="S275" i="20"/>
  <c r="S134" i="20"/>
  <c r="S232" i="20"/>
  <c r="Q172" i="20"/>
  <c r="S249" i="20"/>
  <c r="Q127" i="20"/>
  <c r="S167" i="20"/>
  <c r="O29" i="20"/>
  <c r="S388" i="20"/>
  <c r="S411" i="20"/>
  <c r="S306" i="20"/>
  <c r="S247" i="20"/>
  <c r="S175" i="20"/>
  <c r="S360" i="20"/>
  <c r="S107" i="20"/>
  <c r="S245" i="20"/>
  <c r="S206" i="20"/>
  <c r="S210" i="20"/>
  <c r="S407" i="20"/>
  <c r="G400" i="20"/>
  <c r="S244" i="20"/>
  <c r="S341" i="20"/>
  <c r="S384" i="20"/>
  <c r="Q299" i="20"/>
  <c r="S313" i="20"/>
  <c r="S226" i="20"/>
  <c r="Q208" i="20"/>
  <c r="S296" i="20"/>
  <c r="O254" i="20"/>
  <c r="S347" i="20"/>
  <c r="O242" i="20"/>
  <c r="Q257" i="20"/>
  <c r="Q199" i="20"/>
  <c r="G397" i="20"/>
  <c r="S248" i="20"/>
  <c r="Q367" i="20"/>
  <c r="Q134" i="20"/>
  <c r="Q383" i="20"/>
  <c r="O116" i="20"/>
  <c r="S119" i="20"/>
  <c r="Q328" i="20"/>
  <c r="Q101" i="20"/>
  <c r="S131" i="20"/>
  <c r="G88" i="20"/>
  <c r="S25" i="20"/>
  <c r="S207" i="20"/>
  <c r="S195" i="20"/>
  <c r="S285" i="20"/>
  <c r="Q170" i="20"/>
  <c r="S11" i="20"/>
  <c r="C416" i="20" l="1"/>
  <c r="V416" i="20" s="1"/>
  <c r="Q228" i="20"/>
  <c r="G47" i="20"/>
  <c r="G48" i="20" s="1"/>
  <c r="C23" i="20"/>
  <c r="Q45" i="20"/>
  <c r="C383" i="20"/>
  <c r="V383" i="20" s="1"/>
  <c r="C146" i="20"/>
  <c r="V146" i="20" s="1"/>
  <c r="G74" i="20"/>
  <c r="G75" i="20" s="1"/>
  <c r="G317" i="20"/>
  <c r="G318" i="20" s="1"/>
  <c r="Q288" i="20"/>
  <c r="G203" i="20"/>
  <c r="G204" i="20" s="1"/>
  <c r="C134" i="20"/>
  <c r="Q105" i="20"/>
  <c r="Q12" i="20"/>
  <c r="G89" i="20"/>
  <c r="G90" i="20" s="1"/>
  <c r="G23" i="20"/>
  <c r="G24" i="20" s="1"/>
  <c r="Q36" i="20"/>
  <c r="Q249" i="20"/>
  <c r="C89" i="20"/>
  <c r="V89" i="20" s="1"/>
  <c r="G104" i="20"/>
  <c r="G105" i="20" s="1"/>
  <c r="G368" i="20"/>
  <c r="G369" i="20" s="1"/>
  <c r="G8" i="20"/>
  <c r="G9" i="20" s="1"/>
  <c r="Q132" i="20"/>
  <c r="G398" i="20"/>
  <c r="G399" i="20" s="1"/>
  <c r="Q336" i="20"/>
  <c r="Q333" i="20"/>
  <c r="G365" i="20"/>
  <c r="G366" i="20" s="1"/>
  <c r="G185" i="20"/>
  <c r="G186" i="20" s="1"/>
  <c r="C167" i="20"/>
  <c r="V167" i="20" s="1"/>
  <c r="C101" i="20"/>
  <c r="C257" i="20"/>
  <c r="V257" i="20" s="1"/>
  <c r="Q183" i="20"/>
  <c r="G98" i="20"/>
  <c r="G99" i="20" s="1"/>
  <c r="Q279" i="20"/>
  <c r="M242" i="20"/>
  <c r="C170" i="20"/>
  <c r="C371" i="20"/>
  <c r="V371" i="20" s="1"/>
  <c r="Q348" i="20"/>
  <c r="C125" i="20"/>
  <c r="V125" i="20" s="1"/>
  <c r="C53" i="20"/>
  <c r="Q321" i="20"/>
  <c r="G206" i="20"/>
  <c r="G207" i="20" s="1"/>
  <c r="Q120" i="20"/>
  <c r="M254" i="20"/>
  <c r="M338" i="20"/>
  <c r="C305" i="20"/>
  <c r="V305" i="20" s="1"/>
  <c r="G113" i="20"/>
  <c r="G114" i="20" s="1"/>
  <c r="C26" i="20"/>
  <c r="G395" i="20"/>
  <c r="Q297" i="20"/>
  <c r="M416" i="20"/>
  <c r="C137" i="20"/>
  <c r="Q78" i="20"/>
  <c r="G182" i="20"/>
  <c r="G183" i="20" s="1"/>
  <c r="Q264" i="20"/>
  <c r="C182" i="20"/>
  <c r="C308" i="20"/>
  <c r="V308" i="20" s="1"/>
  <c r="C44" i="20"/>
  <c r="C221" i="20"/>
  <c r="V221" i="20" s="1"/>
  <c r="C254" i="20"/>
  <c r="V254" i="20" s="1"/>
  <c r="M86" i="20"/>
  <c r="M272" i="20"/>
  <c r="M116" i="20"/>
  <c r="C293" i="20"/>
  <c r="V293" i="20" s="1"/>
  <c r="Q90" i="20"/>
  <c r="Q375" i="20"/>
  <c r="M164" i="20"/>
  <c r="M356" i="20"/>
  <c r="M209" i="20"/>
  <c r="M407" i="20"/>
  <c r="C299" i="20"/>
  <c r="V299" i="20" s="1"/>
  <c r="G344" i="20"/>
  <c r="G345" i="20" s="1"/>
  <c r="Q69" i="20"/>
  <c r="G341" i="20"/>
  <c r="G342" i="20" s="1"/>
  <c r="G95" i="20"/>
  <c r="G96" i="20" s="1"/>
  <c r="Q369" i="20"/>
  <c r="C128" i="20"/>
  <c r="M218" i="20"/>
  <c r="M386" i="20"/>
  <c r="M125" i="20"/>
  <c r="M323" i="20"/>
  <c r="Q342" i="20"/>
  <c r="C191" i="20"/>
  <c r="V191" i="20" s="1"/>
  <c r="C389" i="20"/>
  <c r="V389" i="20" s="1"/>
  <c r="C332" i="20"/>
  <c r="V332" i="20" s="1"/>
  <c r="M101" i="20"/>
  <c r="G26" i="20"/>
  <c r="G27" i="20" s="1"/>
  <c r="M362" i="20"/>
  <c r="G50" i="20"/>
  <c r="G51" i="20" s="1"/>
  <c r="G401" i="20"/>
  <c r="G402" i="20" s="1"/>
  <c r="G83" i="20"/>
  <c r="G84" i="20" s="1"/>
  <c r="C203" i="20"/>
  <c r="V203" i="20" s="1"/>
  <c r="C395" i="20"/>
  <c r="V395" i="20" s="1"/>
  <c r="G296" i="20"/>
  <c r="G297" i="20" s="1"/>
  <c r="Q171" i="20"/>
  <c r="Q408" i="20"/>
  <c r="G86" i="20"/>
  <c r="G263" i="20"/>
  <c r="G264" i="20" s="1"/>
  <c r="Q57" i="20"/>
  <c r="Q315" i="20"/>
  <c r="Q312" i="20"/>
  <c r="Q33" i="20"/>
  <c r="M263" i="20"/>
  <c r="Q192" i="20"/>
  <c r="Q207" i="20"/>
  <c r="C197" i="20"/>
  <c r="V197" i="20" s="1"/>
  <c r="Q396" i="20"/>
  <c r="Q174" i="20"/>
  <c r="M56" i="20"/>
  <c r="M329" i="20"/>
  <c r="M128" i="20"/>
  <c r="Q246" i="20"/>
  <c r="G101" i="20"/>
  <c r="Q24" i="20"/>
  <c r="Q294" i="20"/>
  <c r="M80" i="20"/>
  <c r="Q108" i="20"/>
  <c r="C263" i="20"/>
  <c r="V263" i="20" s="1"/>
  <c r="C176" i="20"/>
  <c r="M248" i="20"/>
  <c r="Q285" i="20"/>
  <c r="C296" i="20"/>
  <c r="V296" i="20" s="1"/>
  <c r="C359" i="20"/>
  <c r="V359" i="20" s="1"/>
  <c r="G68" i="20"/>
  <c r="G69" i="20" s="1"/>
  <c r="G230" i="20"/>
  <c r="G231" i="20" s="1"/>
  <c r="G242" i="20"/>
  <c r="G243" i="20" s="1"/>
  <c r="G260" i="20"/>
  <c r="G261" i="20" s="1"/>
  <c r="C290" i="20"/>
  <c r="V290" i="20" s="1"/>
  <c r="M110" i="20"/>
  <c r="M302" i="20"/>
  <c r="M170" i="20"/>
  <c r="G257" i="20"/>
  <c r="G258" i="20" s="1"/>
  <c r="Q300" i="20"/>
  <c r="C329" i="20"/>
  <c r="V329" i="20" s="1"/>
  <c r="Q123" i="20"/>
  <c r="M194" i="20"/>
  <c r="M389" i="20"/>
  <c r="M185" i="20"/>
  <c r="G110" i="20"/>
  <c r="G111" i="20" s="1"/>
  <c r="C95" i="20"/>
  <c r="V95" i="20" s="1"/>
  <c r="G404" i="20"/>
  <c r="G405" i="20" s="1"/>
  <c r="G32" i="20"/>
  <c r="G33" i="20" s="1"/>
  <c r="Q162" i="20"/>
  <c r="M29" i="20"/>
  <c r="M188" i="20"/>
  <c r="M413" i="20"/>
  <c r="M152" i="20"/>
  <c r="M341" i="20"/>
  <c r="M161" i="20"/>
  <c r="C194" i="20"/>
  <c r="V194" i="20" s="1"/>
  <c r="Q168" i="20"/>
  <c r="M155" i="20"/>
  <c r="M296" i="20"/>
  <c r="Q411" i="20"/>
  <c r="C152" i="20"/>
  <c r="M41" i="20"/>
  <c r="C407" i="20"/>
  <c r="V407" i="20" s="1"/>
  <c r="G179" i="20"/>
  <c r="G180" i="20" s="1"/>
  <c r="Q126" i="20"/>
  <c r="Q390" i="20"/>
  <c r="Q231" i="20"/>
  <c r="M113" i="20"/>
  <c r="C35" i="20"/>
  <c r="G122" i="20"/>
  <c r="G123" i="20" s="1"/>
  <c r="M122" i="20"/>
  <c r="G92" i="20"/>
  <c r="G93" i="20" s="1"/>
  <c r="Q150" i="20"/>
  <c r="G155" i="20"/>
  <c r="G156" i="20" s="1"/>
  <c r="G80" i="20"/>
  <c r="G170" i="20"/>
  <c r="G171" i="20" s="1"/>
  <c r="C266" i="20"/>
  <c r="V266" i="20" s="1"/>
  <c r="M44" i="20"/>
  <c r="Q135" i="20"/>
  <c r="C38" i="20"/>
  <c r="C92" i="20"/>
  <c r="V92" i="20" s="1"/>
  <c r="G293" i="20"/>
  <c r="G294" i="20" s="1"/>
  <c r="G125" i="20"/>
  <c r="G126" i="20" s="1"/>
  <c r="G71" i="20"/>
  <c r="G72" i="20" s="1"/>
  <c r="Q276" i="20"/>
  <c r="M287" i="20"/>
  <c r="C314" i="20"/>
  <c r="V314" i="20" s="1"/>
  <c r="M278" i="20"/>
  <c r="G284" i="20"/>
  <c r="G285" i="20" s="1"/>
  <c r="C14" i="20"/>
  <c r="M200" i="20"/>
  <c r="G233" i="20"/>
  <c r="G234" i="20" s="1"/>
  <c r="C50" i="20"/>
  <c r="G146" i="20"/>
  <c r="G147" i="20" s="1"/>
  <c r="C320" i="20"/>
  <c r="V320" i="20" s="1"/>
  <c r="G239" i="20"/>
  <c r="G240" i="20" s="1"/>
  <c r="M350" i="20"/>
  <c r="G59" i="20"/>
  <c r="G60" i="20" s="1"/>
  <c r="Q138" i="20"/>
  <c r="Q51" i="20"/>
  <c r="M32" i="20"/>
  <c r="C209" i="20"/>
  <c r="V209" i="20" s="1"/>
  <c r="G128" i="20"/>
  <c r="G129" i="20" s="1"/>
  <c r="G281" i="20"/>
  <c r="G282" i="20" s="1"/>
  <c r="C278" i="20"/>
  <c r="V278" i="20" s="1"/>
  <c r="G323" i="20"/>
  <c r="G324" i="20" s="1"/>
  <c r="M131" i="20"/>
  <c r="M335" i="20"/>
  <c r="M332" i="20"/>
  <c r="G56" i="20"/>
  <c r="G57" i="20" s="1"/>
  <c r="Q339" i="20"/>
  <c r="C338" i="20"/>
  <c r="V338" i="20" s="1"/>
  <c r="C80" i="20"/>
  <c r="Q111" i="20"/>
  <c r="Q378" i="20"/>
  <c r="M26" i="20"/>
  <c r="M257" i="20"/>
  <c r="M410" i="20"/>
  <c r="M173" i="20"/>
  <c r="G371" i="20"/>
  <c r="G372" i="20" s="1"/>
  <c r="G413" i="20"/>
  <c r="G414" i="20" s="1"/>
  <c r="G152" i="20"/>
  <c r="G153" i="20" s="1"/>
  <c r="G167" i="20"/>
  <c r="G168" i="20" s="1"/>
  <c r="G254" i="20"/>
  <c r="G255" i="20" s="1"/>
  <c r="C200" i="20"/>
  <c r="V200" i="20" s="1"/>
  <c r="M62" i="20"/>
  <c r="M221" i="20"/>
  <c r="G383" i="20"/>
  <c r="G384" i="20" s="1"/>
  <c r="M308" i="20"/>
  <c r="M371" i="20"/>
  <c r="G134" i="20"/>
  <c r="G135" i="20" s="1"/>
  <c r="Q99" i="20"/>
  <c r="C272" i="20"/>
  <c r="V272" i="20" s="1"/>
  <c r="C392" i="20"/>
  <c r="V392" i="20" s="1"/>
  <c r="Q9" i="20"/>
  <c r="G266" i="20"/>
  <c r="G267" i="20" s="1"/>
  <c r="G38" i="20"/>
  <c r="G39" i="20" s="1"/>
  <c r="M215" i="20"/>
  <c r="G149" i="20"/>
  <c r="G150" i="20" s="1"/>
  <c r="Q219" i="20"/>
  <c r="C98" i="20"/>
  <c r="M368" i="20"/>
  <c r="C215" i="20"/>
  <c r="V215" i="20" s="1"/>
  <c r="M245" i="20"/>
  <c r="G224" i="20"/>
  <c r="G225" i="20" s="1"/>
  <c r="M293" i="20"/>
  <c r="Q54" i="20"/>
  <c r="Q354" i="20"/>
  <c r="Q141" i="20"/>
  <c r="C236" i="20"/>
  <c r="V236" i="20" s="1"/>
  <c r="G62" i="20"/>
  <c r="G63" i="20" s="1"/>
  <c r="Q243" i="20"/>
  <c r="M260" i="20"/>
  <c r="G188" i="20"/>
  <c r="G189" i="20" s="1"/>
  <c r="C368" i="20"/>
  <c r="V368" i="20" s="1"/>
  <c r="G308" i="20"/>
  <c r="G309" i="20" s="1"/>
  <c r="Q372" i="20"/>
  <c r="G305" i="20"/>
  <c r="G306" i="20" s="1"/>
  <c r="C173" i="20"/>
  <c r="M50" i="20"/>
  <c r="C377" i="20"/>
  <c r="V377" i="20" s="1"/>
  <c r="Q357" i="20"/>
  <c r="M320" i="20"/>
  <c r="G290" i="20"/>
  <c r="G291" i="20" s="1"/>
  <c r="M392" i="20"/>
  <c r="Q330" i="20"/>
  <c r="Q210" i="20"/>
  <c r="G386" i="20"/>
  <c r="G387" i="20" s="1"/>
  <c r="M398" i="20"/>
  <c r="G221" i="20"/>
  <c r="G222" i="20" s="1"/>
  <c r="C107" i="20"/>
  <c r="C374" i="20"/>
  <c r="V374" i="20" s="1"/>
  <c r="G374" i="20"/>
  <c r="G375" i="20" s="1"/>
  <c r="M404" i="20"/>
  <c r="C404" i="20"/>
  <c r="V404" i="20" s="1"/>
  <c r="C284" i="20"/>
  <c r="V284" i="20" s="1"/>
  <c r="G197" i="20"/>
  <c r="G198" i="20" s="1"/>
  <c r="C104" i="20"/>
  <c r="G14" i="20"/>
  <c r="G15" i="20" s="1"/>
  <c r="M89" i="20"/>
  <c r="Q15" i="20"/>
  <c r="Q306" i="20"/>
  <c r="C32" i="20"/>
  <c r="V32" i="20" s="1"/>
  <c r="G44" i="20"/>
  <c r="G45" i="20" s="1"/>
  <c r="M230" i="20"/>
  <c r="M347" i="20"/>
  <c r="G329" i="20"/>
  <c r="G330" i="20" s="1"/>
  <c r="Q114" i="20"/>
  <c r="C401" i="20"/>
  <c r="V401" i="20" s="1"/>
  <c r="Q222" i="20"/>
  <c r="Q195" i="20"/>
  <c r="M59" i="20"/>
  <c r="M197" i="20"/>
  <c r="M233" i="20"/>
  <c r="C8" i="20"/>
  <c r="V8" i="20" s="1"/>
  <c r="C122" i="20"/>
  <c r="V122" i="20" s="1"/>
  <c r="G164" i="20"/>
  <c r="G165" i="20" s="1"/>
  <c r="Q159" i="20"/>
  <c r="Q189" i="20"/>
  <c r="C347" i="20"/>
  <c r="V347" i="20" s="1"/>
  <c r="C68" i="20"/>
  <c r="G245" i="20"/>
  <c r="G246" i="20" s="1"/>
  <c r="M77" i="20"/>
  <c r="M176" i="20"/>
  <c r="M11" i="20"/>
  <c r="M266" i="20"/>
  <c r="M395" i="20"/>
  <c r="Q258" i="20"/>
  <c r="G209" i="20"/>
  <c r="G210" i="20" s="1"/>
  <c r="Q117" i="20"/>
  <c r="G353" i="20"/>
  <c r="G354" i="20" s="1"/>
  <c r="G359" i="20"/>
  <c r="G360" i="20" s="1"/>
  <c r="G311" i="20"/>
  <c r="G312" i="20" s="1"/>
  <c r="Q27" i="20"/>
  <c r="C62" i="20"/>
  <c r="G5" i="20"/>
  <c r="G6" i="20" s="1"/>
  <c r="M380" i="20"/>
  <c r="C410" i="20"/>
  <c r="V410" i="20" s="1"/>
  <c r="M119" i="20"/>
  <c r="Q129" i="20"/>
  <c r="Q393" i="20"/>
  <c r="C224" i="20"/>
  <c r="V224" i="20" s="1"/>
  <c r="G248" i="20"/>
  <c r="G249" i="20" s="1"/>
  <c r="G338" i="20"/>
  <c r="G339" i="20" s="1"/>
  <c r="M299" i="20"/>
  <c r="M167" i="20"/>
  <c r="G287" i="20"/>
  <c r="G288" i="20" s="1"/>
  <c r="C269" i="20"/>
  <c r="V269" i="20" s="1"/>
  <c r="C248" i="20"/>
  <c r="V248" i="20" s="1"/>
  <c r="M191" i="20"/>
  <c r="C251" i="20"/>
  <c r="V251" i="20" s="1"/>
  <c r="Q273" i="20"/>
  <c r="C287" i="20"/>
  <c r="V287" i="20" s="1"/>
  <c r="C140" i="20"/>
  <c r="G389" i="20"/>
  <c r="G272" i="20"/>
  <c r="G273" i="20" s="1"/>
  <c r="Q96" i="20"/>
  <c r="C65" i="20"/>
  <c r="C350" i="20"/>
  <c r="V350" i="20" s="1"/>
  <c r="G278" i="20"/>
  <c r="G279" i="20" s="1"/>
  <c r="C77" i="20"/>
  <c r="G140" i="20"/>
  <c r="G141" i="20" s="1"/>
  <c r="C74" i="20"/>
  <c r="G20" i="20"/>
  <c r="G21" i="20" s="1"/>
  <c r="G251" i="20"/>
  <c r="G252" i="20" s="1"/>
  <c r="Q153" i="20"/>
  <c r="Q72" i="20"/>
  <c r="M158" i="20"/>
  <c r="G77" i="20"/>
  <c r="G78" i="20" s="1"/>
  <c r="C398" i="20"/>
  <c r="V398" i="20" s="1"/>
  <c r="M239" i="20"/>
  <c r="M377" i="20"/>
  <c r="C47" i="20"/>
  <c r="Q417" i="20"/>
  <c r="G407" i="20"/>
  <c r="G408" i="20" s="1"/>
  <c r="C149" i="20"/>
  <c r="C110" i="20"/>
  <c r="G161" i="20"/>
  <c r="G162" i="20" s="1"/>
  <c r="Q39" i="20"/>
  <c r="M74" i="20"/>
  <c r="M305" i="20"/>
  <c r="M23" i="20"/>
  <c r="M179" i="20"/>
  <c r="Q81" i="20"/>
  <c r="C206" i="20"/>
  <c r="V206" i="20" s="1"/>
  <c r="Q216" i="20"/>
  <c r="G17" i="20"/>
  <c r="G18" i="20" s="1"/>
  <c r="G269" i="20"/>
  <c r="G270" i="20" s="1"/>
  <c r="M98" i="20"/>
  <c r="M227" i="20"/>
  <c r="M35" i="20"/>
  <c r="M284" i="20"/>
  <c r="Q147" i="20"/>
  <c r="G29" i="20"/>
  <c r="G30" i="20" s="1"/>
  <c r="C335" i="20"/>
  <c r="V335" i="20" s="1"/>
  <c r="Q252" i="20"/>
  <c r="G119" i="20"/>
  <c r="G120" i="20" s="1"/>
  <c r="C218" i="20"/>
  <c r="V218" i="20" s="1"/>
  <c r="G53" i="20"/>
  <c r="G54" i="20" s="1"/>
  <c r="Q405" i="20"/>
  <c r="G137" i="20"/>
  <c r="G138" i="20" s="1"/>
  <c r="G392" i="20"/>
  <c r="G393" i="20" s="1"/>
  <c r="Q48" i="20"/>
  <c r="M374" i="20"/>
  <c r="G236" i="20"/>
  <c r="G237" i="20" s="1"/>
  <c r="G215" i="20"/>
  <c r="G216" i="20" s="1"/>
  <c r="C161" i="20"/>
  <c r="M38" i="20"/>
  <c r="G107" i="20"/>
  <c r="G108" i="20" s="1"/>
  <c r="G335" i="20"/>
  <c r="G336" i="20" s="1"/>
  <c r="C353" i="20"/>
  <c r="V353" i="20" s="1"/>
  <c r="M281" i="20"/>
  <c r="G200" i="20"/>
  <c r="G201" i="20" s="1"/>
  <c r="G377" i="20"/>
  <c r="G378" i="20" s="1"/>
  <c r="G326" i="20"/>
  <c r="G327" i="20" s="1"/>
  <c r="Q384" i="20"/>
  <c r="Q291" i="20"/>
  <c r="C119" i="20"/>
  <c r="V119" i="20" s="1"/>
  <c r="Q327" i="20"/>
  <c r="Q237" i="20"/>
  <c r="G194" i="20"/>
  <c r="G195" i="20" s="1"/>
  <c r="G416" i="20"/>
  <c r="G417" i="20" s="1"/>
  <c r="G218" i="20"/>
  <c r="G219" i="20" s="1"/>
  <c r="C131" i="20"/>
  <c r="G35" i="20"/>
  <c r="G36" i="20" s="1"/>
  <c r="Q93" i="20"/>
  <c r="M20" i="20"/>
  <c r="M14" i="20"/>
  <c r="G65" i="20"/>
  <c r="G66" i="20" s="1"/>
  <c r="Q399" i="20"/>
  <c r="Q309" i="20"/>
  <c r="G131" i="20"/>
  <c r="G132" i="20" s="1"/>
  <c r="M236" i="20"/>
  <c r="G41" i="20"/>
  <c r="G42" i="20" s="1"/>
  <c r="C317" i="20"/>
  <c r="V317" i="20" s="1"/>
  <c r="Q87" i="20"/>
  <c r="G362" i="20"/>
  <c r="G363" i="20" s="1"/>
  <c r="Q75" i="20"/>
  <c r="C362" i="20"/>
  <c r="V362" i="20" s="1"/>
  <c r="Q102" i="20"/>
  <c r="C116" i="20"/>
  <c r="G143" i="20"/>
  <c r="G144" i="20" s="1"/>
  <c r="M17" i="20"/>
  <c r="M182" i="20"/>
  <c r="M401" i="20"/>
  <c r="G116" i="20"/>
  <c r="G117" i="20" s="1"/>
  <c r="Q402" i="20"/>
  <c r="G158" i="20"/>
  <c r="G159" i="20" s="1"/>
  <c r="C158" i="20"/>
  <c r="G176" i="20"/>
  <c r="G177" i="20" s="1"/>
  <c r="Q201" i="20"/>
  <c r="Q198" i="20"/>
  <c r="Q267" i="20"/>
  <c r="M95" i="20"/>
  <c r="M203" i="20"/>
  <c r="M71" i="20"/>
  <c r="M314" i="20"/>
  <c r="G191" i="20"/>
  <c r="G192" i="20" s="1"/>
  <c r="Q234" i="20"/>
  <c r="C233" i="20"/>
  <c r="V233" i="20" s="1"/>
  <c r="G275" i="20"/>
  <c r="G276" i="20" s="1"/>
  <c r="G350" i="20"/>
  <c r="G351" i="20" s="1"/>
  <c r="C275" i="20"/>
  <c r="V275" i="20" s="1"/>
  <c r="Q21" i="20"/>
  <c r="M137" i="20"/>
  <c r="M317" i="20"/>
  <c r="M53" i="20"/>
  <c r="M269" i="20"/>
  <c r="G302" i="20"/>
  <c r="G303" i="20" s="1"/>
  <c r="M134" i="20"/>
  <c r="M311" i="20"/>
  <c r="M92" i="20"/>
  <c r="M365" i="20"/>
  <c r="C356" i="20"/>
  <c r="V356" i="20" s="1"/>
  <c r="C227" i="20"/>
  <c r="V227" i="20" s="1"/>
  <c r="Q270" i="20"/>
  <c r="C11" i="20"/>
  <c r="V11" i="20" s="1"/>
  <c r="C311" i="20"/>
  <c r="V311" i="20" s="1"/>
  <c r="M143" i="20"/>
  <c r="M353" i="20"/>
  <c r="M83" i="20"/>
  <c r="M224" i="20"/>
  <c r="C155" i="20"/>
  <c r="C326" i="20"/>
  <c r="V326" i="20" s="1"/>
  <c r="G11" i="20"/>
  <c r="G12" i="20" s="1"/>
  <c r="M107" i="20"/>
  <c r="Q318" i="20"/>
  <c r="Q156" i="20"/>
  <c r="C71" i="20"/>
  <c r="C230" i="20"/>
  <c r="V230" i="20" s="1"/>
  <c r="M251" i="20"/>
  <c r="Q360" i="20"/>
  <c r="C341" i="20"/>
  <c r="V341" i="20" s="1"/>
  <c r="C179" i="20"/>
  <c r="G299" i="20"/>
  <c r="G300" i="20" s="1"/>
  <c r="Q255" i="20"/>
  <c r="Q204" i="20"/>
  <c r="Q381" i="20"/>
  <c r="G212" i="20"/>
  <c r="G213" i="20" s="1"/>
  <c r="M68" i="20"/>
  <c r="C113" i="20"/>
  <c r="G380" i="20"/>
  <c r="G381" i="20" s="1"/>
  <c r="G356" i="20"/>
  <c r="G357" i="20" s="1"/>
  <c r="G314" i="20"/>
  <c r="G315" i="20" s="1"/>
  <c r="Q225" i="20"/>
  <c r="G410" i="20"/>
  <c r="G411" i="20" s="1"/>
  <c r="M149" i="20"/>
  <c r="M290" i="20"/>
  <c r="C242" i="20"/>
  <c r="V242" i="20" s="1"/>
  <c r="G173" i="20"/>
  <c r="G174" i="20" s="1"/>
  <c r="Q177" i="20"/>
  <c r="Q66" i="20"/>
  <c r="C245" i="20"/>
  <c r="V245" i="20" s="1"/>
  <c r="M344" i="20"/>
  <c r="C86" i="20"/>
  <c r="V86" i="20" s="1"/>
  <c r="Q363" i="20"/>
  <c r="M65" i="20"/>
  <c r="M206" i="20"/>
  <c r="M47" i="20"/>
  <c r="C188" i="20"/>
  <c r="V188" i="20" s="1"/>
  <c r="G227" i="20"/>
  <c r="G228" i="20" s="1"/>
  <c r="C56" i="20"/>
  <c r="Q351" i="20"/>
  <c r="M140" i="20"/>
  <c r="M326" i="20"/>
  <c r="M146" i="20"/>
  <c r="M383" i="20"/>
  <c r="Q180" i="20"/>
  <c r="C20" i="20"/>
  <c r="V20" i="20" s="1"/>
  <c r="G320" i="20"/>
  <c r="G321" i="20" s="1"/>
  <c r="G332" i="20"/>
  <c r="G333" i="20" s="1"/>
  <c r="Q63" i="20"/>
  <c r="G347" i="20"/>
  <c r="G348" i="20" s="1"/>
  <c r="C380" i="20"/>
  <c r="V380" i="20" s="1"/>
  <c r="M212" i="20"/>
  <c r="M359" i="20"/>
  <c r="M104" i="20"/>
  <c r="M275" i="20"/>
  <c r="G396" i="20"/>
  <c r="J4" i="19"/>
  <c r="C69" i="20"/>
  <c r="C219" i="20"/>
  <c r="C270" i="20"/>
  <c r="X71" i="20"/>
  <c r="X305" i="20"/>
  <c r="X320" i="20"/>
  <c r="C57" i="20"/>
  <c r="C96" i="20"/>
  <c r="X41" i="20"/>
  <c r="X95" i="20"/>
  <c r="X266" i="20"/>
  <c r="X293" i="20"/>
  <c r="C222" i="20"/>
  <c r="C78" i="20"/>
  <c r="C195" i="20"/>
  <c r="X317" i="20"/>
  <c r="X146" i="20"/>
  <c r="X239" i="20"/>
  <c r="X197" i="20"/>
  <c r="C405" i="20"/>
  <c r="X20" i="20"/>
  <c r="X341" i="20"/>
  <c r="C150" i="20"/>
  <c r="X374" i="20"/>
  <c r="C246" i="20"/>
  <c r="X254" i="20"/>
  <c r="X398" i="20"/>
  <c r="X209" i="20"/>
  <c r="C198" i="20"/>
  <c r="C306" i="20"/>
  <c r="C81" i="20"/>
  <c r="C285" i="20"/>
  <c r="C228" i="20"/>
  <c r="C297" i="20"/>
  <c r="C354" i="20"/>
  <c r="C360" i="20"/>
  <c r="X11" i="20"/>
  <c r="X98" i="20"/>
  <c r="X269" i="20"/>
  <c r="C396" i="20"/>
  <c r="C267" i="20"/>
  <c r="X158" i="20"/>
  <c r="X203" i="20"/>
  <c r="X242" i="20"/>
  <c r="C45" i="20"/>
  <c r="C159" i="20"/>
  <c r="C312" i="20"/>
  <c r="C189" i="20"/>
  <c r="X83" i="20"/>
  <c r="X215" i="20"/>
  <c r="X218" i="20"/>
  <c r="C132" i="20"/>
  <c r="C384" i="20"/>
  <c r="X116" i="20"/>
  <c r="X188" i="20"/>
  <c r="C291" i="20"/>
  <c r="X206" i="20"/>
  <c r="C390" i="20"/>
  <c r="X59" i="20"/>
  <c r="X164" i="20"/>
  <c r="X23" i="20"/>
  <c r="X128" i="20"/>
  <c r="X236" i="20"/>
  <c r="C123" i="20"/>
  <c r="X86" i="20"/>
  <c r="C288" i="20"/>
  <c r="C375" i="20"/>
  <c r="C114" i="20"/>
  <c r="C363" i="20"/>
  <c r="X131" i="20"/>
  <c r="X140" i="20"/>
  <c r="X392" i="20"/>
  <c r="X35" i="20"/>
  <c r="C294" i="20"/>
  <c r="X308" i="20"/>
  <c r="X104" i="20"/>
  <c r="X347" i="20"/>
  <c r="X356" i="20"/>
  <c r="C105" i="20"/>
  <c r="C27" i="20"/>
  <c r="C108" i="20"/>
  <c r="C72" i="20"/>
  <c r="X182" i="20"/>
  <c r="X359" i="20"/>
  <c r="X137" i="20"/>
  <c r="C348" i="20"/>
  <c r="C102" i="20"/>
  <c r="X383" i="20"/>
  <c r="X314" i="20"/>
  <c r="C204" i="20"/>
  <c r="C183" i="20"/>
  <c r="C111" i="20"/>
  <c r="X89" i="20"/>
  <c r="X53" i="20"/>
  <c r="C120" i="20"/>
  <c r="C12" i="20"/>
  <c r="X287" i="20"/>
  <c r="C249" i="20"/>
  <c r="C342" i="20"/>
  <c r="C129" i="20"/>
  <c r="C63" i="20"/>
  <c r="X395" i="20"/>
  <c r="X275" i="20"/>
  <c r="X311" i="20"/>
  <c r="X257" i="20"/>
  <c r="C276" i="20"/>
  <c r="X185" i="20"/>
  <c r="X338" i="20"/>
  <c r="X296" i="20"/>
  <c r="X155" i="20"/>
  <c r="C369" i="20"/>
  <c r="C153" i="20"/>
  <c r="C300" i="20"/>
  <c r="C309" i="20"/>
  <c r="X281" i="20"/>
  <c r="X368" i="20"/>
  <c r="X413" i="20"/>
  <c r="C33" i="20"/>
  <c r="C21" i="20"/>
  <c r="X416" i="20"/>
  <c r="X44" i="20"/>
  <c r="X284" i="20"/>
  <c r="C264" i="20"/>
  <c r="C357" i="20"/>
  <c r="X29" i="20"/>
  <c r="X161" i="20"/>
  <c r="X371" i="20"/>
  <c r="X326" i="20"/>
  <c r="X5" i="20"/>
  <c r="C210" i="20"/>
  <c r="X47" i="20"/>
  <c r="X227" i="20"/>
  <c r="C333" i="20"/>
  <c r="C24" i="20"/>
  <c r="C252" i="20"/>
  <c r="X350" i="20"/>
  <c r="X65" i="20"/>
  <c r="X119" i="20"/>
  <c r="C168" i="20"/>
  <c r="X176" i="20"/>
  <c r="C141" i="20"/>
  <c r="X290" i="20"/>
  <c r="X278" i="20"/>
  <c r="X143" i="20"/>
  <c r="C315" i="20"/>
  <c r="C417" i="20"/>
  <c r="C135" i="20"/>
  <c r="C402" i="20"/>
  <c r="X245" i="20"/>
  <c r="X122" i="20"/>
  <c r="C243" i="20"/>
  <c r="C156" i="20"/>
  <c r="X92" i="20"/>
  <c r="X407" i="20"/>
  <c r="X260" i="20"/>
  <c r="C36" i="20"/>
  <c r="C117" i="20"/>
  <c r="X62" i="20"/>
  <c r="X221" i="20"/>
  <c r="X272" i="20"/>
  <c r="C90" i="20"/>
  <c r="X251" i="20"/>
  <c r="X380" i="20"/>
  <c r="X152" i="20"/>
  <c r="C381" i="20"/>
  <c r="C279" i="20"/>
  <c r="C411" i="20"/>
  <c r="C237" i="20"/>
  <c r="X110" i="20"/>
  <c r="X173" i="20"/>
  <c r="X377" i="20"/>
  <c r="C225" i="20"/>
  <c r="X335" i="20"/>
  <c r="C372" i="20"/>
  <c r="X401" i="20"/>
  <c r="X74" i="20"/>
  <c r="C126" i="20"/>
  <c r="X56" i="20"/>
  <c r="C174" i="20"/>
  <c r="C399" i="20"/>
  <c r="C339" i="20"/>
  <c r="C318" i="20"/>
  <c r="X248" i="20"/>
  <c r="C171" i="20"/>
  <c r="C258" i="20"/>
  <c r="C255" i="20"/>
  <c r="X230" i="20"/>
  <c r="X170" i="20"/>
  <c r="L4" i="19"/>
  <c r="C336" i="20"/>
  <c r="C216" i="20"/>
  <c r="X344" i="20"/>
  <c r="X323" i="20"/>
  <c r="X32" i="20"/>
  <c r="X263" i="20"/>
  <c r="C147" i="20"/>
  <c r="C180" i="20"/>
  <c r="X362" i="20"/>
  <c r="C321" i="20"/>
  <c r="C51" i="20"/>
  <c r="C87" i="20"/>
  <c r="X410" i="20"/>
  <c r="X404" i="20"/>
  <c r="X191" i="20"/>
  <c r="X107" i="20"/>
  <c r="X302" i="20"/>
  <c r="C15" i="20"/>
  <c r="X200" i="20"/>
  <c r="X386" i="20"/>
  <c r="X233" i="20"/>
  <c r="C330" i="20"/>
  <c r="C75" i="20"/>
  <c r="C9" i="20"/>
  <c r="C177" i="20"/>
  <c r="X365" i="20"/>
  <c r="C162" i="20"/>
  <c r="X68" i="20"/>
  <c r="C273" i="20"/>
  <c r="C66" i="20"/>
  <c r="X299" i="20"/>
  <c r="X179" i="20"/>
  <c r="C408" i="20"/>
  <c r="C93" i="20"/>
  <c r="X113" i="20"/>
  <c r="X26" i="20"/>
  <c r="X77" i="20"/>
  <c r="C99" i="20"/>
  <c r="C393" i="20"/>
  <c r="X194" i="20"/>
  <c r="C192" i="20"/>
  <c r="C207" i="20"/>
  <c r="X101" i="20"/>
  <c r="C231" i="20"/>
  <c r="X80" i="20"/>
  <c r="C138" i="20"/>
  <c r="C378" i="20"/>
  <c r="C54" i="20"/>
  <c r="X389" i="20"/>
  <c r="C39" i="20"/>
  <c r="C234" i="20"/>
  <c r="C327" i="20"/>
  <c r="C201" i="20"/>
  <c r="C351" i="20"/>
  <c r="C48" i="20"/>
  <c r="V378" i="20" l="1"/>
  <c r="V231" i="20"/>
  <c r="V285" i="20"/>
  <c r="V207" i="20"/>
  <c r="V381" i="20"/>
  <c r="V93" i="20"/>
  <c r="V216" i="20"/>
  <c r="V357" i="20"/>
  <c r="V390" i="20"/>
  <c r="V246" i="20"/>
  <c r="V192" i="20"/>
  <c r="V408" i="20"/>
  <c r="V336" i="20"/>
  <c r="V264" i="20"/>
  <c r="V234" i="20"/>
  <c r="V204" i="20"/>
  <c r="V291" i="20"/>
  <c r="V123" i="20"/>
  <c r="V255" i="20"/>
  <c r="V21" i="20"/>
  <c r="V384" i="20"/>
  <c r="V405" i="20"/>
  <c r="V273" i="20"/>
  <c r="V258" i="20"/>
  <c r="V243" i="20"/>
  <c r="V33" i="20"/>
  <c r="V348" i="20"/>
  <c r="V351" i="20"/>
  <c r="V327" i="20"/>
  <c r="V147" i="20"/>
  <c r="V318" i="20"/>
  <c r="V402" i="20"/>
  <c r="V309" i="20"/>
  <c r="V189" i="20"/>
  <c r="V195" i="20"/>
  <c r="V210" i="20"/>
  <c r="V9" i="20"/>
  <c r="V339" i="20"/>
  <c r="V300" i="20"/>
  <c r="V312" i="20"/>
  <c r="V12" i="20"/>
  <c r="V399" i="20"/>
  <c r="V417" i="20"/>
  <c r="V222" i="20"/>
  <c r="V306" i="20"/>
  <c r="V330" i="20"/>
  <c r="V315" i="20"/>
  <c r="V369" i="20"/>
  <c r="V126" i="20"/>
  <c r="V267" i="20"/>
  <c r="V96" i="20"/>
  <c r="V393" i="20"/>
  <c r="V372" i="20"/>
  <c r="V276" i="20"/>
  <c r="V294" i="20"/>
  <c r="V396" i="20"/>
  <c r="V120" i="20"/>
  <c r="V201" i="20"/>
  <c r="V225" i="20"/>
  <c r="V168" i="20"/>
  <c r="V363" i="20"/>
  <c r="V360" i="20"/>
  <c r="V270" i="20"/>
  <c r="V198" i="20"/>
  <c r="V87" i="20"/>
  <c r="V237" i="20"/>
  <c r="V252" i="20"/>
  <c r="V354" i="20"/>
  <c r="V219" i="20"/>
  <c r="V411" i="20"/>
  <c r="V342" i="20"/>
  <c r="V375" i="20"/>
  <c r="V297" i="20"/>
  <c r="V90" i="20"/>
  <c r="V321" i="20"/>
  <c r="V279" i="20"/>
  <c r="V333" i="20"/>
  <c r="V249" i="20"/>
  <c r="V288" i="20"/>
  <c r="V228" i="20"/>
  <c r="T5" i="20"/>
  <c r="T6" i="20" s="1"/>
  <c r="T7" i="20" s="1"/>
  <c r="G87" i="20"/>
  <c r="G390" i="20"/>
  <c r="G102" i="20"/>
  <c r="G81" i="20"/>
  <c r="F9" i="19"/>
  <c r="M4" i="19"/>
  <c r="F6" i="19" s="1"/>
  <c r="J12" i="19"/>
  <c r="E146" i="19"/>
  <c r="F141" i="19"/>
  <c r="E138" i="19"/>
  <c r="F133" i="19"/>
  <c r="E130" i="19"/>
  <c r="F125" i="19"/>
  <c r="E122" i="19"/>
  <c r="F117" i="19"/>
  <c r="E114" i="19"/>
  <c r="F109" i="19"/>
  <c r="E98" i="19"/>
  <c r="F93" i="19"/>
  <c r="E90" i="19"/>
  <c r="F85" i="19"/>
  <c r="X167" i="20"/>
  <c r="X332" i="20"/>
  <c r="X149" i="20"/>
  <c r="X125" i="20"/>
  <c r="X224" i="20"/>
  <c r="X134" i="20"/>
  <c r="X17" i="20"/>
  <c r="X14" i="20"/>
  <c r="X8" i="20"/>
  <c r="X212" i="20"/>
  <c r="X329" i="20"/>
  <c r="X353" i="20"/>
  <c r="X50" i="20"/>
  <c r="X38" i="20"/>
  <c r="L12" i="19"/>
  <c r="T8" i="20" l="1"/>
  <c r="T9" i="20" s="1"/>
  <c r="T10" i="20" s="1"/>
  <c r="V7" i="20"/>
  <c r="F17" i="19"/>
  <c r="M12" i="19"/>
  <c r="K12" i="19"/>
  <c r="J20" i="19"/>
  <c r="N141" i="5"/>
  <c r="O140" i="5" s="1"/>
  <c r="G141" i="5"/>
  <c r="P140" i="5"/>
  <c r="G140" i="5"/>
  <c r="N139" i="5"/>
  <c r="G139" i="5"/>
  <c r="N138" i="5"/>
  <c r="G138" i="5"/>
  <c r="N137" i="5"/>
  <c r="G137" i="5"/>
  <c r="N136" i="5"/>
  <c r="G136" i="5"/>
  <c r="N135" i="5"/>
  <c r="G135" i="5"/>
  <c r="N134" i="5"/>
  <c r="G134" i="5"/>
  <c r="N133" i="5"/>
  <c r="G133" i="5"/>
  <c r="N132" i="5"/>
  <c r="O131" i="5" s="1"/>
  <c r="G132" i="5"/>
  <c r="P131" i="5"/>
  <c r="G131" i="5"/>
  <c r="N130" i="5"/>
  <c r="G130" i="5"/>
  <c r="N129" i="5"/>
  <c r="G129" i="5"/>
  <c r="N128" i="5"/>
  <c r="G128" i="5"/>
  <c r="N127" i="5"/>
  <c r="O124" i="5" s="1"/>
  <c r="G127" i="5"/>
  <c r="N126" i="5"/>
  <c r="G126" i="5"/>
  <c r="N125" i="5"/>
  <c r="G125" i="5"/>
  <c r="P124" i="5"/>
  <c r="G124" i="5"/>
  <c r="N123" i="5"/>
  <c r="G123" i="5"/>
  <c r="N122" i="5"/>
  <c r="G122" i="5"/>
  <c r="N121" i="5"/>
  <c r="G121" i="5"/>
  <c r="N120" i="5"/>
  <c r="G120" i="5"/>
  <c r="N119" i="5"/>
  <c r="G119" i="5"/>
  <c r="N118" i="5"/>
  <c r="O117" i="5" s="1"/>
  <c r="G118" i="5"/>
  <c r="P117" i="5"/>
  <c r="G117" i="5"/>
  <c r="N116" i="5"/>
  <c r="G116" i="5"/>
  <c r="N115" i="5"/>
  <c r="G115" i="5"/>
  <c r="N114" i="5"/>
  <c r="O110" i="5" s="1"/>
  <c r="G114" i="5"/>
  <c r="N113" i="5"/>
  <c r="G113" i="5"/>
  <c r="N112" i="5"/>
  <c r="G112" i="5"/>
  <c r="N111" i="5"/>
  <c r="G111" i="5"/>
  <c r="P110" i="5"/>
  <c r="G110" i="5"/>
  <c r="N109" i="5"/>
  <c r="G109" i="5"/>
  <c r="N108" i="5"/>
  <c r="G108" i="5"/>
  <c r="N107" i="5"/>
  <c r="G107" i="5"/>
  <c r="N106" i="5"/>
  <c r="G106" i="5"/>
  <c r="N105" i="5"/>
  <c r="G105" i="5"/>
  <c r="N104" i="5"/>
  <c r="O103" i="5" s="1"/>
  <c r="G104" i="5"/>
  <c r="P103" i="5"/>
  <c r="G103" i="5"/>
  <c r="N102" i="5"/>
  <c r="G102" i="5"/>
  <c r="N101" i="5"/>
  <c r="G101" i="5"/>
  <c r="N100" i="5"/>
  <c r="G100" i="5"/>
  <c r="N99" i="5"/>
  <c r="G99" i="5"/>
  <c r="N98" i="5"/>
  <c r="G98" i="5"/>
  <c r="N97" i="5"/>
  <c r="G97" i="5"/>
  <c r="P96" i="5"/>
  <c r="O96" i="5"/>
  <c r="G96" i="5"/>
  <c r="N95" i="5"/>
  <c r="G95" i="5"/>
  <c r="N94" i="5"/>
  <c r="G94" i="5"/>
  <c r="N93" i="5"/>
  <c r="G93" i="5"/>
  <c r="N92" i="5"/>
  <c r="G92" i="5"/>
  <c r="N91" i="5"/>
  <c r="G91" i="5"/>
  <c r="N90" i="5"/>
  <c r="O89" i="5" s="1"/>
  <c r="G90" i="5"/>
  <c r="P89" i="5"/>
  <c r="G89" i="5"/>
  <c r="N88" i="5"/>
  <c r="G88" i="5"/>
  <c r="N87" i="5"/>
  <c r="G87" i="5"/>
  <c r="N86" i="5"/>
  <c r="G86" i="5"/>
  <c r="N85" i="5"/>
  <c r="G85" i="5"/>
  <c r="N84" i="5"/>
  <c r="G84" i="5"/>
  <c r="N83" i="5"/>
  <c r="G83" i="5"/>
  <c r="P82" i="5"/>
  <c r="O82" i="5"/>
  <c r="G82" i="5"/>
  <c r="N81" i="5"/>
  <c r="G81" i="5"/>
  <c r="N80" i="5"/>
  <c r="G80" i="5"/>
  <c r="N79" i="5"/>
  <c r="G79" i="5"/>
  <c r="N78" i="5"/>
  <c r="G78" i="5"/>
  <c r="N77" i="5"/>
  <c r="G77" i="5"/>
  <c r="N76" i="5"/>
  <c r="G76" i="5"/>
  <c r="N75" i="5"/>
  <c r="G75" i="5"/>
  <c r="N74" i="5"/>
  <c r="O73" i="5" s="1"/>
  <c r="G74" i="5"/>
  <c r="P73" i="5"/>
  <c r="G73" i="5"/>
  <c r="N72" i="5"/>
  <c r="G72" i="5"/>
  <c r="N71" i="5"/>
  <c r="G71" i="5"/>
  <c r="N70" i="5"/>
  <c r="G70" i="5"/>
  <c r="N69" i="5"/>
  <c r="G69" i="5"/>
  <c r="N68" i="5"/>
  <c r="G68" i="5"/>
  <c r="N67" i="5"/>
  <c r="G67" i="5"/>
  <c r="N66" i="5"/>
  <c r="O64" i="5" s="1"/>
  <c r="G66" i="5"/>
  <c r="N65" i="5"/>
  <c r="G65" i="5"/>
  <c r="P64" i="5"/>
  <c r="G64" i="5"/>
  <c r="N63" i="5"/>
  <c r="G63" i="5"/>
  <c r="N62" i="5"/>
  <c r="G62" i="5"/>
  <c r="N61" i="5"/>
  <c r="G61" i="5"/>
  <c r="N60" i="5"/>
  <c r="G60" i="5"/>
  <c r="N59" i="5"/>
  <c r="G59" i="5"/>
  <c r="N58" i="5"/>
  <c r="O57" i="5" s="1"/>
  <c r="G58" i="5"/>
  <c r="P57" i="5"/>
  <c r="G57" i="5"/>
  <c r="N56" i="5"/>
  <c r="G56" i="5"/>
  <c r="N55" i="5"/>
  <c r="G55" i="5"/>
  <c r="N54" i="5"/>
  <c r="G54" i="5"/>
  <c r="N53" i="5"/>
  <c r="G53" i="5"/>
  <c r="N52" i="5"/>
  <c r="G52" i="5"/>
  <c r="N51" i="5"/>
  <c r="O50" i="5" s="1"/>
  <c r="G51" i="5"/>
  <c r="P50" i="5"/>
  <c r="G50" i="5"/>
  <c r="N49" i="5"/>
  <c r="G49" i="5"/>
  <c r="N48" i="5"/>
  <c r="G48" i="5"/>
  <c r="N47" i="5"/>
  <c r="G47" i="5"/>
  <c r="N46" i="5"/>
  <c r="G46" i="5"/>
  <c r="N45" i="5"/>
  <c r="G45" i="5"/>
  <c r="N44" i="5"/>
  <c r="G44" i="5"/>
  <c r="N43" i="5"/>
  <c r="G43" i="5"/>
  <c r="N42" i="5"/>
  <c r="G42" i="5"/>
  <c r="N41" i="5"/>
  <c r="G41" i="5"/>
  <c r="N40" i="5"/>
  <c r="G40" i="5"/>
  <c r="N39" i="5"/>
  <c r="G39" i="5"/>
  <c r="N38" i="5"/>
  <c r="G38" i="5"/>
  <c r="N37" i="5"/>
  <c r="G37" i="5"/>
  <c r="N36" i="5"/>
  <c r="G36" i="5"/>
  <c r="N35" i="5"/>
  <c r="G35" i="5"/>
  <c r="N34" i="5"/>
  <c r="G34" i="5"/>
  <c r="N33" i="5"/>
  <c r="G33" i="5"/>
  <c r="N32" i="5"/>
  <c r="G32" i="5"/>
  <c r="N31" i="5"/>
  <c r="O30" i="5" s="1"/>
  <c r="G31" i="5"/>
  <c r="P30" i="5"/>
  <c r="G30" i="5"/>
  <c r="N29" i="5"/>
  <c r="G29" i="5"/>
  <c r="N28" i="5"/>
  <c r="G28" i="5"/>
  <c r="N27" i="5"/>
  <c r="G27" i="5"/>
  <c r="N26" i="5"/>
  <c r="G26" i="5"/>
  <c r="N25" i="5"/>
  <c r="G25" i="5"/>
  <c r="N24" i="5"/>
  <c r="G24" i="5"/>
  <c r="N23" i="5"/>
  <c r="O22" i="5" s="1"/>
  <c r="G23" i="5"/>
  <c r="P22" i="5"/>
  <c r="G22" i="5"/>
  <c r="N21" i="5"/>
  <c r="G21" i="5"/>
  <c r="N20" i="5"/>
  <c r="G20" i="5"/>
  <c r="N19" i="5"/>
  <c r="G19" i="5"/>
  <c r="N18" i="5"/>
  <c r="O16" i="5" s="1"/>
  <c r="G18" i="5"/>
  <c r="N17" i="5"/>
  <c r="G17" i="5"/>
  <c r="G16" i="5"/>
  <c r="N15" i="5"/>
  <c r="G15" i="5"/>
  <c r="N14" i="5"/>
  <c r="G14" i="5"/>
  <c r="N13" i="5"/>
  <c r="O12" i="5" s="1"/>
  <c r="G13" i="5"/>
  <c r="P12" i="5"/>
  <c r="G12" i="5"/>
  <c r="N11" i="5"/>
  <c r="G11" i="5"/>
  <c r="N10" i="5"/>
  <c r="G10" i="5"/>
  <c r="N9" i="5"/>
  <c r="O8" i="5" s="1"/>
  <c r="G9" i="5"/>
  <c r="P8" i="5"/>
  <c r="G8" i="5"/>
  <c r="N7" i="5"/>
  <c r="G7" i="5"/>
  <c r="N6" i="5"/>
  <c r="O4" i="5" s="1"/>
  <c r="G6" i="5"/>
  <c r="N5" i="5"/>
  <c r="G5" i="5"/>
  <c r="P4" i="5"/>
  <c r="G4" i="5"/>
  <c r="L64" i="5"/>
  <c r="N103" i="5"/>
  <c r="K8" i="5"/>
  <c r="K12" i="5"/>
  <c r="I12" i="5"/>
  <c r="N64" i="5"/>
  <c r="L57" i="5"/>
  <c r="L20" i="19"/>
  <c r="L89" i="5"/>
  <c r="N50" i="5"/>
  <c r="K110" i="5"/>
  <c r="J110" i="5"/>
  <c r="I50" i="5"/>
  <c r="I131" i="5"/>
  <c r="N8" i="5"/>
  <c r="J131" i="5"/>
  <c r="K124" i="5"/>
  <c r="N22" i="5"/>
  <c r="J8" i="5"/>
  <c r="I124" i="5"/>
  <c r="L50" i="5"/>
  <c r="N131" i="5"/>
  <c r="K117" i="5"/>
  <c r="N110" i="5"/>
  <c r="J64" i="5"/>
  <c r="K82" i="5"/>
  <c r="K16" i="5"/>
  <c r="I96" i="5"/>
  <c r="L30" i="5"/>
  <c r="L96" i="5"/>
  <c r="J50" i="5"/>
  <c r="J140" i="5"/>
  <c r="L131" i="5"/>
  <c r="N73" i="5"/>
  <c r="I30" i="5"/>
  <c r="N30" i="5"/>
  <c r="I103" i="5"/>
  <c r="J30" i="5"/>
  <c r="K4" i="5"/>
  <c r="J103" i="5"/>
  <c r="I8" i="5"/>
  <c r="K103" i="5"/>
  <c r="J124" i="5"/>
  <c r="I82" i="5"/>
  <c r="N124" i="5"/>
  <c r="K30" i="5"/>
  <c r="K131" i="5"/>
  <c r="L8" i="5"/>
  <c r="L110" i="5"/>
  <c r="L103" i="5"/>
  <c r="J22" i="5"/>
  <c r="K50" i="5"/>
  <c r="T11" i="20" l="1"/>
  <c r="T12" i="20" s="1"/>
  <c r="V10" i="20"/>
  <c r="F25" i="19"/>
  <c r="J28" i="19"/>
  <c r="F14" i="19"/>
  <c r="M20" i="19"/>
  <c r="F22" i="19" s="1"/>
  <c r="K20" i="19"/>
  <c r="M30" i="5"/>
  <c r="M22" i="5"/>
  <c r="M50" i="5"/>
  <c r="J96" i="5"/>
  <c r="N4" i="5"/>
  <c r="S386" i="20"/>
  <c r="Q41" i="20"/>
  <c r="Q386" i="20"/>
  <c r="L117" i="5"/>
  <c r="M124" i="5"/>
  <c r="Q16" i="20"/>
  <c r="Q364" i="20"/>
  <c r="L22" i="5"/>
  <c r="S84" i="20"/>
  <c r="L124" i="5"/>
  <c r="J73" i="5"/>
  <c r="S323" i="20"/>
  <c r="S16" i="20"/>
  <c r="K22" i="5"/>
  <c r="S143" i="20"/>
  <c r="L73" i="5"/>
  <c r="Q142" i="20"/>
  <c r="N12" i="5"/>
  <c r="J89" i="5"/>
  <c r="S58" i="20"/>
  <c r="I64" i="5"/>
  <c r="Q83" i="20"/>
  <c r="S211" i="20"/>
  <c r="S60" i="20"/>
  <c r="I117" i="5"/>
  <c r="N57" i="5"/>
  <c r="I110" i="5"/>
  <c r="Q238" i="20"/>
  <c r="Q143" i="20"/>
  <c r="Q239" i="20"/>
  <c r="N117" i="5"/>
  <c r="J117" i="5"/>
  <c r="Q280" i="20"/>
  <c r="I89" i="5"/>
  <c r="I57" i="5"/>
  <c r="I73" i="5"/>
  <c r="L28" i="19"/>
  <c r="S184" i="20"/>
  <c r="L12" i="5"/>
  <c r="N140" i="5"/>
  <c r="S82" i="20"/>
  <c r="S364" i="20"/>
  <c r="S17" i="20"/>
  <c r="K89" i="5"/>
  <c r="M110" i="5"/>
  <c r="K140" i="5"/>
  <c r="K64" i="5"/>
  <c r="S365" i="20"/>
  <c r="S281" i="20"/>
  <c r="K73" i="5"/>
  <c r="L4" i="5"/>
  <c r="I4" i="5"/>
  <c r="Q302" i="20"/>
  <c r="I16" i="5"/>
  <c r="L140" i="5"/>
  <c r="I140" i="5"/>
  <c r="S385" i="20"/>
  <c r="N82" i="5"/>
  <c r="M64" i="5"/>
  <c r="M103" i="5"/>
  <c r="Q385" i="20"/>
  <c r="Q301" i="20"/>
  <c r="J16" i="5"/>
  <c r="S164" i="20"/>
  <c r="S412" i="20"/>
  <c r="L16" i="5"/>
  <c r="Q5" i="20"/>
  <c r="Q29" i="20"/>
  <c r="S83" i="20"/>
  <c r="Q28" i="20"/>
  <c r="Q323" i="20"/>
  <c r="K96" i="5"/>
  <c r="I22" i="5"/>
  <c r="M73" i="5"/>
  <c r="S142" i="20"/>
  <c r="J4" i="5"/>
  <c r="Q344" i="20"/>
  <c r="Q17" i="20"/>
  <c r="S301" i="20"/>
  <c r="L82" i="5"/>
  <c r="K57" i="5"/>
  <c r="N96" i="5"/>
  <c r="N89" i="5"/>
  <c r="Q365" i="20"/>
  <c r="S260" i="20"/>
  <c r="N16" i="5"/>
  <c r="M8" i="5"/>
  <c r="M131" i="5"/>
  <c r="S322" i="20"/>
  <c r="S40" i="20"/>
  <c r="J57" i="5"/>
  <c r="S185" i="20"/>
  <c r="S302" i="20"/>
  <c r="J82" i="5"/>
  <c r="J12" i="5"/>
  <c r="S144" i="20"/>
  <c r="Q82" i="20"/>
  <c r="M57" i="5" l="1"/>
  <c r="M16" i="5"/>
  <c r="Q261" i="20"/>
  <c r="Q186" i="20"/>
  <c r="Q18" i="20"/>
  <c r="Q84" i="20"/>
  <c r="Q282" i="20"/>
  <c r="C83" i="20"/>
  <c r="Q366" i="20"/>
  <c r="Q387" i="20"/>
  <c r="C143" i="20"/>
  <c r="C17" i="20"/>
  <c r="C365" i="20"/>
  <c r="V365" i="20" s="1"/>
  <c r="Q303" i="20"/>
  <c r="Q144" i="20"/>
  <c r="C323" i="20"/>
  <c r="V323" i="20" s="1"/>
  <c r="C386" i="20"/>
  <c r="V386" i="20" s="1"/>
  <c r="Q324" i="20"/>
  <c r="Q165" i="20"/>
  <c r="C302" i="20"/>
  <c r="V302" i="20" s="1"/>
  <c r="F33" i="19"/>
  <c r="M28" i="19"/>
  <c r="F30" i="19" s="1"/>
  <c r="K28" i="19"/>
  <c r="J36" i="19"/>
  <c r="E20" i="19"/>
  <c r="E82" i="19"/>
  <c r="F77" i="19"/>
  <c r="M9" i="20"/>
  <c r="M8" i="20"/>
  <c r="M7" i="20"/>
  <c r="M6" i="20"/>
  <c r="M5" i="20"/>
  <c r="M4" i="20"/>
  <c r="Z2" i="20"/>
  <c r="AA2" i="20"/>
  <c r="Z1" i="20"/>
  <c r="AA1" i="20"/>
  <c r="F10" i="19"/>
  <c r="Q212" i="20"/>
  <c r="C144" i="20"/>
  <c r="Q40" i="20"/>
  <c r="L36" i="19"/>
  <c r="Q59" i="20"/>
  <c r="S324" i="20"/>
  <c r="Q185" i="20"/>
  <c r="M117" i="5"/>
  <c r="S212" i="20"/>
  <c r="Q281" i="20"/>
  <c r="Q184" i="20"/>
  <c r="S366" i="20"/>
  <c r="S344" i="20"/>
  <c r="S303" i="20"/>
  <c r="M140" i="5"/>
  <c r="Q412" i="20"/>
  <c r="M96" i="5"/>
  <c r="S282" i="20" s="1"/>
  <c r="S165" i="20"/>
  <c r="M12" i="5"/>
  <c r="S5" i="20"/>
  <c r="S18" i="20"/>
  <c r="Q211" i="20"/>
  <c r="Q4" i="20"/>
  <c r="Q164" i="20"/>
  <c r="Q58" i="20"/>
  <c r="S239" i="20"/>
  <c r="M89" i="5"/>
  <c r="Q413" i="20"/>
  <c r="Q260" i="20"/>
  <c r="S41" i="20"/>
  <c r="S4" i="20"/>
  <c r="S387" i="20"/>
  <c r="S238" i="20"/>
  <c r="S59" i="20"/>
  <c r="S280" i="20"/>
  <c r="Q343" i="20"/>
  <c r="S163" i="20"/>
  <c r="S28" i="20"/>
  <c r="S29" i="20"/>
  <c r="S186" i="20"/>
  <c r="M82" i="5"/>
  <c r="S42" i="20"/>
  <c r="Q163" i="20"/>
  <c r="Q322" i="20"/>
  <c r="M4" i="5"/>
  <c r="Q259" i="20"/>
  <c r="S343" i="20"/>
  <c r="S413" i="20"/>
  <c r="S259" i="20"/>
  <c r="S213" i="20"/>
  <c r="C84" i="20"/>
  <c r="Q213" i="20" l="1"/>
  <c r="C212" i="20"/>
  <c r="V212" i="20" s="1"/>
  <c r="V144" i="20"/>
  <c r="V84" i="20"/>
  <c r="V4" i="20"/>
  <c r="T13" i="20"/>
  <c r="C239" i="20"/>
  <c r="V239" i="20" s="1"/>
  <c r="Q240" i="20"/>
  <c r="C185" i="20"/>
  <c r="V185" i="20" s="1"/>
  <c r="C344" i="20"/>
  <c r="V344" i="20" s="1"/>
  <c r="Q345" i="20"/>
  <c r="C59" i="20"/>
  <c r="Q42" i="20"/>
  <c r="C41" i="20"/>
  <c r="C281" i="20"/>
  <c r="V281" i="20" s="1"/>
  <c r="C164" i="20"/>
  <c r="Q30" i="20"/>
  <c r="C29" i="20"/>
  <c r="C260" i="20"/>
  <c r="V260" i="20" s="1"/>
  <c r="C413" i="20"/>
  <c r="V413" i="20" s="1"/>
  <c r="Q414" i="20"/>
  <c r="C5" i="20"/>
  <c r="V5" i="20" s="1"/>
  <c r="Q6" i="20"/>
  <c r="Q60" i="20"/>
  <c r="F41" i="19"/>
  <c r="E28" i="19"/>
  <c r="K36" i="19"/>
  <c r="E36" i="19" s="1"/>
  <c r="M36" i="19"/>
  <c r="F38" i="19" s="1"/>
  <c r="J44" i="19"/>
  <c r="E34" i="19"/>
  <c r="E5" i="20"/>
  <c r="E6" i="20" s="1"/>
  <c r="E7" i="20" s="1"/>
  <c r="F2" i="20"/>
  <c r="F61" i="19"/>
  <c r="F53" i="19"/>
  <c r="F45" i="19"/>
  <c r="F29" i="19"/>
  <c r="F21" i="19"/>
  <c r="F13" i="19"/>
  <c r="E66" i="19"/>
  <c r="E58" i="19"/>
  <c r="E50" i="19"/>
  <c r="E26" i="19"/>
  <c r="E18" i="19"/>
  <c r="C324" i="20"/>
  <c r="S345" i="20"/>
  <c r="S30" i="20"/>
  <c r="C165" i="20"/>
  <c r="C303" i="20"/>
  <c r="C42" i="20"/>
  <c r="C282" i="20"/>
  <c r="C366" i="20"/>
  <c r="S240" i="20"/>
  <c r="S6" i="20"/>
  <c r="S414" i="20"/>
  <c r="C213" i="20"/>
  <c r="C60" i="20"/>
  <c r="L44" i="19"/>
  <c r="C18" i="20"/>
  <c r="C186" i="20"/>
  <c r="S261" i="20"/>
  <c r="C387" i="20"/>
  <c r="V387" i="20" l="1"/>
  <c r="V366" i="20"/>
  <c r="V165" i="20"/>
  <c r="V18" i="20"/>
  <c r="V60" i="20"/>
  <c r="V213" i="20"/>
  <c r="V282" i="20"/>
  <c r="V324" i="20"/>
  <c r="V186" i="20"/>
  <c r="V42" i="20"/>
  <c r="V303" i="20"/>
  <c r="T14" i="20"/>
  <c r="V13" i="20"/>
  <c r="E8" i="20"/>
  <c r="E9" i="20" s="1"/>
  <c r="E10" i="20" s="1"/>
  <c r="F49" i="19"/>
  <c r="K44" i="19"/>
  <c r="E44" i="19" s="1"/>
  <c r="M44" i="19"/>
  <c r="F46" i="19" s="1"/>
  <c r="J52" i="19"/>
  <c r="J60" i="19" s="1"/>
  <c r="L60" i="19"/>
  <c r="C261" i="20"/>
  <c r="C30" i="20"/>
  <c r="C414" i="20"/>
  <c r="C240" i="20"/>
  <c r="L52" i="19"/>
  <c r="C6" i="20"/>
  <c r="C345" i="20"/>
  <c r="V240" i="20" l="1"/>
  <c r="V6" i="20"/>
  <c r="V345" i="20"/>
  <c r="V414" i="20"/>
  <c r="V30" i="20"/>
  <c r="V261" i="20"/>
  <c r="T15" i="20"/>
  <c r="V14" i="20"/>
  <c r="E11" i="20"/>
  <c r="E12" i="20" s="1"/>
  <c r="E13" i="20" s="1"/>
  <c r="F65" i="19"/>
  <c r="F57" i="19"/>
  <c r="M60" i="19"/>
  <c r="F62" i="19" s="1"/>
  <c r="K60" i="19"/>
  <c r="K52" i="19"/>
  <c r="E52" i="19" s="1"/>
  <c r="M52" i="19"/>
  <c r="F54" i="19" s="1"/>
  <c r="J68" i="19"/>
  <c r="F1" i="19"/>
  <c r="F42" i="19"/>
  <c r="L68" i="19"/>
  <c r="T16" i="20" l="1"/>
  <c r="V15" i="20"/>
  <c r="E14" i="20"/>
  <c r="F73" i="19"/>
  <c r="F37" i="19"/>
  <c r="E60" i="19"/>
  <c r="M68" i="19"/>
  <c r="F70" i="19" s="1"/>
  <c r="K68" i="19"/>
  <c r="E68" i="19" s="1"/>
  <c r="J76" i="19"/>
  <c r="E12" i="19"/>
  <c r="I8" i="3"/>
  <c r="I7" i="3"/>
  <c r="I6" i="3"/>
  <c r="I5" i="3"/>
  <c r="I4" i="3"/>
  <c r="I3" i="3"/>
  <c r="L76" i="19"/>
  <c r="T17" i="20" l="1"/>
  <c r="V16" i="20"/>
  <c r="E15" i="20"/>
  <c r="F81" i="19"/>
  <c r="K76" i="19"/>
  <c r="E76" i="19" s="1"/>
  <c r="M76" i="19"/>
  <c r="F78" i="19" s="1"/>
  <c r="J84" i="19"/>
  <c r="J92" i="19" s="1"/>
  <c r="H7" i="3"/>
  <c r="H8" i="3"/>
  <c r="H9" i="3"/>
  <c r="H10" i="3"/>
  <c r="H11" i="3"/>
  <c r="H12" i="3"/>
  <c r="H13" i="3"/>
  <c r="H14" i="3"/>
  <c r="H15" i="3"/>
  <c r="L84" i="19"/>
  <c r="L92" i="19"/>
  <c r="T18" i="20" l="1"/>
  <c r="T19" i="20" s="1"/>
  <c r="V17" i="20"/>
  <c r="E16" i="20"/>
  <c r="F97" i="19"/>
  <c r="F89" i="19"/>
  <c r="K92" i="19"/>
  <c r="M92" i="19"/>
  <c r="F94" i="19" s="1"/>
  <c r="M84" i="19"/>
  <c r="F86" i="19" s="1"/>
  <c r="K84" i="19"/>
  <c r="E84" i="19" s="1"/>
  <c r="J100" i="19"/>
  <c r="K4" i="19"/>
  <c r="E4" i="19" s="1"/>
  <c r="H6" i="3"/>
  <c r="H5" i="3"/>
  <c r="H4" i="3"/>
  <c r="H3" i="3"/>
  <c r="F74" i="19"/>
  <c r="L100" i="19"/>
  <c r="T20" i="20" l="1"/>
  <c r="T21" i="20" s="1"/>
  <c r="T22" i="20" s="1"/>
  <c r="V19" i="20"/>
  <c r="E17" i="20"/>
  <c r="F105" i="19"/>
  <c r="E74" i="19"/>
  <c r="E92" i="19"/>
  <c r="K100" i="19"/>
  <c r="E100" i="19" s="1"/>
  <c r="M100" i="19"/>
  <c r="F102" i="19" s="1"/>
  <c r="F69" i="19"/>
  <c r="J108" i="19"/>
  <c r="F5" i="19"/>
  <c r="L108" i="19"/>
  <c r="T23" i="20" l="1"/>
  <c r="V22" i="20"/>
  <c r="E18" i="20"/>
  <c r="E19" i="20" s="1"/>
  <c r="F113" i="19"/>
  <c r="K108" i="19"/>
  <c r="E108" i="19" s="1"/>
  <c r="M108" i="19"/>
  <c r="F110" i="19" s="1"/>
  <c r="J116" i="19"/>
  <c r="E42" i="19"/>
  <c r="E10" i="19"/>
  <c r="L116" i="19"/>
  <c r="T24" i="20" l="1"/>
  <c r="V23" i="20"/>
  <c r="E20" i="20"/>
  <c r="E21" i="20" s="1"/>
  <c r="E22" i="20" s="1"/>
  <c r="F121" i="19"/>
  <c r="K116" i="19"/>
  <c r="E116" i="19" s="1"/>
  <c r="M116" i="19"/>
  <c r="F118" i="19" s="1"/>
  <c r="J124" i="19"/>
  <c r="L124" i="19"/>
  <c r="T25" i="20" l="1"/>
  <c r="V24" i="20"/>
  <c r="E23" i="20"/>
  <c r="F129" i="19"/>
  <c r="M124" i="19"/>
  <c r="F126" i="19" s="1"/>
  <c r="K124" i="19"/>
  <c r="J132" i="19"/>
  <c r="L132" i="19"/>
  <c r="T26" i="20" l="1"/>
  <c r="V25" i="20"/>
  <c r="E24" i="20"/>
  <c r="F137" i="19"/>
  <c r="E124" i="19"/>
  <c r="K132" i="19"/>
  <c r="E132" i="19" s="1"/>
  <c r="M132" i="19"/>
  <c r="F134" i="19" s="1"/>
  <c r="J140" i="19"/>
  <c r="J148" i="19" s="1"/>
  <c r="L148" i="19"/>
  <c r="L140" i="19"/>
  <c r="T27" i="20" l="1"/>
  <c r="V26" i="20"/>
  <c r="E25" i="20"/>
  <c r="K148" i="19"/>
  <c r="E148" i="19" s="1"/>
  <c r="M148" i="19"/>
  <c r="F150" i="19" s="1"/>
  <c r="F153" i="19"/>
  <c r="J156" i="19"/>
  <c r="F145" i="19"/>
  <c r="K140" i="19"/>
  <c r="M140" i="19"/>
  <c r="F106" i="19"/>
  <c r="L156" i="19"/>
  <c r="T28" i="20" l="1"/>
  <c r="V27" i="20"/>
  <c r="E26" i="20"/>
  <c r="M156" i="19"/>
  <c r="F158" i="19" s="1"/>
  <c r="K156" i="19"/>
  <c r="E156" i="19" s="1"/>
  <c r="F161" i="19"/>
  <c r="J164" i="19"/>
  <c r="F142" i="19"/>
  <c r="E106" i="19"/>
  <c r="E140" i="19"/>
  <c r="F101" i="19"/>
  <c r="L164" i="19"/>
  <c r="T29" i="20" l="1"/>
  <c r="V28" i="20"/>
  <c r="E27" i="20"/>
  <c r="M164" i="19"/>
  <c r="F166" i="19" s="1"/>
  <c r="F169" i="19"/>
  <c r="K164" i="19"/>
  <c r="E164" i="19" s="1"/>
  <c r="J172" i="19"/>
  <c r="L172" i="19"/>
  <c r="T30" i="20" l="1"/>
  <c r="T31" i="20" s="1"/>
  <c r="V29" i="20"/>
  <c r="E28" i="20"/>
  <c r="K172" i="19"/>
  <c r="E172" i="19" s="1"/>
  <c r="F177" i="19"/>
  <c r="M172" i="19"/>
  <c r="F174" i="19" s="1"/>
  <c r="J180" i="19"/>
  <c r="L180" i="19"/>
  <c r="T32" i="20" l="1"/>
  <c r="T33" i="20" s="1"/>
  <c r="T34" i="20" s="1"/>
  <c r="V31" i="20"/>
  <c r="E29" i="20"/>
  <c r="F185" i="19"/>
  <c r="K180" i="19"/>
  <c r="E180" i="19" s="1"/>
  <c r="M180" i="19"/>
  <c r="F182" i="19" s="1"/>
  <c r="J188" i="19"/>
  <c r="L188" i="19"/>
  <c r="T35" i="20" l="1"/>
  <c r="V34" i="20"/>
  <c r="E30" i="20"/>
  <c r="E31" i="20" s="1"/>
  <c r="F193" i="19"/>
  <c r="K188" i="19"/>
  <c r="E188" i="19" s="1"/>
  <c r="M188" i="19"/>
  <c r="F190" i="19" s="1"/>
  <c r="J196" i="19"/>
  <c r="L196" i="19"/>
  <c r="T36" i="20" l="1"/>
  <c r="V35" i="20"/>
  <c r="E32" i="20"/>
  <c r="E33" i="20" s="1"/>
  <c r="E34" i="20" s="1"/>
  <c r="M196" i="19"/>
  <c r="F198" i="19" s="1"/>
  <c r="F201" i="19"/>
  <c r="K196" i="19"/>
  <c r="E196" i="19" s="1"/>
  <c r="J204" i="19"/>
  <c r="L204" i="19"/>
  <c r="T37" i="20" l="1"/>
  <c r="V36" i="20"/>
  <c r="E35" i="20"/>
  <c r="F209" i="19"/>
  <c r="M204" i="19"/>
  <c r="F206" i="19" s="1"/>
  <c r="K204" i="19"/>
  <c r="J212" i="19"/>
  <c r="F154" i="19"/>
  <c r="L212" i="19"/>
  <c r="T38" i="20" l="1"/>
  <c r="V37" i="20"/>
  <c r="E36" i="20"/>
  <c r="M212" i="19"/>
  <c r="F214" i="19" s="1"/>
  <c r="F217" i="19"/>
  <c r="K212" i="19"/>
  <c r="E212" i="19" s="1"/>
  <c r="F149" i="19"/>
  <c r="E154" i="19"/>
  <c r="J220" i="19"/>
  <c r="E204" i="19"/>
  <c r="L220" i="19"/>
  <c r="T39" i="20" l="1"/>
  <c r="V38" i="20"/>
  <c r="E37" i="20"/>
  <c r="F225" i="19"/>
  <c r="K220" i="19"/>
  <c r="E220" i="19" s="1"/>
  <c r="M220" i="19"/>
  <c r="F222" i="19" s="1"/>
  <c r="J228" i="19"/>
  <c r="L228" i="19"/>
  <c r="T40" i="20" l="1"/>
  <c r="V39" i="20"/>
  <c r="E38" i="20"/>
  <c r="M228" i="19"/>
  <c r="F230" i="19" s="1"/>
  <c r="F233" i="19"/>
  <c r="K228" i="19"/>
  <c r="E228" i="19" s="1"/>
  <c r="J236" i="19"/>
  <c r="J244" i="19" s="1"/>
  <c r="L244" i="19"/>
  <c r="L236" i="19"/>
  <c r="T41" i="20" l="1"/>
  <c r="V40" i="20"/>
  <c r="E39" i="20"/>
  <c r="K244" i="19"/>
  <c r="E244" i="19" s="1"/>
  <c r="M244" i="19"/>
  <c r="F246" i="19" s="1"/>
  <c r="F249" i="19"/>
  <c r="F241" i="19"/>
  <c r="K236" i="19"/>
  <c r="E236" i="19" s="1"/>
  <c r="M236" i="19"/>
  <c r="F238" i="19" s="1"/>
  <c r="J252" i="19"/>
  <c r="L252" i="19"/>
  <c r="T42" i="20" l="1"/>
  <c r="T43" i="20" s="1"/>
  <c r="V41" i="20"/>
  <c r="E40" i="20"/>
  <c r="K252" i="19"/>
  <c r="E252" i="19" s="1"/>
  <c r="F257" i="19"/>
  <c r="M252" i="19"/>
  <c r="F254" i="19" s="1"/>
  <c r="J260" i="19"/>
  <c r="J268" i="19" s="1"/>
  <c r="L268" i="19"/>
  <c r="L260" i="19"/>
  <c r="T44" i="20" l="1"/>
  <c r="V43" i="20"/>
  <c r="E41" i="20"/>
  <c r="F273" i="19"/>
  <c r="M268" i="19"/>
  <c r="F270" i="19" s="1"/>
  <c r="K268" i="19"/>
  <c r="E268" i="19" s="1"/>
  <c r="F265" i="19"/>
  <c r="M260" i="19"/>
  <c r="F262" i="19" s="1"/>
  <c r="K260" i="19"/>
  <c r="E260" i="19" s="1"/>
  <c r="J276" i="19"/>
  <c r="L276" i="19"/>
  <c r="T45" i="20" l="1"/>
  <c r="V44" i="20"/>
  <c r="E42" i="20"/>
  <c r="E43" i="20" s="1"/>
  <c r="K276" i="19"/>
  <c r="E276" i="19" s="1"/>
  <c r="F281" i="19"/>
  <c r="M276" i="19"/>
  <c r="F278" i="19" s="1"/>
  <c r="J284" i="19"/>
  <c r="L284" i="19"/>
  <c r="T46" i="20" l="1"/>
  <c r="V45" i="20"/>
  <c r="E44" i="20"/>
  <c r="K284" i="19"/>
  <c r="E284" i="19" s="1"/>
  <c r="F289" i="19"/>
  <c r="M284" i="19"/>
  <c r="F286" i="19" s="1"/>
  <c r="J292" i="19"/>
  <c r="L292" i="19"/>
  <c r="T47" i="20" l="1"/>
  <c r="V46" i="20"/>
  <c r="E45" i="20"/>
  <c r="K292" i="19"/>
  <c r="E292" i="19" s="1"/>
  <c r="M292" i="19"/>
  <c r="F294" i="19" s="1"/>
  <c r="F297" i="19"/>
  <c r="J300" i="19"/>
  <c r="L300" i="19"/>
  <c r="T48" i="20" l="1"/>
  <c r="V47" i="20"/>
  <c r="E46" i="20"/>
  <c r="F305" i="19"/>
  <c r="M300" i="19"/>
  <c r="F302" i="19" s="1"/>
  <c r="K300" i="19"/>
  <c r="E300" i="19" s="1"/>
  <c r="J308" i="19"/>
  <c r="L308" i="19"/>
  <c r="T49" i="20" l="1"/>
  <c r="V48" i="20"/>
  <c r="E47" i="20"/>
  <c r="M308" i="19"/>
  <c r="F310" i="19" s="1"/>
  <c r="F313" i="19"/>
  <c r="K308" i="19"/>
  <c r="E308" i="19" s="1"/>
  <c r="J316" i="19"/>
  <c r="L316" i="19"/>
  <c r="T50" i="20" l="1"/>
  <c r="V49" i="20"/>
  <c r="E48" i="20"/>
  <c r="F321" i="19"/>
  <c r="M316" i="19"/>
  <c r="F318" i="19" s="1"/>
  <c r="K316" i="19"/>
  <c r="E316" i="19" s="1"/>
  <c r="J324" i="19"/>
  <c r="L324" i="19"/>
  <c r="T51" i="20" l="1"/>
  <c r="V50" i="20"/>
  <c r="E49" i="20"/>
  <c r="K324" i="19"/>
  <c r="E324" i="19" s="1"/>
  <c r="F329" i="19"/>
  <c r="M324" i="19"/>
  <c r="F326" i="19" s="1"/>
  <c r="J332" i="19"/>
  <c r="L332" i="19"/>
  <c r="T52" i="20" l="1"/>
  <c r="V51" i="20"/>
  <c r="E50" i="20"/>
  <c r="K332" i="19"/>
  <c r="E332" i="19" s="1"/>
  <c r="M332" i="19"/>
  <c r="F334" i="19" s="1"/>
  <c r="F337" i="19"/>
  <c r="J340" i="19"/>
  <c r="L340" i="19"/>
  <c r="T53" i="20" l="1"/>
  <c r="V52" i="20"/>
  <c r="E51" i="20"/>
  <c r="M340" i="19"/>
  <c r="F342" i="19" s="1"/>
  <c r="K340" i="19"/>
  <c r="E340" i="19" s="1"/>
  <c r="F345" i="19"/>
  <c r="J348" i="19"/>
  <c r="L348" i="19"/>
  <c r="T54" i="20" l="1"/>
  <c r="V53" i="20"/>
  <c r="E52" i="20"/>
  <c r="K348" i="19"/>
  <c r="E348" i="19" s="1"/>
  <c r="M348" i="19"/>
  <c r="F350" i="19" s="1"/>
  <c r="F353" i="19"/>
  <c r="J356" i="19"/>
  <c r="L356" i="19"/>
  <c r="V54" i="20" l="1"/>
  <c r="T55" i="20"/>
  <c r="E53" i="20"/>
  <c r="F361" i="19"/>
  <c r="K356" i="19"/>
  <c r="E356" i="19" s="1"/>
  <c r="M356" i="19"/>
  <c r="F358" i="19" s="1"/>
  <c r="J364" i="19"/>
  <c r="L364" i="19"/>
  <c r="T56" i="20" l="1"/>
  <c r="V55" i="20"/>
  <c r="E54" i="20"/>
  <c r="K364" i="19"/>
  <c r="F369" i="19"/>
  <c r="M364" i="19"/>
  <c r="F366" i="19" s="1"/>
  <c r="J372" i="19"/>
  <c r="F218" i="19"/>
  <c r="L372" i="19"/>
  <c r="T57" i="20" l="1"/>
  <c r="V56" i="20"/>
  <c r="E55" i="20"/>
  <c r="F377" i="19"/>
  <c r="M372" i="19"/>
  <c r="F374" i="19" s="1"/>
  <c r="K372" i="19"/>
  <c r="E372" i="19" s="1"/>
  <c r="F213" i="19"/>
  <c r="E218" i="19"/>
  <c r="J380" i="19"/>
  <c r="E364" i="19"/>
  <c r="L380" i="19"/>
  <c r="T58" i="20" l="1"/>
  <c r="V57" i="20"/>
  <c r="E56" i="20"/>
  <c r="M380" i="19"/>
  <c r="F382" i="19" s="1"/>
  <c r="K380" i="19"/>
  <c r="E380" i="19" s="1"/>
  <c r="F385" i="19"/>
  <c r="J388" i="19"/>
  <c r="L388" i="19"/>
  <c r="T59" i="20" l="1"/>
  <c r="V58" i="20"/>
  <c r="E57" i="20"/>
  <c r="K388" i="19"/>
  <c r="E388" i="19" s="1"/>
  <c r="F393" i="19"/>
  <c r="M388" i="19"/>
  <c r="F390" i="19" s="1"/>
  <c r="J396" i="19"/>
  <c r="L396" i="19"/>
  <c r="T60" i="20" l="1"/>
  <c r="T61" i="20" s="1"/>
  <c r="V59" i="20"/>
  <c r="E58" i="20"/>
  <c r="F401" i="19"/>
  <c r="K396" i="19"/>
  <c r="E396" i="19" s="1"/>
  <c r="M396" i="19"/>
  <c r="F398" i="19" s="1"/>
  <c r="J404" i="19"/>
  <c r="L404" i="19"/>
  <c r="T62" i="20" l="1"/>
  <c r="V61" i="20"/>
  <c r="E59" i="20"/>
  <c r="F409" i="19"/>
  <c r="K404" i="19"/>
  <c r="E404" i="19" s="1"/>
  <c r="M404" i="19"/>
  <c r="F406" i="19" s="1"/>
  <c r="J412" i="19"/>
  <c r="L412" i="19"/>
  <c r="T63" i="20" l="1"/>
  <c r="V62" i="20"/>
  <c r="E60" i="20"/>
  <c r="E61" i="20" s="1"/>
  <c r="J420" i="19"/>
  <c r="J428" i="19" s="1"/>
  <c r="F417" i="19"/>
  <c r="M412" i="19"/>
  <c r="F414" i="19" s="1"/>
  <c r="K412" i="19"/>
  <c r="L420" i="19"/>
  <c r="L428" i="19"/>
  <c r="T64" i="20" l="1"/>
  <c r="V63" i="20"/>
  <c r="E62" i="20"/>
  <c r="F425" i="19"/>
  <c r="M420" i="19"/>
  <c r="F422" i="19" s="1"/>
  <c r="K420" i="19"/>
  <c r="F433" i="19"/>
  <c r="M428" i="19"/>
  <c r="F430" i="19" s="1"/>
  <c r="K428" i="19"/>
  <c r="E428" i="19" s="1"/>
  <c r="J436" i="19"/>
  <c r="E412" i="19"/>
  <c r="F378" i="19"/>
  <c r="L436" i="19"/>
  <c r="T65" i="20" l="1"/>
  <c r="V64" i="20"/>
  <c r="E63" i="20"/>
  <c r="F441" i="19"/>
  <c r="M436" i="19"/>
  <c r="F438" i="19" s="1"/>
  <c r="K436" i="19"/>
  <c r="E436" i="19" s="1"/>
  <c r="E378" i="19"/>
  <c r="F373" i="19"/>
  <c r="J444" i="19"/>
  <c r="E420" i="19"/>
  <c r="L444" i="19"/>
  <c r="T66" i="20" l="1"/>
  <c r="V65" i="20"/>
  <c r="E64" i="20"/>
  <c r="M444" i="19"/>
  <c r="F446" i="19" s="1"/>
  <c r="F449" i="19"/>
  <c r="K444" i="19"/>
  <c r="E444" i="19" s="1"/>
  <c r="J452" i="19"/>
  <c r="L452" i="19"/>
  <c r="T67" i="20" l="1"/>
  <c r="V66" i="20"/>
  <c r="E65" i="20"/>
  <c r="K452" i="19"/>
  <c r="E452" i="19" s="1"/>
  <c r="F457" i="19"/>
  <c r="M452" i="19"/>
  <c r="F454" i="19" s="1"/>
  <c r="J460" i="19"/>
  <c r="L460" i="19"/>
  <c r="T68" i="20" l="1"/>
  <c r="V67" i="20"/>
  <c r="E66" i="20"/>
  <c r="F465" i="19"/>
  <c r="M460" i="19"/>
  <c r="F462" i="19" s="1"/>
  <c r="K460" i="19"/>
  <c r="E460" i="19" s="1"/>
  <c r="J468" i="19"/>
  <c r="L468" i="19"/>
  <c r="T69" i="20" l="1"/>
  <c r="V68" i="20"/>
  <c r="E67" i="20"/>
  <c r="K468" i="19"/>
  <c r="E468" i="19" s="1"/>
  <c r="M468" i="19"/>
  <c r="F470" i="19" s="1"/>
  <c r="F473" i="19"/>
  <c r="J476" i="19"/>
  <c r="L476" i="19"/>
  <c r="T70" i="20" l="1"/>
  <c r="V69" i="20"/>
  <c r="E68" i="20"/>
  <c r="K476" i="19"/>
  <c r="M476" i="19"/>
  <c r="F478" i="19" s="1"/>
  <c r="F481" i="19"/>
  <c r="J484" i="19"/>
  <c r="F434" i="19"/>
  <c r="L484" i="19"/>
  <c r="T71" i="20" l="1"/>
  <c r="V70" i="20"/>
  <c r="E69" i="20"/>
  <c r="K484" i="19"/>
  <c r="E484" i="19" s="1"/>
  <c r="F489" i="19"/>
  <c r="M484" i="19"/>
  <c r="F486" i="19" s="1"/>
  <c r="E434" i="19"/>
  <c r="F429" i="19"/>
  <c r="J492" i="19"/>
  <c r="E476" i="19"/>
  <c r="L492" i="19"/>
  <c r="T72" i="20" l="1"/>
  <c r="V71" i="20"/>
  <c r="E70" i="20"/>
  <c r="M492" i="19"/>
  <c r="F494" i="19" s="1"/>
  <c r="K492" i="19"/>
  <c r="E492" i="19" s="1"/>
  <c r="F497" i="19"/>
  <c r="J500" i="19"/>
  <c r="L500" i="19"/>
  <c r="T73" i="20" l="1"/>
  <c r="V72" i="20"/>
  <c r="E71" i="20"/>
  <c r="F505" i="19"/>
  <c r="K500" i="19"/>
  <c r="E500" i="19" s="1"/>
  <c r="M500" i="19"/>
  <c r="F502" i="19" s="1"/>
  <c r="J508" i="19"/>
  <c r="L508" i="19"/>
  <c r="T74" i="20" l="1"/>
  <c r="V73" i="20"/>
  <c r="E72" i="20"/>
  <c r="K508" i="19"/>
  <c r="E508" i="19" s="1"/>
  <c r="F513" i="19"/>
  <c r="M508" i="19"/>
  <c r="F510" i="19" s="1"/>
  <c r="J516" i="19"/>
  <c r="L516" i="19"/>
  <c r="T75" i="20" l="1"/>
  <c r="V74" i="20"/>
  <c r="E73" i="20"/>
  <c r="K516" i="19"/>
  <c r="E516" i="19" s="1"/>
  <c r="M516" i="19"/>
  <c r="F518" i="19" s="1"/>
  <c r="F521" i="19"/>
  <c r="J524" i="19"/>
  <c r="L524" i="19"/>
  <c r="T76" i="20" l="1"/>
  <c r="V75" i="20"/>
  <c r="E74" i="20"/>
  <c r="M524" i="19"/>
  <c r="F526" i="19" s="1"/>
  <c r="F529" i="19"/>
  <c r="K524" i="19"/>
  <c r="E524" i="19" s="1"/>
  <c r="J532" i="19"/>
  <c r="L532" i="19"/>
  <c r="T77" i="20" l="1"/>
  <c r="V76" i="20"/>
  <c r="E75" i="20"/>
  <c r="M532" i="19"/>
  <c r="F534" i="19" s="1"/>
  <c r="F537" i="19"/>
  <c r="K532" i="19"/>
  <c r="E532" i="19" s="1"/>
  <c r="J540" i="19"/>
  <c r="L540" i="19"/>
  <c r="T78" i="20" l="1"/>
  <c r="V77" i="20"/>
  <c r="E76" i="20"/>
  <c r="F545" i="19"/>
  <c r="M540" i="19"/>
  <c r="F542" i="19" s="1"/>
  <c r="K540" i="19"/>
  <c r="E540" i="19" s="1"/>
  <c r="J548" i="19"/>
  <c r="L548" i="19"/>
  <c r="T79" i="20" l="1"/>
  <c r="V78" i="20"/>
  <c r="E77" i="20"/>
  <c r="F553" i="19"/>
  <c r="K548" i="19"/>
  <c r="M548" i="19"/>
  <c r="F550" i="19" s="1"/>
  <c r="J556" i="19"/>
  <c r="F490" i="19"/>
  <c r="L556" i="19"/>
  <c r="T80" i="20" l="1"/>
  <c r="V79" i="20"/>
  <c r="E78" i="20"/>
  <c r="K556" i="19"/>
  <c r="E556" i="19" s="1"/>
  <c r="M556" i="19"/>
  <c r="F558" i="19" s="1"/>
  <c r="F561" i="19"/>
  <c r="F485" i="19"/>
  <c r="E490" i="19"/>
  <c r="J564" i="19"/>
  <c r="E548" i="19"/>
  <c r="L564" i="19"/>
  <c r="T81" i="20" l="1"/>
  <c r="V80" i="20"/>
  <c r="E79" i="20"/>
  <c r="M564" i="19"/>
  <c r="F566" i="19" s="1"/>
  <c r="F569" i="19"/>
  <c r="K564" i="19"/>
  <c r="E564" i="19" s="1"/>
  <c r="J572" i="19"/>
  <c r="L572" i="19"/>
  <c r="T82" i="20" l="1"/>
  <c r="V81" i="20"/>
  <c r="E80" i="20"/>
  <c r="K572" i="19"/>
  <c r="E572" i="19" s="1"/>
  <c r="M572" i="19"/>
  <c r="F574" i="19" s="1"/>
  <c r="F577" i="19"/>
  <c r="J580" i="19"/>
  <c r="L580" i="19"/>
  <c r="T83" i="20" l="1"/>
  <c r="V82" i="20"/>
  <c r="E81" i="20"/>
  <c r="K580" i="19"/>
  <c r="E580" i="19" s="1"/>
  <c r="F585" i="19"/>
  <c r="M580" i="19"/>
  <c r="F582" i="19" s="1"/>
  <c r="J588" i="19"/>
  <c r="L588" i="19"/>
  <c r="T84" i="20" l="1"/>
  <c r="T85" i="20" s="1"/>
  <c r="V83" i="20"/>
  <c r="E82" i="20"/>
  <c r="K588" i="19"/>
  <c r="E588" i="19" s="1"/>
  <c r="M588" i="19"/>
  <c r="F590" i="19" s="1"/>
  <c r="F593" i="19"/>
  <c r="J596" i="19"/>
  <c r="L596" i="19"/>
  <c r="T86" i="20" l="1"/>
  <c r="T87" i="20" s="1"/>
  <c r="T88" i="20" s="1"/>
  <c r="V85" i="20"/>
  <c r="E83" i="20"/>
  <c r="K596" i="19"/>
  <c r="E596" i="19" s="1"/>
  <c r="F601" i="19"/>
  <c r="M596" i="19"/>
  <c r="F598" i="19" s="1"/>
  <c r="J604" i="19"/>
  <c r="L604" i="19"/>
  <c r="T89" i="20" l="1"/>
  <c r="T90" i="20" s="1"/>
  <c r="T91" i="20" s="1"/>
  <c r="V88" i="20"/>
  <c r="E84" i="20"/>
  <c r="E85" i="20" s="1"/>
  <c r="M604" i="19"/>
  <c r="F606" i="19" s="1"/>
  <c r="F609" i="19"/>
  <c r="K604" i="19"/>
  <c r="E604" i="19" s="1"/>
  <c r="J612" i="19"/>
  <c r="L612" i="19"/>
  <c r="T92" i="20" l="1"/>
  <c r="T93" i="20" s="1"/>
  <c r="T94" i="20" s="1"/>
  <c r="V91" i="20"/>
  <c r="E86" i="20"/>
  <c r="E87" i="20" s="1"/>
  <c r="E88" i="20" s="1"/>
  <c r="K612" i="19"/>
  <c r="E612" i="19" s="1"/>
  <c r="F617" i="19"/>
  <c r="M612" i="19"/>
  <c r="F614" i="19" s="1"/>
  <c r="J620" i="19"/>
  <c r="L620" i="19"/>
  <c r="T95" i="20" l="1"/>
  <c r="T96" i="20" s="1"/>
  <c r="T97" i="20" s="1"/>
  <c r="V94" i="20"/>
  <c r="E89" i="20"/>
  <c r="E90" i="20" s="1"/>
  <c r="E91" i="20" s="1"/>
  <c r="F625" i="19"/>
  <c r="K620" i="19"/>
  <c r="M620" i="19"/>
  <c r="F622" i="19" s="1"/>
  <c r="J628" i="19"/>
  <c r="F562" i="19"/>
  <c r="L628" i="19"/>
  <c r="T98" i="20" l="1"/>
  <c r="V97" i="20"/>
  <c r="E92" i="20"/>
  <c r="E93" i="20" s="1"/>
  <c r="E94" i="20" s="1"/>
  <c r="M628" i="19"/>
  <c r="F630" i="19" s="1"/>
  <c r="F633" i="19"/>
  <c r="K628" i="19"/>
  <c r="E628" i="19" s="1"/>
  <c r="F557" i="19"/>
  <c r="E562" i="19"/>
  <c r="J636" i="19"/>
  <c r="E620" i="19"/>
  <c r="L636" i="19"/>
  <c r="T99" i="20" l="1"/>
  <c r="V98" i="20"/>
  <c r="E95" i="20"/>
  <c r="E96" i="20" s="1"/>
  <c r="E97" i="20" s="1"/>
  <c r="F641" i="19"/>
  <c r="K636" i="19"/>
  <c r="E636" i="19" s="1"/>
  <c r="M636" i="19"/>
  <c r="F638" i="19" s="1"/>
  <c r="J644" i="19"/>
  <c r="L644" i="19"/>
  <c r="T100" i="20" l="1"/>
  <c r="V99" i="20"/>
  <c r="E98" i="20"/>
  <c r="M644" i="19"/>
  <c r="F646" i="19" s="1"/>
  <c r="F649" i="19"/>
  <c r="K644" i="19"/>
  <c r="E644" i="19" s="1"/>
  <c r="J652" i="19"/>
  <c r="L652" i="19"/>
  <c r="T101" i="20" l="1"/>
  <c r="V100" i="20"/>
  <c r="E99" i="20"/>
  <c r="F657" i="19"/>
  <c r="K652" i="19"/>
  <c r="E652" i="19" s="1"/>
  <c r="M652" i="19"/>
  <c r="F654" i="19" s="1"/>
  <c r="J660" i="19"/>
  <c r="L660" i="19"/>
  <c r="T102" i="20" l="1"/>
  <c r="V101" i="20"/>
  <c r="E100" i="20"/>
  <c r="M660" i="19"/>
  <c r="F662" i="19" s="1"/>
  <c r="K660" i="19"/>
  <c r="E660" i="19" s="1"/>
  <c r="F665" i="19"/>
  <c r="J668" i="19"/>
  <c r="L668" i="19"/>
  <c r="V102" i="20" l="1"/>
  <c r="T103" i="20"/>
  <c r="E101" i="20"/>
  <c r="M668" i="19"/>
  <c r="F670" i="19" s="1"/>
  <c r="F673" i="19"/>
  <c r="K668" i="19"/>
  <c r="E668" i="19" s="1"/>
  <c r="J676" i="19"/>
  <c r="L676" i="19"/>
  <c r="T104" i="20" l="1"/>
  <c r="V103" i="20"/>
  <c r="E102" i="20"/>
  <c r="F681" i="19"/>
  <c r="K676" i="19"/>
  <c r="M676" i="19"/>
  <c r="F678" i="19" s="1"/>
  <c r="J684" i="19"/>
  <c r="F634" i="19"/>
  <c r="L684" i="19"/>
  <c r="T105" i="20" l="1"/>
  <c r="V104" i="20"/>
  <c r="E103" i="20"/>
  <c r="K684" i="19"/>
  <c r="E684" i="19" s="1"/>
  <c r="M684" i="19"/>
  <c r="F686" i="19" s="1"/>
  <c r="F689" i="19"/>
  <c r="F629" i="19"/>
  <c r="E634" i="19"/>
  <c r="J692" i="19"/>
  <c r="E676" i="19"/>
  <c r="L692" i="19"/>
  <c r="T106" i="20" l="1"/>
  <c r="V105" i="20"/>
  <c r="E104" i="20"/>
  <c r="K692" i="19"/>
  <c r="E692" i="19" s="1"/>
  <c r="F697" i="19"/>
  <c r="M692" i="19"/>
  <c r="F694" i="19" s="1"/>
  <c r="J700" i="19"/>
  <c r="L700" i="19"/>
  <c r="T107" i="20" l="1"/>
  <c r="V106" i="20"/>
  <c r="E105" i="20"/>
  <c r="F705" i="19"/>
  <c r="M700" i="19"/>
  <c r="F702" i="19" s="1"/>
  <c r="K700" i="19"/>
  <c r="E700" i="19" s="1"/>
  <c r="J708" i="19"/>
  <c r="L708" i="19"/>
  <c r="T108" i="20" l="1"/>
  <c r="V107" i="20"/>
  <c r="E106" i="20"/>
  <c r="K708" i="19"/>
  <c r="E708" i="19" s="1"/>
  <c r="F713" i="19"/>
  <c r="M708" i="19"/>
  <c r="F710" i="19" s="1"/>
  <c r="J716" i="19"/>
  <c r="L716" i="19"/>
  <c r="T109" i="20" l="1"/>
  <c r="V108" i="20"/>
  <c r="E107" i="20"/>
  <c r="F721" i="19"/>
  <c r="M716" i="19"/>
  <c r="F718" i="19" s="1"/>
  <c r="K716" i="19"/>
  <c r="E716" i="19" s="1"/>
  <c r="J724" i="19"/>
  <c r="L724" i="19"/>
  <c r="T110" i="20" l="1"/>
  <c r="V109" i="20"/>
  <c r="E108" i="20"/>
  <c r="K724" i="19"/>
  <c r="E724" i="19" s="1"/>
  <c r="F729" i="19"/>
  <c r="M724" i="19"/>
  <c r="F726" i="19" s="1"/>
  <c r="J732" i="19"/>
  <c r="L732" i="19"/>
  <c r="T111" i="20" l="1"/>
  <c r="V110" i="20"/>
  <c r="E109" i="20"/>
  <c r="F737" i="19"/>
  <c r="M732" i="19"/>
  <c r="F734" i="19" s="1"/>
  <c r="K732" i="19"/>
  <c r="J740" i="19"/>
  <c r="F690" i="19"/>
  <c r="L740" i="19"/>
  <c r="T112" i="20" l="1"/>
  <c r="V111" i="20"/>
  <c r="E110" i="20"/>
  <c r="F745" i="19"/>
  <c r="K740" i="19"/>
  <c r="E740" i="19" s="1"/>
  <c r="M740" i="19"/>
  <c r="F742" i="19" s="1"/>
  <c r="E690" i="19"/>
  <c r="F685" i="19"/>
  <c r="J748" i="19"/>
  <c r="E732" i="19"/>
  <c r="L748" i="19"/>
  <c r="T113" i="20" l="1"/>
  <c r="V112" i="20"/>
  <c r="E111" i="20"/>
  <c r="K748" i="19"/>
  <c r="E748" i="19" s="1"/>
  <c r="F753" i="19"/>
  <c r="M748" i="19"/>
  <c r="F750" i="19" s="1"/>
  <c r="J756" i="19"/>
  <c r="L756" i="19"/>
  <c r="T114" i="20" l="1"/>
  <c r="V113" i="20"/>
  <c r="E112" i="20"/>
  <c r="M756" i="19"/>
  <c r="F758" i="19" s="1"/>
  <c r="K756" i="19"/>
  <c r="E756" i="19" s="1"/>
  <c r="F761" i="19"/>
  <c r="J764" i="19"/>
  <c r="L764" i="19"/>
  <c r="T115" i="20" l="1"/>
  <c r="V114" i="20"/>
  <c r="E113" i="20"/>
  <c r="M764" i="19"/>
  <c r="F766" i="19" s="1"/>
  <c r="F769" i="19"/>
  <c r="K764" i="19"/>
  <c r="E764" i="19" s="1"/>
  <c r="J772" i="19"/>
  <c r="L772" i="19"/>
  <c r="T116" i="20" l="1"/>
  <c r="V115" i="20"/>
  <c r="E114" i="20"/>
  <c r="F777" i="19"/>
  <c r="K772" i="19"/>
  <c r="E772" i="19" s="1"/>
  <c r="M772" i="19"/>
  <c r="F774" i="19" s="1"/>
  <c r="J780" i="19"/>
  <c r="L780" i="19"/>
  <c r="T117" i="20" l="1"/>
  <c r="V116" i="20"/>
  <c r="E115" i="20"/>
  <c r="M780" i="19"/>
  <c r="F782" i="19" s="1"/>
  <c r="K780" i="19"/>
  <c r="E780" i="19" s="1"/>
  <c r="F785" i="19"/>
  <c r="J788" i="19"/>
  <c r="L788" i="19"/>
  <c r="T118" i="20" l="1"/>
  <c r="V117" i="20"/>
  <c r="E116" i="20"/>
  <c r="K788" i="19"/>
  <c r="F793" i="19"/>
  <c r="M788" i="19"/>
  <c r="F790" i="19" s="1"/>
  <c r="J796" i="19"/>
  <c r="F746" i="19"/>
  <c r="L796" i="19"/>
  <c r="T119" i="20" l="1"/>
  <c r="T120" i="20" s="1"/>
  <c r="T121" i="20" s="1"/>
  <c r="V118" i="20"/>
  <c r="E117" i="20"/>
  <c r="M796" i="19"/>
  <c r="F798" i="19" s="1"/>
  <c r="F801" i="19"/>
  <c r="K796" i="19"/>
  <c r="E796" i="19" s="1"/>
  <c r="E746" i="19"/>
  <c r="F741" i="19"/>
  <c r="J804" i="19"/>
  <c r="E788" i="19"/>
  <c r="L804" i="19"/>
  <c r="T122" i="20" l="1"/>
  <c r="T123" i="20" s="1"/>
  <c r="T124" i="20" s="1"/>
  <c r="V121" i="20"/>
  <c r="E118" i="20"/>
  <c r="M804" i="19"/>
  <c r="F806" i="19" s="1"/>
  <c r="K804" i="19"/>
  <c r="E804" i="19" s="1"/>
  <c r="F809" i="19"/>
  <c r="J812" i="19"/>
  <c r="L812" i="19"/>
  <c r="T125" i="20" l="1"/>
  <c r="T126" i="20" s="1"/>
  <c r="T127" i="20" s="1"/>
  <c r="V124" i="20"/>
  <c r="E119" i="20"/>
  <c r="E120" i="20" s="1"/>
  <c r="E121" i="20" s="1"/>
  <c r="M812" i="19"/>
  <c r="F814" i="19" s="1"/>
  <c r="K812" i="19"/>
  <c r="E812" i="19" s="1"/>
  <c r="F817" i="19"/>
  <c r="J820" i="19"/>
  <c r="L820" i="19"/>
  <c r="T128" i="20" l="1"/>
  <c r="V127" i="20"/>
  <c r="E122" i="20"/>
  <c r="E123" i="20" s="1"/>
  <c r="E124" i="20" s="1"/>
  <c r="K820" i="19"/>
  <c r="E820" i="19" s="1"/>
  <c r="F825" i="19"/>
  <c r="M820" i="19"/>
  <c r="F822" i="19" s="1"/>
  <c r="J828" i="19"/>
  <c r="L828" i="19"/>
  <c r="T129" i="20" l="1"/>
  <c r="V128" i="20"/>
  <c r="E125" i="20"/>
  <c r="E126" i="20" s="1"/>
  <c r="E127" i="20" s="1"/>
  <c r="K828" i="19"/>
  <c r="E828" i="19" s="1"/>
  <c r="M828" i="19"/>
  <c r="F830" i="19" s="1"/>
  <c r="F833" i="19"/>
  <c r="J836" i="19"/>
  <c r="L836" i="19"/>
  <c r="T130" i="20" l="1"/>
  <c r="V129" i="20"/>
  <c r="E128" i="20"/>
  <c r="K836" i="19"/>
  <c r="E836" i="19" s="1"/>
  <c r="M836" i="19"/>
  <c r="F838" i="19" s="1"/>
  <c r="F841" i="19"/>
  <c r="J844" i="19"/>
  <c r="L844" i="19"/>
  <c r="T131" i="20" l="1"/>
  <c r="V130" i="20"/>
  <c r="E129" i="20"/>
  <c r="F849" i="19"/>
  <c r="M844" i="19"/>
  <c r="F846" i="19" s="1"/>
  <c r="K844" i="19"/>
  <c r="J852" i="19"/>
  <c r="F802" i="19"/>
  <c r="L852" i="19"/>
  <c r="T132" i="20" l="1"/>
  <c r="V131" i="20"/>
  <c r="E130" i="20"/>
  <c r="F857" i="19"/>
  <c r="M852" i="19"/>
  <c r="F854" i="19" s="1"/>
  <c r="K852" i="19"/>
  <c r="E852" i="19" s="1"/>
  <c r="F797" i="19"/>
  <c r="E802" i="19"/>
  <c r="J860" i="19"/>
  <c r="E844" i="19"/>
  <c r="L860" i="19"/>
  <c r="T133" i="20" l="1"/>
  <c r="V132" i="20"/>
  <c r="E131" i="20"/>
  <c r="F865" i="19"/>
  <c r="M860" i="19"/>
  <c r="F862" i="19" s="1"/>
  <c r="K860" i="19"/>
  <c r="E860" i="19" s="1"/>
  <c r="J868" i="19"/>
  <c r="L868" i="19"/>
  <c r="T134" i="20" l="1"/>
  <c r="V133" i="20"/>
  <c r="E132" i="20"/>
  <c r="F873" i="19"/>
  <c r="M868" i="19"/>
  <c r="F870" i="19" s="1"/>
  <c r="K868" i="19"/>
  <c r="E868" i="19" s="1"/>
  <c r="J876" i="19"/>
  <c r="L876" i="19"/>
  <c r="T135" i="20" l="1"/>
  <c r="V134" i="20"/>
  <c r="E133" i="20"/>
  <c r="F881" i="19"/>
  <c r="M876" i="19"/>
  <c r="F878" i="19" s="1"/>
  <c r="K876" i="19"/>
  <c r="E876" i="19" s="1"/>
  <c r="J884" i="19"/>
  <c r="L884" i="19"/>
  <c r="T136" i="20" l="1"/>
  <c r="V135" i="20"/>
  <c r="E134" i="20"/>
  <c r="F889" i="19"/>
  <c r="K884" i="19"/>
  <c r="E884" i="19" s="1"/>
  <c r="M884" i="19"/>
  <c r="F886" i="19" s="1"/>
  <c r="J892" i="19"/>
  <c r="L892" i="19"/>
  <c r="T137" i="20" l="1"/>
  <c r="V136" i="20"/>
  <c r="E135" i="20"/>
  <c r="F897" i="19"/>
  <c r="K892" i="19"/>
  <c r="E892" i="19" s="1"/>
  <c r="M892" i="19"/>
  <c r="F894" i="19" s="1"/>
  <c r="J900" i="19"/>
  <c r="L900" i="19"/>
  <c r="T138" i="20" l="1"/>
  <c r="V137" i="20"/>
  <c r="E136" i="20"/>
  <c r="K900" i="19"/>
  <c r="M900" i="19"/>
  <c r="F902" i="19" s="1"/>
  <c r="F905" i="19"/>
  <c r="J908" i="19"/>
  <c r="F858" i="19"/>
  <c r="L908" i="19"/>
  <c r="T139" i="20" l="1"/>
  <c r="V138" i="20"/>
  <c r="E137" i="20"/>
  <c r="F913" i="19"/>
  <c r="M908" i="19"/>
  <c r="F910" i="19" s="1"/>
  <c r="K908" i="19"/>
  <c r="E908" i="19" s="1"/>
  <c r="F853" i="19"/>
  <c r="E858" i="19"/>
  <c r="J916" i="19"/>
  <c r="E900" i="19"/>
  <c r="L916" i="19"/>
  <c r="T140" i="20" l="1"/>
  <c r="V139" i="20"/>
  <c r="E138" i="20"/>
  <c r="M916" i="19"/>
  <c r="F918" i="19" s="1"/>
  <c r="K916" i="19"/>
  <c r="E916" i="19" s="1"/>
  <c r="F921" i="19"/>
  <c r="J924" i="19"/>
  <c r="L924" i="19"/>
  <c r="T141" i="20" l="1"/>
  <c r="V140" i="20"/>
  <c r="E139" i="20"/>
  <c r="M924" i="19"/>
  <c r="F926" i="19" s="1"/>
  <c r="K924" i="19"/>
  <c r="E924" i="19" s="1"/>
  <c r="F929" i="19"/>
  <c r="J932" i="19"/>
  <c r="L932" i="19"/>
  <c r="T142" i="20" l="1"/>
  <c r="V141" i="20"/>
  <c r="E140" i="20"/>
  <c r="K932" i="19"/>
  <c r="E932" i="19" s="1"/>
  <c r="M932" i="19"/>
  <c r="F934" i="19" s="1"/>
  <c r="F937" i="19"/>
  <c r="J940" i="19"/>
  <c r="L940" i="19"/>
  <c r="T143" i="20" l="1"/>
  <c r="V142" i="20"/>
  <c r="E141" i="20"/>
  <c r="M940" i="19"/>
  <c r="F942" i="19" s="1"/>
  <c r="F945" i="19"/>
  <c r="K940" i="19"/>
  <c r="E940" i="19" s="1"/>
  <c r="J948" i="19"/>
  <c r="L948" i="19"/>
  <c r="T144" i="20" l="1"/>
  <c r="T145" i="20" s="1"/>
  <c r="V143" i="20"/>
  <c r="E142" i="20"/>
  <c r="F953" i="19"/>
  <c r="M948" i="19"/>
  <c r="F950" i="19" s="1"/>
  <c r="K948" i="19"/>
  <c r="E948" i="19" s="1"/>
  <c r="J956" i="19"/>
  <c r="L956" i="19"/>
  <c r="T146" i="20" l="1"/>
  <c r="T147" i="20" s="1"/>
  <c r="T148" i="20" s="1"/>
  <c r="V145" i="20"/>
  <c r="E143" i="20"/>
  <c r="M956" i="19"/>
  <c r="F958" i="19" s="1"/>
  <c r="K956" i="19"/>
  <c r="F961" i="19"/>
  <c r="J964" i="19"/>
  <c r="F914" i="19"/>
  <c r="L964" i="19"/>
  <c r="T149" i="20" l="1"/>
  <c r="V148" i="20"/>
  <c r="E144" i="20"/>
  <c r="E145" i="20" s="1"/>
  <c r="M964" i="19"/>
  <c r="F966" i="19" s="1"/>
  <c r="K964" i="19"/>
  <c r="E964" i="19" s="1"/>
  <c r="F969" i="19"/>
  <c r="F909" i="19"/>
  <c r="E914" i="19"/>
  <c r="J972" i="19"/>
  <c r="E956" i="19"/>
  <c r="L972" i="19"/>
  <c r="T150" i="20" l="1"/>
  <c r="V149" i="20"/>
  <c r="E146" i="20"/>
  <c r="E147" i="20" s="1"/>
  <c r="E148" i="20" s="1"/>
  <c r="K972" i="19"/>
  <c r="E972" i="19" s="1"/>
  <c r="F977" i="19"/>
  <c r="M972" i="19"/>
  <c r="F974" i="19" s="1"/>
  <c r="J980" i="19"/>
  <c r="L980" i="19"/>
  <c r="T151" i="20" l="1"/>
  <c r="V150" i="20"/>
  <c r="E149" i="20"/>
  <c r="F985" i="19"/>
  <c r="M980" i="19"/>
  <c r="F982" i="19" s="1"/>
  <c r="K980" i="19"/>
  <c r="E980" i="19" s="1"/>
  <c r="J988" i="19"/>
  <c r="L988" i="19"/>
  <c r="T152" i="20" l="1"/>
  <c r="V151" i="20"/>
  <c r="E150" i="20"/>
  <c r="F993" i="19"/>
  <c r="K988" i="19"/>
  <c r="E988" i="19" s="1"/>
  <c r="M988" i="19"/>
  <c r="F990" i="19" s="1"/>
  <c r="J996" i="19"/>
  <c r="L996" i="19"/>
  <c r="T153" i="20" l="1"/>
  <c r="V152" i="20"/>
  <c r="E151" i="20"/>
  <c r="F1001" i="19"/>
  <c r="K996" i="19"/>
  <c r="E996" i="19" s="1"/>
  <c r="M996" i="19"/>
  <c r="F998" i="19" s="1"/>
  <c r="J1004" i="19"/>
  <c r="L1004" i="19"/>
  <c r="T154" i="20" l="1"/>
  <c r="V153" i="20"/>
  <c r="E152" i="20"/>
  <c r="K1004" i="19"/>
  <c r="E1004" i="19" s="1"/>
  <c r="F1009" i="19"/>
  <c r="M1004" i="19"/>
  <c r="F1006" i="19" s="1"/>
  <c r="J1012" i="19"/>
  <c r="L1012" i="19"/>
  <c r="T155" i="20" l="1"/>
  <c r="V154" i="20"/>
  <c r="E153" i="20"/>
  <c r="K1012" i="19"/>
  <c r="F1017" i="19"/>
  <c r="M1012" i="19"/>
  <c r="F1014" i="19" s="1"/>
  <c r="J1020" i="19"/>
  <c r="F970" i="19"/>
  <c r="L1020" i="19"/>
  <c r="T156" i="20" l="1"/>
  <c r="V155" i="20"/>
  <c r="E154" i="20"/>
  <c r="F1025" i="19"/>
  <c r="M1020" i="19"/>
  <c r="F1022" i="19" s="1"/>
  <c r="K1020" i="19"/>
  <c r="E1020" i="19" s="1"/>
  <c r="E970" i="19"/>
  <c r="F965" i="19"/>
  <c r="J1028" i="19"/>
  <c r="E1012" i="19"/>
  <c r="L1028" i="19"/>
  <c r="T157" i="20" l="1"/>
  <c r="V156" i="20"/>
  <c r="E155" i="20"/>
  <c r="F1033" i="19"/>
  <c r="M1028" i="19"/>
  <c r="F1030" i="19" s="1"/>
  <c r="K1028" i="19"/>
  <c r="E1028" i="19" s="1"/>
  <c r="J1036" i="19"/>
  <c r="L1036" i="19"/>
  <c r="T158" i="20" l="1"/>
  <c r="V157" i="20"/>
  <c r="E156" i="20"/>
  <c r="M1036" i="19"/>
  <c r="F1038" i="19" s="1"/>
  <c r="F1041" i="19"/>
  <c r="K1036" i="19"/>
  <c r="E1036" i="19" s="1"/>
  <c r="J1044" i="19"/>
  <c r="L1044" i="19"/>
  <c r="T159" i="20" l="1"/>
  <c r="V158" i="20"/>
  <c r="E157" i="20"/>
  <c r="M1044" i="19"/>
  <c r="F1046" i="19" s="1"/>
  <c r="K1044" i="19"/>
  <c r="E1044" i="19" s="1"/>
  <c r="F1049" i="19"/>
  <c r="J1052" i="19"/>
  <c r="L1052" i="19"/>
  <c r="T160" i="20" l="1"/>
  <c r="V159" i="20"/>
  <c r="E158" i="20"/>
  <c r="F1057" i="19"/>
  <c r="K1052" i="19"/>
  <c r="E1052" i="19" s="1"/>
  <c r="M1052" i="19"/>
  <c r="F1054" i="19" s="1"/>
  <c r="J1060" i="19"/>
  <c r="L1060" i="19"/>
  <c r="T161" i="20" l="1"/>
  <c r="V160" i="20"/>
  <c r="E159" i="20"/>
  <c r="M1060" i="19"/>
  <c r="F1062" i="19" s="1"/>
  <c r="F1065" i="19"/>
  <c r="K1060" i="19"/>
  <c r="E1060" i="19" s="1"/>
  <c r="J1068" i="19"/>
  <c r="L1068" i="19"/>
  <c r="T162" i="20" l="1"/>
  <c r="V161" i="20"/>
  <c r="E160" i="20"/>
  <c r="F1073" i="19"/>
  <c r="M1068" i="19"/>
  <c r="F1070" i="19" s="1"/>
  <c r="K1068" i="19"/>
  <c r="E1068" i="19" s="1"/>
  <c r="J1076" i="19"/>
  <c r="L1076" i="19"/>
  <c r="T163" i="20" l="1"/>
  <c r="V162" i="20"/>
  <c r="E161" i="20"/>
  <c r="F1081" i="19"/>
  <c r="M1076" i="19"/>
  <c r="F1078" i="19" s="1"/>
  <c r="K1076" i="19"/>
  <c r="E1076" i="19" s="1"/>
  <c r="J1084" i="19"/>
  <c r="L1084" i="19"/>
  <c r="T164" i="20" l="1"/>
  <c r="V163" i="20"/>
  <c r="E162" i="20"/>
  <c r="F1089" i="19"/>
  <c r="M1084" i="19"/>
  <c r="F1086" i="19" s="1"/>
  <c r="K1084" i="19"/>
  <c r="J1092" i="19"/>
  <c r="F1026" i="19"/>
  <c r="L1092" i="19"/>
  <c r="T165" i="20" l="1"/>
  <c r="T166" i="20" s="1"/>
  <c r="V164" i="20"/>
  <c r="E163" i="20"/>
  <c r="F1097" i="19"/>
  <c r="M1092" i="19"/>
  <c r="F1094" i="19" s="1"/>
  <c r="K1092" i="19"/>
  <c r="E1092" i="19" s="1"/>
  <c r="F1021" i="19"/>
  <c r="E1026" i="19"/>
  <c r="J1100" i="19"/>
  <c r="E1084" i="19"/>
  <c r="L1100" i="19"/>
  <c r="T167" i="20" l="1"/>
  <c r="T168" i="20" s="1"/>
  <c r="T169" i="20" s="1"/>
  <c r="V166" i="20"/>
  <c r="E164" i="20"/>
  <c r="M1100" i="19"/>
  <c r="F1102" i="19" s="1"/>
  <c r="K1100" i="19"/>
  <c r="F1105" i="19"/>
  <c r="F1098" i="19"/>
  <c r="T170" i="20" l="1"/>
  <c r="V169" i="20"/>
  <c r="E165" i="20"/>
  <c r="E166" i="20" s="1"/>
  <c r="E1098" i="19"/>
  <c r="F1093" i="19"/>
  <c r="E1100" i="19"/>
  <c r="T171" i="20" l="1"/>
  <c r="V170" i="20"/>
  <c r="E167" i="20"/>
  <c r="E168" i="20" s="1"/>
  <c r="E169" i="20" s="1"/>
  <c r="T172" i="20" l="1"/>
  <c r="V171" i="20"/>
  <c r="E170" i="20"/>
  <c r="T173" i="20" l="1"/>
  <c r="V172" i="20"/>
  <c r="E171" i="20"/>
  <c r="T174" i="20" l="1"/>
  <c r="V173" i="20"/>
  <c r="E172" i="20"/>
  <c r="T175" i="20" l="1"/>
  <c r="V174" i="20"/>
  <c r="E173" i="20"/>
  <c r="T176" i="20" l="1"/>
  <c r="V175" i="20"/>
  <c r="E174" i="20"/>
  <c r="T177" i="20" l="1"/>
  <c r="V176" i="20"/>
  <c r="E175" i="20"/>
  <c r="T178" i="20" l="1"/>
  <c r="V177" i="20"/>
  <c r="E176" i="20"/>
  <c r="T179" i="20" l="1"/>
  <c r="V178" i="20"/>
  <c r="E177" i="20"/>
  <c r="T180" i="20" l="1"/>
  <c r="V179" i="20"/>
  <c r="E178" i="20"/>
  <c r="T181" i="20" l="1"/>
  <c r="V180" i="20"/>
  <c r="E179" i="20"/>
  <c r="T182" i="20" l="1"/>
  <c r="V181" i="20"/>
  <c r="E180" i="20"/>
  <c r="T183" i="20" l="1"/>
  <c r="V182" i="20"/>
  <c r="E181" i="20"/>
  <c r="T184" i="20" l="1"/>
  <c r="V183" i="20"/>
  <c r="E182" i="20"/>
  <c r="T185" i="20" l="1"/>
  <c r="T186" i="20" s="1"/>
  <c r="T187" i="20" s="1"/>
  <c r="V184" i="20"/>
  <c r="E183" i="20"/>
  <c r="T188" i="20" l="1"/>
  <c r="T189" i="20" s="1"/>
  <c r="T190" i="20" s="1"/>
  <c r="V187" i="20"/>
  <c r="E184" i="20"/>
  <c r="T191" i="20" l="1"/>
  <c r="T192" i="20" s="1"/>
  <c r="T193" i="20" s="1"/>
  <c r="V190" i="20"/>
  <c r="E185" i="20"/>
  <c r="E186" i="20" s="1"/>
  <c r="E187" i="20" s="1"/>
  <c r="T194" i="20" l="1"/>
  <c r="T195" i="20" s="1"/>
  <c r="T196" i="20" s="1"/>
  <c r="V193" i="20"/>
  <c r="E188" i="20"/>
  <c r="E189" i="20" s="1"/>
  <c r="E190" i="20" s="1"/>
  <c r="T197" i="20" l="1"/>
  <c r="T198" i="20" s="1"/>
  <c r="T199" i="20" s="1"/>
  <c r="V196" i="20"/>
  <c r="E191" i="20"/>
  <c r="E192" i="20" s="1"/>
  <c r="E193" i="20" s="1"/>
  <c r="T200" i="20" l="1"/>
  <c r="T201" i="20" s="1"/>
  <c r="T202" i="20" s="1"/>
  <c r="V199" i="20"/>
  <c r="E194" i="20"/>
  <c r="E195" i="20" s="1"/>
  <c r="E196" i="20" s="1"/>
  <c r="T203" i="20" l="1"/>
  <c r="T204" i="20" s="1"/>
  <c r="T205" i="20" s="1"/>
  <c r="V202" i="20"/>
  <c r="E197" i="20"/>
  <c r="E198" i="20" s="1"/>
  <c r="E199" i="20" s="1"/>
  <c r="T206" i="20" l="1"/>
  <c r="T207" i="20" s="1"/>
  <c r="T208" i="20" s="1"/>
  <c r="V205" i="20"/>
  <c r="E200" i="20"/>
  <c r="E201" i="20" s="1"/>
  <c r="E202" i="20" s="1"/>
  <c r="T209" i="20" l="1"/>
  <c r="T210" i="20" s="1"/>
  <c r="T211" i="20" s="1"/>
  <c r="V208" i="20"/>
  <c r="E203" i="20"/>
  <c r="E204" i="20" s="1"/>
  <c r="E205" i="20" s="1"/>
  <c r="T212" i="20" l="1"/>
  <c r="T213" i="20" s="1"/>
  <c r="T214" i="20" s="1"/>
  <c r="V211" i="20"/>
  <c r="E206" i="20"/>
  <c r="E207" i="20" s="1"/>
  <c r="E208" i="20" s="1"/>
  <c r="T215" i="20" l="1"/>
  <c r="T216" i="20" s="1"/>
  <c r="T217" i="20" s="1"/>
  <c r="V214" i="20"/>
  <c r="E209" i="20"/>
  <c r="E210" i="20" s="1"/>
  <c r="E211" i="20" s="1"/>
  <c r="T218" i="20" l="1"/>
  <c r="T219" i="20" s="1"/>
  <c r="T220" i="20" s="1"/>
  <c r="V217" i="20"/>
  <c r="E212" i="20"/>
  <c r="E213" i="20" s="1"/>
  <c r="E214" i="20" s="1"/>
  <c r="T221" i="20" l="1"/>
  <c r="T222" i="20" s="1"/>
  <c r="T223" i="20" s="1"/>
  <c r="V220" i="20"/>
  <c r="E215" i="20"/>
  <c r="E216" i="20" s="1"/>
  <c r="E217" i="20" s="1"/>
  <c r="T224" i="20" l="1"/>
  <c r="T225" i="20" s="1"/>
  <c r="T226" i="20" s="1"/>
  <c r="V223" i="20"/>
  <c r="E218" i="20"/>
  <c r="E219" i="20" s="1"/>
  <c r="E220" i="20" s="1"/>
  <c r="T227" i="20" l="1"/>
  <c r="T228" i="20" s="1"/>
  <c r="T229" i="20" s="1"/>
  <c r="V226" i="20"/>
  <c r="E221" i="20"/>
  <c r="E222" i="20" s="1"/>
  <c r="E223" i="20" s="1"/>
  <c r="T230" i="20" l="1"/>
  <c r="T231" i="20" s="1"/>
  <c r="T232" i="20" s="1"/>
  <c r="V229" i="20"/>
  <c r="E224" i="20"/>
  <c r="E225" i="20" s="1"/>
  <c r="E226" i="20" s="1"/>
  <c r="T233" i="20" l="1"/>
  <c r="T234" i="20" s="1"/>
  <c r="T235" i="20" s="1"/>
  <c r="V232" i="20"/>
  <c r="E227" i="20"/>
  <c r="E228" i="20" s="1"/>
  <c r="E229" i="20" s="1"/>
  <c r="T236" i="20" l="1"/>
  <c r="T237" i="20" s="1"/>
  <c r="T238" i="20" s="1"/>
  <c r="V235" i="20"/>
  <c r="E230" i="20"/>
  <c r="E231" i="20" s="1"/>
  <c r="E232" i="20" s="1"/>
  <c r="T239" i="20" l="1"/>
  <c r="T240" i="20" s="1"/>
  <c r="T241" i="20" s="1"/>
  <c r="V238" i="20"/>
  <c r="E233" i="20"/>
  <c r="E234" i="20" s="1"/>
  <c r="E235" i="20" s="1"/>
  <c r="T242" i="20" l="1"/>
  <c r="T243" i="20" s="1"/>
  <c r="T244" i="20" s="1"/>
  <c r="V241" i="20"/>
  <c r="E236" i="20"/>
  <c r="E237" i="20" s="1"/>
  <c r="E238" i="20" s="1"/>
  <c r="T245" i="20" l="1"/>
  <c r="T246" i="20" s="1"/>
  <c r="T247" i="20" s="1"/>
  <c r="V244" i="20"/>
  <c r="E239" i="20"/>
  <c r="E240" i="20" s="1"/>
  <c r="E241" i="20" s="1"/>
  <c r="T248" i="20" l="1"/>
  <c r="T249" i="20" s="1"/>
  <c r="T250" i="20" s="1"/>
  <c r="V247" i="20"/>
  <c r="E242" i="20"/>
  <c r="E243" i="20" s="1"/>
  <c r="E244" i="20" s="1"/>
  <c r="T251" i="20" l="1"/>
  <c r="T252" i="20" s="1"/>
  <c r="T253" i="20" s="1"/>
  <c r="V250" i="20"/>
  <c r="E245" i="20"/>
  <c r="E246" i="20" s="1"/>
  <c r="E247" i="20" s="1"/>
  <c r="T254" i="20" l="1"/>
  <c r="T255" i="20" s="1"/>
  <c r="T256" i="20" s="1"/>
  <c r="V253" i="20"/>
  <c r="E248" i="20"/>
  <c r="E249" i="20" s="1"/>
  <c r="E250" i="20" s="1"/>
  <c r="T257" i="20" l="1"/>
  <c r="T258" i="20" s="1"/>
  <c r="T259" i="20" s="1"/>
  <c r="V256" i="20"/>
  <c r="E251" i="20"/>
  <c r="E252" i="20" s="1"/>
  <c r="E253" i="20" s="1"/>
  <c r="T260" i="20" l="1"/>
  <c r="T261" i="20" s="1"/>
  <c r="T262" i="20" s="1"/>
  <c r="V259" i="20"/>
  <c r="E254" i="20"/>
  <c r="E255" i="20" s="1"/>
  <c r="E256" i="20" s="1"/>
  <c r="T263" i="20" l="1"/>
  <c r="T264" i="20" s="1"/>
  <c r="T265" i="20" s="1"/>
  <c r="V262" i="20"/>
  <c r="E257" i="20"/>
  <c r="E258" i="20" s="1"/>
  <c r="E259" i="20" s="1"/>
  <c r="T266" i="20" l="1"/>
  <c r="T267" i="20" s="1"/>
  <c r="T268" i="20" s="1"/>
  <c r="V265" i="20"/>
  <c r="E260" i="20"/>
  <c r="E261" i="20" s="1"/>
  <c r="E262" i="20" s="1"/>
  <c r="T269" i="20" l="1"/>
  <c r="T270" i="20" s="1"/>
  <c r="T271" i="20" s="1"/>
  <c r="V268" i="20"/>
  <c r="E263" i="20"/>
  <c r="E264" i="20" s="1"/>
  <c r="E265" i="20" s="1"/>
  <c r="T272" i="20" l="1"/>
  <c r="T273" i="20" s="1"/>
  <c r="T274" i="20" s="1"/>
  <c r="V271" i="20"/>
  <c r="E266" i="20"/>
  <c r="E267" i="20" s="1"/>
  <c r="E268" i="20" s="1"/>
  <c r="T275" i="20" l="1"/>
  <c r="T276" i="20" s="1"/>
  <c r="T277" i="20" s="1"/>
  <c r="V274" i="20"/>
  <c r="E269" i="20"/>
  <c r="E270" i="20" s="1"/>
  <c r="E271" i="20" s="1"/>
  <c r="T278" i="20" l="1"/>
  <c r="T279" i="20" s="1"/>
  <c r="T280" i="20" s="1"/>
  <c r="V277" i="20"/>
  <c r="E272" i="20"/>
  <c r="E273" i="20" s="1"/>
  <c r="E274" i="20" s="1"/>
  <c r="T281" i="20" l="1"/>
  <c r="T282" i="20" s="1"/>
  <c r="T283" i="20" s="1"/>
  <c r="V280" i="20"/>
  <c r="E275" i="20"/>
  <c r="E276" i="20" s="1"/>
  <c r="E277" i="20" s="1"/>
  <c r="T284" i="20" l="1"/>
  <c r="T285" i="20" s="1"/>
  <c r="T286" i="20" s="1"/>
  <c r="V283" i="20"/>
  <c r="E278" i="20"/>
  <c r="E279" i="20" s="1"/>
  <c r="E280" i="20" s="1"/>
  <c r="T287" i="20" l="1"/>
  <c r="T288" i="20" s="1"/>
  <c r="T289" i="20" s="1"/>
  <c r="V286" i="20"/>
  <c r="E281" i="20"/>
  <c r="E282" i="20" s="1"/>
  <c r="E283" i="20" s="1"/>
  <c r="T290" i="20" l="1"/>
  <c r="T291" i="20" s="1"/>
  <c r="T292" i="20" s="1"/>
  <c r="V289" i="20"/>
  <c r="E284" i="20"/>
  <c r="E285" i="20" s="1"/>
  <c r="E286" i="20" s="1"/>
  <c r="T293" i="20" l="1"/>
  <c r="T294" i="20" s="1"/>
  <c r="T295" i="20" s="1"/>
  <c r="V292" i="20"/>
  <c r="E287" i="20"/>
  <c r="E288" i="20" s="1"/>
  <c r="E289" i="20" s="1"/>
  <c r="T296" i="20" l="1"/>
  <c r="T297" i="20" s="1"/>
  <c r="T298" i="20" s="1"/>
  <c r="V295" i="20"/>
  <c r="E290" i="20"/>
  <c r="E291" i="20" s="1"/>
  <c r="E292" i="20" s="1"/>
  <c r="T299" i="20" l="1"/>
  <c r="T300" i="20" s="1"/>
  <c r="T301" i="20" s="1"/>
  <c r="V298" i="20"/>
  <c r="E293" i="20"/>
  <c r="E294" i="20" s="1"/>
  <c r="E295" i="20" s="1"/>
  <c r="T302" i="20" l="1"/>
  <c r="T303" i="20" s="1"/>
  <c r="T304" i="20" s="1"/>
  <c r="V301" i="20"/>
  <c r="E296" i="20"/>
  <c r="E297" i="20" s="1"/>
  <c r="E298" i="20" s="1"/>
  <c r="T305" i="20" l="1"/>
  <c r="T306" i="20" s="1"/>
  <c r="T307" i="20" s="1"/>
  <c r="V304" i="20"/>
  <c r="E299" i="20"/>
  <c r="E300" i="20" s="1"/>
  <c r="E301" i="20" s="1"/>
  <c r="T308" i="20" l="1"/>
  <c r="T309" i="20" s="1"/>
  <c r="T310" i="20" s="1"/>
  <c r="V307" i="20"/>
  <c r="E302" i="20"/>
  <c r="E303" i="20" s="1"/>
  <c r="E304" i="20" s="1"/>
  <c r="T311" i="20" l="1"/>
  <c r="T312" i="20" s="1"/>
  <c r="T313" i="20" s="1"/>
  <c r="V310" i="20"/>
  <c r="E305" i="20"/>
  <c r="E306" i="20" s="1"/>
  <c r="E307" i="20" s="1"/>
  <c r="T314" i="20" l="1"/>
  <c r="T315" i="20" s="1"/>
  <c r="T316" i="20" s="1"/>
  <c r="V313" i="20"/>
  <c r="E308" i="20"/>
  <c r="E309" i="20" s="1"/>
  <c r="E310" i="20" s="1"/>
  <c r="T317" i="20" l="1"/>
  <c r="T318" i="20" s="1"/>
  <c r="T319" i="20" s="1"/>
  <c r="V316" i="20"/>
  <c r="E311" i="20"/>
  <c r="E312" i="20" s="1"/>
  <c r="E313" i="20" s="1"/>
  <c r="T320" i="20" l="1"/>
  <c r="T321" i="20" s="1"/>
  <c r="T322" i="20" s="1"/>
  <c r="V319" i="20"/>
  <c r="E314" i="20"/>
  <c r="E315" i="20" s="1"/>
  <c r="E316" i="20" s="1"/>
  <c r="T323" i="20" l="1"/>
  <c r="T324" i="20" s="1"/>
  <c r="T325" i="20" s="1"/>
  <c r="V322" i="20"/>
  <c r="E317" i="20"/>
  <c r="E318" i="20" s="1"/>
  <c r="E319" i="20" s="1"/>
  <c r="T326" i="20" l="1"/>
  <c r="T327" i="20" s="1"/>
  <c r="T328" i="20" s="1"/>
  <c r="V325" i="20"/>
  <c r="E320" i="20"/>
  <c r="E321" i="20" s="1"/>
  <c r="E322" i="20" s="1"/>
  <c r="T329" i="20" l="1"/>
  <c r="T330" i="20" s="1"/>
  <c r="T331" i="20" s="1"/>
  <c r="V328" i="20"/>
  <c r="E323" i="20"/>
  <c r="E324" i="20" s="1"/>
  <c r="E325" i="20" s="1"/>
  <c r="T332" i="20" l="1"/>
  <c r="T333" i="20" s="1"/>
  <c r="T334" i="20" s="1"/>
  <c r="V331" i="20"/>
  <c r="E326" i="20"/>
  <c r="E327" i="20" s="1"/>
  <c r="E328" i="20" s="1"/>
  <c r="T335" i="20" l="1"/>
  <c r="T336" i="20" s="1"/>
  <c r="T337" i="20" s="1"/>
  <c r="V334" i="20"/>
  <c r="E329" i="20"/>
  <c r="E330" i="20" s="1"/>
  <c r="E331" i="20" s="1"/>
  <c r="T338" i="20" l="1"/>
  <c r="T339" i="20" s="1"/>
  <c r="T340" i="20" s="1"/>
  <c r="V337" i="20"/>
  <c r="E332" i="20"/>
  <c r="E333" i="20" s="1"/>
  <c r="E334" i="20" s="1"/>
  <c r="T341" i="20" l="1"/>
  <c r="T342" i="20" s="1"/>
  <c r="T343" i="20" s="1"/>
  <c r="V340" i="20"/>
  <c r="E335" i="20"/>
  <c r="E336" i="20" s="1"/>
  <c r="E337" i="20" s="1"/>
  <c r="T344" i="20" l="1"/>
  <c r="T345" i="20" s="1"/>
  <c r="T346" i="20" s="1"/>
  <c r="V343" i="20"/>
  <c r="E338" i="20"/>
  <c r="E339" i="20" s="1"/>
  <c r="E340" i="20" s="1"/>
  <c r="T347" i="20" l="1"/>
  <c r="T348" i="20" s="1"/>
  <c r="T349" i="20" s="1"/>
  <c r="V346" i="20"/>
  <c r="E341" i="20"/>
  <c r="E342" i="20" s="1"/>
  <c r="E343" i="20" s="1"/>
  <c r="T350" i="20" l="1"/>
  <c r="T351" i="20" s="1"/>
  <c r="T352" i="20" s="1"/>
  <c r="V349" i="20"/>
  <c r="E344" i="20"/>
  <c r="E345" i="20" s="1"/>
  <c r="E346" i="20" s="1"/>
  <c r="T353" i="20" l="1"/>
  <c r="T354" i="20" s="1"/>
  <c r="T355" i="20" s="1"/>
  <c r="V352" i="20"/>
  <c r="E347" i="20"/>
  <c r="E348" i="20" s="1"/>
  <c r="E349" i="20" s="1"/>
  <c r="T356" i="20" l="1"/>
  <c r="T357" i="20" s="1"/>
  <c r="T358" i="20" s="1"/>
  <c r="V355" i="20"/>
  <c r="E350" i="20"/>
  <c r="E351" i="20" s="1"/>
  <c r="E352" i="20" s="1"/>
  <c r="T359" i="20" l="1"/>
  <c r="T360" i="20" s="1"/>
  <c r="T361" i="20" s="1"/>
  <c r="V358" i="20"/>
  <c r="E353" i="20"/>
  <c r="E354" i="20" s="1"/>
  <c r="E355" i="20" s="1"/>
  <c r="T362" i="20" l="1"/>
  <c r="T363" i="20" s="1"/>
  <c r="T364" i="20" s="1"/>
  <c r="V361" i="20"/>
  <c r="E356" i="20"/>
  <c r="E357" i="20" s="1"/>
  <c r="E358" i="20" s="1"/>
  <c r="T365" i="20" l="1"/>
  <c r="T366" i="20" s="1"/>
  <c r="T367" i="20" s="1"/>
  <c r="V364" i="20"/>
  <c r="E359" i="20"/>
  <c r="E360" i="20" s="1"/>
  <c r="E361" i="20" s="1"/>
  <c r="T368" i="20" l="1"/>
  <c r="T369" i="20" s="1"/>
  <c r="T370" i="20" s="1"/>
  <c r="V367" i="20"/>
  <c r="E362" i="20"/>
  <c r="E363" i="20" s="1"/>
  <c r="E364" i="20" s="1"/>
  <c r="T371" i="20" l="1"/>
  <c r="T372" i="20" s="1"/>
  <c r="T373" i="20" s="1"/>
  <c r="V370" i="20"/>
  <c r="E365" i="20"/>
  <c r="E366" i="20" s="1"/>
  <c r="E367" i="20" s="1"/>
  <c r="T374" i="20" l="1"/>
  <c r="T375" i="20" s="1"/>
  <c r="T376" i="20" s="1"/>
  <c r="V373" i="20"/>
  <c r="E368" i="20"/>
  <c r="E369" i="20" s="1"/>
  <c r="E370" i="20" s="1"/>
  <c r="T377" i="20" l="1"/>
  <c r="T378" i="20" s="1"/>
  <c r="T379" i="20" s="1"/>
  <c r="V376" i="20"/>
  <c r="E371" i="20"/>
  <c r="E372" i="20" s="1"/>
  <c r="E373" i="20" s="1"/>
  <c r="T380" i="20" l="1"/>
  <c r="T381" i="20" s="1"/>
  <c r="T382" i="20" s="1"/>
  <c r="V379" i="20"/>
  <c r="E374" i="20"/>
  <c r="E375" i="20" s="1"/>
  <c r="E376" i="20" s="1"/>
  <c r="T383" i="20" l="1"/>
  <c r="T384" i="20" s="1"/>
  <c r="T385" i="20" s="1"/>
  <c r="V382" i="20"/>
  <c r="E377" i="20"/>
  <c r="E378" i="20" s="1"/>
  <c r="E379" i="20" s="1"/>
  <c r="T386" i="20" l="1"/>
  <c r="T387" i="20" s="1"/>
  <c r="T388" i="20" s="1"/>
  <c r="V385" i="20"/>
  <c r="E380" i="20"/>
  <c r="E381" i="20" s="1"/>
  <c r="E382" i="20" s="1"/>
  <c r="T389" i="20" l="1"/>
  <c r="T390" i="20" s="1"/>
  <c r="T391" i="20" s="1"/>
  <c r="V388" i="20"/>
  <c r="E383" i="20"/>
  <c r="E384" i="20" s="1"/>
  <c r="E385" i="20" s="1"/>
  <c r="T392" i="20" l="1"/>
  <c r="T393" i="20" s="1"/>
  <c r="T394" i="20" s="1"/>
  <c r="V391" i="20"/>
  <c r="E386" i="20"/>
  <c r="E387" i="20" s="1"/>
  <c r="E388" i="20" s="1"/>
  <c r="T395" i="20" l="1"/>
  <c r="T396" i="20" s="1"/>
  <c r="T397" i="20" s="1"/>
  <c r="V394" i="20"/>
  <c r="E389" i="20"/>
  <c r="E390" i="20" s="1"/>
  <c r="E391" i="20" s="1"/>
  <c r="T398" i="20" l="1"/>
  <c r="T399" i="20" s="1"/>
  <c r="T400" i="20" s="1"/>
  <c r="V397" i="20"/>
  <c r="E392" i="20"/>
  <c r="E393" i="20" s="1"/>
  <c r="E394" i="20" s="1"/>
  <c r="T401" i="20" l="1"/>
  <c r="T402" i="20" s="1"/>
  <c r="T403" i="20" s="1"/>
  <c r="V400" i="20"/>
  <c r="E395" i="20"/>
  <c r="E396" i="20" s="1"/>
  <c r="E397" i="20" s="1"/>
  <c r="T404" i="20" l="1"/>
  <c r="T405" i="20" s="1"/>
  <c r="T406" i="20" s="1"/>
  <c r="V403" i="20"/>
  <c r="E398" i="20"/>
  <c r="E399" i="20" s="1"/>
  <c r="E400" i="20" s="1"/>
  <c r="T407" i="20" l="1"/>
  <c r="T408" i="20" s="1"/>
  <c r="T409" i="20" s="1"/>
  <c r="V406" i="20"/>
  <c r="E401" i="20"/>
  <c r="E402" i="20" s="1"/>
  <c r="E403" i="20" s="1"/>
  <c r="T410" i="20" l="1"/>
  <c r="T411" i="20" s="1"/>
  <c r="T412" i="20" s="1"/>
  <c r="V409" i="20"/>
  <c r="E404" i="20"/>
  <c r="E405" i="20" s="1"/>
  <c r="E406" i="20" s="1"/>
  <c r="T413" i="20" l="1"/>
  <c r="T414" i="20" s="1"/>
  <c r="T415" i="20" s="1"/>
  <c r="V412" i="20"/>
  <c r="E407" i="20"/>
  <c r="E408" i="20" s="1"/>
  <c r="E409" i="20" s="1"/>
  <c r="T416" i="20" l="1"/>
  <c r="T417" i="20" s="1"/>
  <c r="V415" i="20"/>
  <c r="E410" i="20"/>
  <c r="E411" i="20" s="1"/>
  <c r="E412" i="20" s="1"/>
  <c r="E413" i="20" l="1"/>
  <c r="E414" i="20" s="1"/>
  <c r="E415" i="20" s="1"/>
  <c r="E416" i="20" l="1"/>
  <c r="E417" i="20" s="1"/>
</calcChain>
</file>

<file path=xl/comments1.xml><?xml version="1.0" encoding="utf-8"?>
<comments xmlns="http://schemas.openxmlformats.org/spreadsheetml/2006/main">
  <authors>
    <author>Gabriel Chen</author>
  </authors>
  <commentList>
    <comment ref="A3" authorId="0" shapeId="0">
      <text>
        <r>
          <rPr>
            <b/>
            <sz val="9"/>
            <color indexed="81"/>
            <rFont val="Tahoma"/>
            <family val="2"/>
          </rPr>
          <t>Gabriel Chen 30-Mar-2023:</t>
        </r>
        <r>
          <rPr>
            <sz val="9"/>
            <color indexed="81"/>
            <rFont val="Tahoma"/>
            <family val="2"/>
          </rPr>
          <t xml:space="preserve">
Press [Alt] + [F8] to update WBS numbers. Perhaps need to use [Fn] key</t>
        </r>
      </text>
    </comment>
  </commentList>
</comments>
</file>

<file path=xl/sharedStrings.xml><?xml version="1.0" encoding="utf-8"?>
<sst xmlns="http://schemas.openxmlformats.org/spreadsheetml/2006/main" count="23188" uniqueCount="582">
  <si>
    <t>Project Name</t>
  </si>
  <si>
    <t>NTU WP4</t>
  </si>
  <si>
    <t>|</t>
  </si>
  <si>
    <t>&gt; Outcome for milestone</t>
  </si>
  <si>
    <t>Latest update</t>
  </si>
  <si>
    <t>WBS No.</t>
  </si>
  <si>
    <t>Task</t>
  </si>
  <si>
    <t>Note: According to "VA Template _Time Extension_Schedule 1 Changes-S2_LOS20230330rev_NTU updated_LOSRev03-May-2023.docx"</t>
  </si>
  <si>
    <t>|
|</t>
  </si>
  <si>
    <t>Planned Start Date</t>
  </si>
  <si>
    <t>Planned End Date</t>
  </si>
  <si>
    <t>Actual Start Date</t>
  </si>
  <si>
    <t>Date of Deliverable submitted to LITEON</t>
  </si>
  <si>
    <t>Date of LITEON accepts the deliverable</t>
  </si>
  <si>
    <t>Progress (%)</t>
  </si>
  <si>
    <t>Progress 🔄 (%)</t>
  </si>
  <si>
    <t>|
|
|</t>
  </si>
  <si>
    <t>Week 15, Apr-2023</t>
  </si>
  <si>
    <t>Week 16, Apr-2023</t>
  </si>
  <si>
    <t>Week 17, Apr-2023</t>
  </si>
  <si>
    <t>Week 18, Apr-2023</t>
  </si>
  <si>
    <t>Week 19, May-2023</t>
  </si>
  <si>
    <t>Week 20, May-2023</t>
  </si>
  <si>
    <t>Week 21, May-2023</t>
  </si>
  <si>
    <t>Week 22, May-2023</t>
  </si>
  <si>
    <t>Week 23, Jun-2023</t>
  </si>
  <si>
    <t>Week 24, Jun-2023</t>
  </si>
  <si>
    <t>Week 25, Jun-2023</t>
  </si>
  <si>
    <t>Week 26, Jun-2023</t>
  </si>
  <si>
    <t>Week 27, Jul-2023</t>
  </si>
  <si>
    <t>Week 28, Jul-2023</t>
  </si>
  <si>
    <t>Week 29, Jul-2023</t>
  </si>
  <si>
    <t>Week 30, Jul-2023</t>
  </si>
  <si>
    <t>Week 31, Aug-2023</t>
  </si>
  <si>
    <t>Week 32, Aug-2023</t>
  </si>
  <si>
    <t>Week 33, Aug-2023</t>
  </si>
  <si>
    <t>Week 34, Aug-2023</t>
  </si>
  <si>
    <t>Week 35, Aug-2023</t>
  </si>
  <si>
    <t>Week 36, Sep-2023</t>
  </si>
  <si>
    <t>Week 37, Sep-2023</t>
  </si>
  <si>
    <t>Week 38, Sep-2023</t>
  </si>
  <si>
    <t>Week 39, Sep-2023</t>
  </si>
  <si>
    <t>Week 40, Oct-2023</t>
  </si>
  <si>
    <t>Week 41, Oct-2023</t>
  </si>
  <si>
    <t>Week 42, Oct-2023</t>
  </si>
  <si>
    <t>Week 43, Oct-2023</t>
  </si>
  <si>
    <t>Week 44, Oct-2023</t>
  </si>
  <si>
    <t>Week 45, Nov-2023</t>
  </si>
  <si>
    <t>Week 46, Nov-2023</t>
  </si>
  <si>
    <t>Week 47, Nov-2023</t>
  </si>
  <si>
    <t>Week 48, Nov-2023</t>
  </si>
  <si>
    <t>Week 49, Dec-2023</t>
  </si>
  <si>
    <t>Week 50, Dec-2023</t>
  </si>
  <si>
    <t>Week 51, Dec-2023</t>
  </si>
  <si>
    <t>Week 52, Dec-2023</t>
  </si>
  <si>
    <t>Week 1, Jan-2024</t>
  </si>
  <si>
    <t>Week 2, Jan-2024</t>
  </si>
  <si>
    <t>Week 3, Jan-2024</t>
  </si>
  <si>
    <t>Week 4, Jan-2024</t>
  </si>
  <si>
    <t>Week 5, Jan-2024</t>
  </si>
  <si>
    <t>Week 6, Feb-2024</t>
  </si>
  <si>
    <t>Week 7, Feb-2024</t>
  </si>
  <si>
    <t>Week 8, Feb-2024</t>
  </si>
  <si>
    <t>Week 9, Feb-2024</t>
  </si>
  <si>
    <t>Week 10, Mar-2024</t>
  </si>
  <si>
    <t>Week 11, Mar-2024</t>
  </si>
  <si>
    <t>Week 12, Mar-2024</t>
  </si>
  <si>
    <t>Week 13, Mar-2024</t>
  </si>
  <si>
    <t>Week 14, Apr-2024</t>
  </si>
  <si>
    <t>Week 15, Apr-2024</t>
  </si>
  <si>
    <t>Week 16, Apr-2024</t>
  </si>
  <si>
    <t>Week 17, Apr-2024</t>
  </si>
  <si>
    <t>Week 18, Apr-2024</t>
  </si>
  <si>
    <t>Week 19, May-2024</t>
  </si>
  <si>
    <t>Week 20, May-2024</t>
  </si>
  <si>
    <t>Week 21, May-2024</t>
  </si>
  <si>
    <t>Week 22, May-2024</t>
  </si>
  <si>
    <t>Week 23, Jun-2024</t>
  </si>
  <si>
    <t>Week 24, Jun-2024</t>
  </si>
  <si>
    <t>Week 25, Jun-2024</t>
  </si>
  <si>
    <t>Week 26, Jun-2024</t>
  </si>
  <si>
    <t>Week 27, Jul-2024</t>
  </si>
  <si>
    <t>Week 28, Jul-2024</t>
  </si>
  <si>
    <t>Week 29, Jul-2024</t>
  </si>
  <si>
    <t>Week 30, Jul-2024</t>
  </si>
  <si>
    <t>Week 31, Jul-2024</t>
  </si>
  <si>
    <t>Week 32, Aug-2024</t>
  </si>
  <si>
    <t>Week 33, Aug-2024</t>
  </si>
  <si>
    <t>Week 34, Aug-2024</t>
  </si>
  <si>
    <t>Week 35, Aug-2024</t>
  </si>
  <si>
    <t>Week 36, Sep-2024</t>
  </si>
  <si>
    <t>Week 37, Sep-2024</t>
  </si>
  <si>
    <t>Week 38, Sep-2024</t>
  </si>
  <si>
    <t>Week 39, Sep-2024</t>
  </si>
  <si>
    <t>Week 40, Oct-2024</t>
  </si>
  <si>
    <t>Week 41, Oct-2024</t>
  </si>
  <si>
    <t>Week 42, Oct-2024</t>
  </si>
  <si>
    <t>Week 43, Oct-2024</t>
  </si>
  <si>
    <t>Week 44, Oct-2024</t>
  </si>
  <si>
    <t>Week 45, Nov-2024</t>
  </si>
  <si>
    <t>Week 46, Nov-2024</t>
  </si>
  <si>
    <t>Week 47, Nov-2024</t>
  </si>
  <si>
    <t>Week 48, Nov-2024</t>
  </si>
  <si>
    <t>Week 49, Dec-2024</t>
  </si>
  <si>
    <t>Week 50, Dec-2024</t>
  </si>
  <si>
    <t>Week 51, Dec-2024</t>
  </si>
  <si>
    <t>Week 52, Dec-2024</t>
  </si>
  <si>
    <t>Week 1, Jan-2025</t>
  </si>
  <si>
    <t>Week 2, Jan-2025</t>
  </si>
  <si>
    <t>Week 3, Jan-2025</t>
  </si>
  <si>
    <t>Week 4, Jan-2025</t>
  </si>
  <si>
    <t>Week 5, Jan-2025</t>
  </si>
  <si>
    <t>Week 6, Feb-2025</t>
  </si>
  <si>
    <t>Week 7, Feb-2025</t>
  </si>
  <si>
    <t>Week 8, Feb-2025</t>
  </si>
  <si>
    <t>Week 9, Feb-2025</t>
  </si>
  <si>
    <t>Week 10, Mar-2025</t>
  </si>
  <si>
    <t>Week 11, Mar-2025</t>
  </si>
  <si>
    <t>Week 12, Mar-2025</t>
  </si>
  <si>
    <t>Week 13, Mar-2025</t>
  </si>
  <si>
    <t>Week 14, Apr-2025</t>
  </si>
  <si>
    <t>Week 15, Apr-2025</t>
  </si>
  <si>
    <t>Week 16, Apr-2025</t>
  </si>
  <si>
    <t>Week 17, Apr-2025</t>
  </si>
  <si>
    <t>Week 18, May-2025</t>
  </si>
  <si>
    <t>Week 19, May-2025</t>
  </si>
  <si>
    <t>Week 20, May-2025</t>
  </si>
  <si>
    <t>Week 21, May-2025</t>
  </si>
  <si>
    <t>Week 22, May-2025</t>
  </si>
  <si>
    <t>Week 23, Jun-2025</t>
  </si>
  <si>
    <t>Week 24, Jun-2025</t>
  </si>
  <si>
    <t>Week 25, Jun-2025</t>
  </si>
  <si>
    <t>Week 26, Jun-2025</t>
  </si>
  <si>
    <t>Week 27, Jul-2025</t>
  </si>
  <si>
    <t>Week 28, Jul-2025</t>
  </si>
  <si>
    <t>Week 29, Jul-2025</t>
  </si>
  <si>
    <t>Week 30, Jul-2025</t>
  </si>
  <si>
    <t>Week 31, Jul-2025</t>
  </si>
  <si>
    <t>Week 32, Aug-2025</t>
  </si>
  <si>
    <t>Week 33, Aug-2025</t>
  </si>
  <si>
    <t>Week 34, Aug-2025</t>
  </si>
  <si>
    <t>Week 35, Aug-2025</t>
  </si>
  <si>
    <t>Week 36, Sep-2025</t>
  </si>
  <si>
    <t>Week 37, Sep-2025</t>
  </si>
  <si>
    <t>Week 38, Sep-2025</t>
  </si>
  <si>
    <t>Week 39, Sep-2025</t>
  </si>
  <si>
    <t>Week 40, Oct-2025</t>
  </si>
  <si>
    <t>Week 41, Oct-2025</t>
  </si>
  <si>
    <t>Week 42, Oct-2025</t>
  </si>
  <si>
    <t>Week 43, Oct-2025</t>
  </si>
  <si>
    <t>Week 44, Oct-2025</t>
  </si>
  <si>
    <t>Week 45, Nov-2025</t>
  </si>
  <si>
    <t>Week 46, Nov-2025</t>
  </si>
  <si>
    <t>Week 47, Nov-2025</t>
  </si>
  <si>
    <t>Week 48, Nov-2025</t>
  </si>
  <si>
    <t>Week 49, Dec-2025</t>
  </si>
  <si>
    <t>Week 50, Dec-2025</t>
  </si>
  <si>
    <t>Week 51, Dec-2025</t>
  </si>
  <si>
    <t>Week 52, Dec-2025</t>
  </si>
  <si>
    <t>M0. Kick off - Benchmarking and project requirement analysis</t>
  </si>
  <si>
    <t> </t>
  </si>
  <si>
    <t>Conducting Platform Benchmarking Analysis, Green Nudges frameworks, Data standards, Gateways and Sensor recommendations</t>
  </si>
  <si>
    <t>Note : This has to be quantitatively differentiated atleast by end of 1st year after completion of tests by NTU team.</t>
  </si>
  <si>
    <t>&gt;</t>
  </si>
  <si>
    <t>M1. Functional Requirement Specification (Project Requirement Document)</t>
  </si>
  <si>
    <t>Note : A PRD document stating the contents agreeable by both parties to cover all the functional aspects of Data fusion core platform and its architecture, smart home fusion use case, smart grid fusion use cases, supported protocols, UI requirements, deliverables in detail.</t>
  </si>
  <si>
    <t>M2. Data Fusion Web &amp; Mobile UX wireframe</t>
  </si>
  <si>
    <t>Note : NTU team to work on the stories, identify suitable usecases as well with the provided usecases to design the layout</t>
  </si>
  <si>
    <t>(V1.0) Technical design document of the UI interface for both Web and Mobile (Android) agreeable layout design</t>
  </si>
  <si>
    <t>(V2.0) Technical design document of the UI interface for both Web and Mobile (Android) agreeable layout design</t>
  </si>
  <si>
    <t>M3. Data Acquisition, Ingestion and Data Lake Framework</t>
  </si>
  <si>
    <t>Technical design document explaining the data schema and algorithm</t>
  </si>
  <si>
    <t>Software Code</t>
  </si>
  <si>
    <t>Deployment Procedure of the code</t>
  </si>
  <si>
    <t>Waiting for approval from LiteON</t>
  </si>
  <si>
    <t>Product usage guide with examples for all the functional usecases</t>
  </si>
  <si>
    <t xml:space="preserve">Test report </t>
  </si>
  <si>
    <t>M4. Data Fusion Engine Framework and integration</t>
  </si>
  <si>
    <t>v2: Waiting for approval from LiteON</t>
  </si>
  <si>
    <t>M5. Decision and Prediction Engine AI/ML models - Prediction &amp; Energy  Optimization</t>
  </si>
  <si>
    <t>Energy optimization Module</t>
  </si>
  <si>
    <t>Note : HVAC Management, Lighting Management</t>
  </si>
  <si>
    <t>Note : Air quality Management, Utility Device alert management</t>
  </si>
  <si>
    <t>Note : (Comfort index &amp; occupancy based optimization is applicable for energy optimization usecases)</t>
  </si>
  <si>
    <t>(Optimization) Deployment Procedure of the code</t>
  </si>
  <si>
    <t>(Optimization) Product usage guide with examples for all the functional usecases</t>
  </si>
  <si>
    <t xml:space="preserve">(Optimization) Test report </t>
  </si>
  <si>
    <t>Prediction Module</t>
  </si>
  <si>
    <t>Note : Sky Cam cloud analysis based GHI prediction, 5 minutes resolution</t>
  </si>
  <si>
    <t>Note : Load and PV prediction at 15 to 30 minutes resolution </t>
  </si>
  <si>
    <t>(SkyCam) Technical design document explaining the data schema and algorithm</t>
  </si>
  <si>
    <t>Will be submitted by 12-Jun-2023 (Tentative)</t>
  </si>
  <si>
    <t>(SkyCam) Software Code</t>
  </si>
  <si>
    <t>(SkyCam) Deployment Procedure of the code</t>
  </si>
  <si>
    <t>(SkyCam) Product usage guide with examples for all the functional usecases</t>
  </si>
  <si>
    <t xml:space="preserve">(SkyCam) Test report </t>
  </si>
  <si>
    <t>M6. WebUI Dashboard &amp; Alerts for Energy Optimization</t>
  </si>
  <si>
    <t>Note : First Version for above use cases</t>
  </si>
  <si>
    <t>M7. Android UI Dashboard &amp; Alerts for Energy Optimization</t>
  </si>
  <si>
    <t>M8. Decision Engine AI/ML models - Safety and security</t>
  </si>
  <si>
    <t>Note : Personnel access surveillance and safety alert</t>
  </si>
  <si>
    <t>Note : 1. Face detection technology for customers and guest entering their premises</t>
  </si>
  <si>
    <t>Note : 2. unauthorized intrusion (humans and other animals, Fire, smoke and other object to be evaluated). For other details, refer usecase document.</t>
  </si>
  <si>
    <t>M9. Decision Engine AI/ML models - NIDS</t>
  </si>
  <si>
    <t>Note : Network intrusion detection model</t>
  </si>
  <si>
    <t>Note : (round truth data will be provided by LiteOn. Based on which NTU shall come up with model for anomaly detection system)</t>
  </si>
  <si>
    <t>Note : (Might extend till 2024)</t>
  </si>
  <si>
    <t>M10. Decision Engine AI/ML models - Bidder operation</t>
  </si>
  <si>
    <t>Note : Use data fusion platform to smartly decide bidding operation between energy mode and regulation mode for participation in the energy/ancillary services market.</t>
  </si>
  <si>
    <t>M11. Decision Engine AI/ML models - Preventive maintenance of Battery module and inverter asset</t>
  </si>
  <si>
    <t>Note : Use data fusion platform to find faults in the assets</t>
  </si>
  <si>
    <t>M12. Decision Engine AI/ML models - Preventive maintenance of PV panel &amp; inverter asset</t>
  </si>
  <si>
    <t>Note : Use datafusion platform to find faults in the assets</t>
  </si>
  <si>
    <t>M13. Decision Engine AI/ML models - Preventive maintenance of Asset type 3 (e.g. Rotating machines like motors &amp; generators to be researched)</t>
  </si>
  <si>
    <t>M14. Decision Engine - Usecase 1</t>
  </si>
  <si>
    <t>Note : Use case to be evaluated based on research basis in the area of smart home and smart grid &amp; smart factory applications</t>
  </si>
  <si>
    <t>M15. Decision Engine - Usecase 2</t>
  </si>
  <si>
    <t>M16. Decision Engine - Usecase 3</t>
  </si>
  <si>
    <t>M17. Stakeholder management and updated usecases WebUI</t>
  </si>
  <si>
    <t>Note : 1. Unit/block/cluster classification UI</t>
  </si>
  <si>
    <t>Note : 2. User Management UI</t>
  </si>
  <si>
    <t>Note : 3. Edge asset onboarding and management UI</t>
  </si>
  <si>
    <t>M18. Final Report</t>
  </si>
  <si>
    <t>Final version of WP4 report - compiled</t>
  </si>
  <si>
    <t>Mile Stones</t>
  </si>
  <si>
    <t>Description</t>
  </si>
  <si>
    <t>Contents for Deliverables</t>
  </si>
  <si>
    <t>Remarks/ use case requirement details</t>
  </si>
  <si>
    <t>Scheduled Completion Date</t>
  </si>
  <si>
    <t>M0</t>
  </si>
  <si>
    <t>Kick off - Benchmarking and project requirement analysis</t>
  </si>
  <si>
    <t>Platform Benchmarking Analysis, Green Nudges frameworks, Data standards, Gateways and Sensor recommendations</t>
  </si>
  <si>
    <t>This has to be quantitatively differentiated atleast by end of 1st year after completion of tests by NTU team.</t>
  </si>
  <si>
    <t>29th Dec 2021</t>
  </si>
  <si>
    <t>(29th Dec 2022 for Benchmark Report)</t>
  </si>
  <si>
    <t>M1</t>
  </si>
  <si>
    <t>Functional Requirement Specification (Project Requirement Document)</t>
  </si>
  <si>
    <t>A PRD document stating the contents agreeable by both parties to cover all the functional aspects of Data fusion core platform and its architecture, smart home fusion use case, smart grid fusion use cases, supported protocols, UI requirements, deliverables in detail.</t>
  </si>
  <si>
    <t>PRD V1.0 Due Date: 27th May 2022</t>
  </si>
  <si>
    <t>LiteOn has identified certain use cases such as milestones M5, M8, M9, M10, M11, M12, M13 for smart home fusion and smart grid fusion and given to NTU. A minimal Functional requirement specification involving these use cases to be incorporated and should be agreed with LiteOn ASAP in the version 1.0. However not limited to only these use cases as the usecases shall be evolving on research basis with full support from NTU team. the detail version including milestones M14, M15, M16 to be provided as version 2 in the later stage.</t>
  </si>
  <si>
    <t>PRD V2.0 Due date: 29th March 2023</t>
  </si>
  <si>
    <t>M2</t>
  </si>
  <si>
    <t>Data Fusion Web &amp; Mobile UX wireframe</t>
  </si>
  <si>
    <t>A technical design document of the UI interface for both Web and Mobile (Android) agreeable layout design</t>
  </si>
  <si>
    <t>NTU team to work on the stories, identify suitable usecases as well with the provided usecases to design the layout</t>
  </si>
  <si>
    <t>V1.0: 30th June 2022</t>
  </si>
  <si>
    <t>V2.0: 30th June 2023</t>
  </si>
  <si>
    <t>M3</t>
  </si>
  <si>
    <t>Data Acquisition, Ingestion and Data Lake Framework</t>
  </si>
  <si>
    <t>1. Technical design document explaining the data schema and algorithm,</t>
  </si>
  <si>
    <t>-</t>
  </si>
  <si>
    <t>31st July 2022</t>
  </si>
  <si>
    <t>2. Software Code</t>
  </si>
  <si>
    <t>3. Deployment Procedure of the code</t>
  </si>
  <si>
    <t>4. Product usage guide with examples for all the functional usecases</t>
  </si>
  <si>
    <t xml:space="preserve">5. Test report </t>
  </si>
  <si>
    <t>M4</t>
  </si>
  <si>
    <t>Data Fusion Engine Framework and integration</t>
  </si>
  <si>
    <t>29th December 2022</t>
  </si>
  <si>
    <t>M5</t>
  </si>
  <si>
    <t>Decision and Prediction Engine AI/ML models - Prediction &amp; Energy  Optimization</t>
  </si>
  <si>
    <t>Prediction Module:</t>
  </si>
  <si>
    <r>
      <t>31</t>
    </r>
    <r>
      <rPr>
        <vertAlign val="superscript"/>
        <sz val="11"/>
        <color rgb="FF000000"/>
        <rFont val="Tahoma"/>
        <family val="2"/>
      </rPr>
      <t>st</t>
    </r>
    <r>
      <rPr>
        <sz val="11"/>
        <color rgb="FF000000"/>
        <rFont val="Tahoma"/>
        <family val="2"/>
      </rPr>
      <t xml:space="preserve"> May 2023</t>
    </r>
  </si>
  <si>
    <t>1. Sky Cam cloud analysis based GHI prediction, 5 minutes resolution</t>
  </si>
  <si>
    <r>
      <t>2. Load and PV prediction at 15 to 30 minutes resolution</t>
    </r>
    <r>
      <rPr>
        <sz val="8"/>
        <color theme="1"/>
        <rFont val="Arial"/>
        <family val="2"/>
      </rPr>
      <t> </t>
    </r>
  </si>
  <si>
    <t>Energy optimization Module:</t>
  </si>
  <si>
    <t>1.HVAC Management,</t>
  </si>
  <si>
    <t>2. Lighting Management</t>
  </si>
  <si>
    <t>3. Air quality Management</t>
  </si>
  <si>
    <t>4. Utility Device alert management</t>
  </si>
  <si>
    <t>(Comfort index &amp; occupancy based optimization is applicable for energy optimization usecases)</t>
  </si>
  <si>
    <t>M6</t>
  </si>
  <si>
    <t>WebUI Dashboard &amp; Alerts for Energy Optimization</t>
  </si>
  <si>
    <t>First Version for above use cases</t>
  </si>
  <si>
    <r>
      <t>29</t>
    </r>
    <r>
      <rPr>
        <vertAlign val="superscript"/>
        <sz val="11"/>
        <color rgb="FF000000"/>
        <rFont val="Tahoma"/>
        <family val="2"/>
      </rPr>
      <t>th</t>
    </r>
    <r>
      <rPr>
        <sz val="11"/>
        <color rgb="FF000000"/>
        <rFont val="Tahoma"/>
        <family val="2"/>
      </rPr>
      <t xml:space="preserve"> December 2022</t>
    </r>
  </si>
  <si>
    <t>5. Test report</t>
  </si>
  <si>
    <t>M7</t>
  </si>
  <si>
    <t>Android UI Dashboard &amp; Alerts for Energy Optimization</t>
  </si>
  <si>
    <t>30th August 2025</t>
  </si>
  <si>
    <r>
      <t> </t>
    </r>
    <r>
      <rPr>
        <sz val="10"/>
        <color theme="1"/>
        <rFont val="Arial"/>
        <family val="2"/>
      </rPr>
      <t>Highlighted use case is currently being implemented, rest are completed</t>
    </r>
  </si>
  <si>
    <t>M8</t>
  </si>
  <si>
    <t>Decision Engine AI/ML models - Safety and security</t>
  </si>
  <si>
    <t>Personnel access surveillance and safety alert</t>
  </si>
  <si>
    <t>30th April 2024</t>
  </si>
  <si>
    <t>1. Face detection technology for customers and guest entering their premises,</t>
  </si>
  <si>
    <t>2. unauthorized intrusion (humans and other animals, Fire, smoke and other object to be evaluated). For other details, refer usecase document.</t>
  </si>
  <si>
    <t>M9</t>
  </si>
  <si>
    <t>Decision Engine AI/ML models - NIDS</t>
  </si>
  <si>
    <t>Network intrusion detection model</t>
  </si>
  <si>
    <r>
      <t>31</t>
    </r>
    <r>
      <rPr>
        <vertAlign val="superscript"/>
        <sz val="11"/>
        <color rgb="FF000000"/>
        <rFont val="Tahoma"/>
        <family val="2"/>
      </rPr>
      <t>st</t>
    </r>
    <r>
      <rPr>
        <sz val="11"/>
        <color rgb="FF000000"/>
        <rFont val="Tahoma"/>
        <family val="2"/>
      </rPr>
      <t xml:space="preserve"> August 2023</t>
    </r>
  </si>
  <si>
    <t>(round truth data will be provided by LiteOn. Based on which NTU shall come up with model for anomaly detection system)</t>
  </si>
  <si>
    <t>(Might extend till 2024)</t>
  </si>
  <si>
    <t>M10</t>
  </si>
  <si>
    <t>Decision Engine AI/ML models - Bidder operation</t>
  </si>
  <si>
    <t>Use data fusion platform to smartly decide bidding operation between energy mode and regulation mode for participation in the energy/ancillary services market.</t>
  </si>
  <si>
    <r>
      <t>31</t>
    </r>
    <r>
      <rPr>
        <vertAlign val="superscript"/>
        <sz val="11"/>
        <color rgb="FF000000"/>
        <rFont val="Tahoma"/>
        <family val="2"/>
      </rPr>
      <t>st</t>
    </r>
    <r>
      <rPr>
        <sz val="11"/>
        <color rgb="FF000000"/>
        <rFont val="Tahoma"/>
        <family val="2"/>
      </rPr>
      <t xml:space="preserve"> December 2023</t>
    </r>
  </si>
  <si>
    <t>M11</t>
  </si>
  <si>
    <t>Decision Engine AI/ML models - Preventive maintenance of Battery module and inverter asset</t>
  </si>
  <si>
    <t>Use data fusion platform to find faults in the assets</t>
  </si>
  <si>
    <t>30th Sep 2023</t>
  </si>
  <si>
    <t>M12</t>
  </si>
  <si>
    <t>Decision Engine AI/ML models - Preventive maintenance of PV panel &amp; inverter asset</t>
  </si>
  <si>
    <t>Use datafusion platform to find faults in the assets</t>
  </si>
  <si>
    <t>30th June 2024</t>
  </si>
  <si>
    <t>M13</t>
  </si>
  <si>
    <t>Decision Engine AI/ML models - Preventive maintenance of Asset type 3 (e.g. Rotating machines like motors &amp; generators to be researched)</t>
  </si>
  <si>
    <t>30th September 2024</t>
  </si>
  <si>
    <t>M14</t>
  </si>
  <si>
    <t>Decision Engine - Usecase 1</t>
  </si>
  <si>
    <t>Use case to be evaluated based on research basis in the area of smart home and smart grid &amp; smart factory applications</t>
  </si>
  <si>
    <t>31st December 2024</t>
  </si>
  <si>
    <t>M15</t>
  </si>
  <si>
    <t>Decision Engine - Usecase 2</t>
  </si>
  <si>
    <t>31st March 2025</t>
  </si>
  <si>
    <t>M16</t>
  </si>
  <si>
    <t>Decision Engine - Usecase 3</t>
  </si>
  <si>
    <t>30th June 2025</t>
  </si>
  <si>
    <t>M17</t>
  </si>
  <si>
    <t xml:space="preserve"> Stakeholder management and updated usecases WebUI</t>
  </si>
  <si>
    <t>1. Unit/block/cluster classification UI</t>
  </si>
  <si>
    <t>2. User Management UI</t>
  </si>
  <si>
    <t>3. Edge asset onboarding and management UI</t>
  </si>
  <si>
    <t>M18</t>
  </si>
  <si>
    <t>Final Report</t>
  </si>
  <si>
    <t xml:space="preserve">Note: </t>
  </si>
  <si>
    <r>
      <t>1)</t>
    </r>
    <r>
      <rPr>
        <sz val="7"/>
        <color theme="1"/>
        <rFont val="Times New Roman"/>
        <family val="1"/>
      </rPr>
      <t xml:space="preserve">    </t>
    </r>
    <r>
      <rPr>
        <sz val="11"/>
        <color theme="1"/>
        <rFont val="Arial"/>
        <family val="2"/>
      </rPr>
      <t>Deliverables documents or code for some of the milestones shall be combined with other milestones as applicable.</t>
    </r>
  </si>
  <si>
    <r>
      <t>2)</t>
    </r>
    <r>
      <rPr>
        <sz val="7"/>
        <color theme="1"/>
        <rFont val="Times New Roman"/>
        <family val="1"/>
      </rPr>
      <t xml:space="preserve">    </t>
    </r>
    <r>
      <rPr>
        <sz val="11"/>
        <color theme="1"/>
        <rFont val="Arial"/>
        <family val="2"/>
      </rPr>
      <t>Each milestone shall be delivered as per mentioned in the functional requirement document.</t>
    </r>
  </si>
  <si>
    <r>
      <t>3)</t>
    </r>
    <r>
      <rPr>
        <sz val="7"/>
        <color theme="1"/>
        <rFont val="Times New Roman"/>
        <family val="1"/>
      </rPr>
      <t xml:space="preserve">    </t>
    </r>
    <r>
      <rPr>
        <sz val="11"/>
        <color theme="1"/>
        <rFont val="Arial"/>
        <family val="2"/>
      </rPr>
      <t>Data Preparation efforts:</t>
    </r>
  </si>
  <si>
    <t>The Bigdata fusion project, requires large, accurately labeled datasets for designing Data pipeline frameworks - data acquisition, ingestion, Data fusion engine and Decision engine. With the Deep Neural networks, synthetic data allows for enrichment, optimization, data quality, scalability and ease of use to achieve higher accuracy. Also, Synthetic data can significantly bring down the cost of generating training data</t>
  </si>
  <si>
    <t>As R&amp;D collaboration partner, LITEON shall provide necessary support for these additional efforts and extend their domain expertise for synthetic data generation for all milestone - usecases.</t>
  </si>
  <si>
    <r>
      <t>For Data preparation, there is no readily available real-time data covering all the scenarios for all use cases (</t>
    </r>
    <r>
      <rPr>
        <b/>
        <sz val="11"/>
        <color theme="1"/>
        <rFont val="Arial"/>
        <family val="2"/>
      </rPr>
      <t>Milestone M8 onwards</t>
    </r>
    <r>
      <rPr>
        <sz val="11"/>
        <color theme="1"/>
        <rFont val="Arial"/>
        <family val="2"/>
      </rPr>
      <t xml:space="preserve">). Thus, we will have to generate data synthetically. A synthetic dataset is a dataset containing computer-generated data rather than real-word records. We will require large, accurately labelled datasets when training AI models. </t>
    </r>
  </si>
  <si>
    <t>There are several advantages of synthetic data listed as below:</t>
  </si>
  <si>
    <r>
      <t>§</t>
    </r>
    <r>
      <rPr>
        <sz val="7"/>
        <color theme="1"/>
        <rFont val="Times New Roman"/>
        <family val="1"/>
      </rPr>
      <t xml:space="preserve">  </t>
    </r>
    <r>
      <rPr>
        <sz val="11"/>
        <color theme="1"/>
        <rFont val="Arial"/>
        <family val="2"/>
      </rPr>
      <t>Synthetic data can significantly bring down the cost of generating training data.</t>
    </r>
  </si>
  <si>
    <r>
      <t>§</t>
    </r>
    <r>
      <rPr>
        <sz val="7"/>
        <color theme="1"/>
        <rFont val="Times New Roman"/>
        <family val="1"/>
      </rPr>
      <t xml:space="preserve">  </t>
    </r>
    <r>
      <rPr>
        <sz val="11"/>
        <color theme="1"/>
        <rFont val="Arial"/>
        <family val="2"/>
      </rPr>
      <t>Synthetic data helps address privacy issues associated with potentially sensitive data sourced from the real world.</t>
    </r>
  </si>
  <si>
    <r>
      <t>§</t>
    </r>
    <r>
      <rPr>
        <sz val="7"/>
        <color theme="1"/>
        <rFont val="Times New Roman"/>
        <family val="1"/>
      </rPr>
      <t xml:space="preserve">  </t>
    </r>
    <r>
      <rPr>
        <sz val="11"/>
        <color theme="1"/>
        <rFont val="Arial"/>
        <family val="2"/>
      </rPr>
      <t>It can also reduce bias compared to real data, which might not accurately reflect the full range of information about the real world. Synthetic data can provide greater diversity by including rare cases that represent realistic possibilities but may be difficult to source from authentic data.</t>
    </r>
  </si>
  <si>
    <r>
      <t>§</t>
    </r>
    <r>
      <rPr>
        <sz val="7"/>
        <color theme="1"/>
        <rFont val="Times New Roman"/>
        <family val="1"/>
      </rPr>
      <t xml:space="preserve">  </t>
    </r>
    <r>
      <rPr>
        <sz val="11"/>
        <color theme="1"/>
        <rFont val="Arial"/>
        <family val="2"/>
      </rPr>
      <t>Synthetic data also helps to comply with data privacy regulations such as GDPR. Synthetic data is ideal for safely using sensitive datasets for training or testing purposes. It is easier to extract insights from such data without impacting privacy compliance</t>
    </r>
  </si>
  <si>
    <t xml:space="preserve">Synthetic data offers above compelling benefits, but it is not easy to realize them. Synthetic data generation is critical in this project and requires highly skilled AI domain specialists who understand how data works and can use the sophisticated tools that generate and analyze datasets. Each use case requires significant hours of efforts for generating synthetic data. </t>
  </si>
  <si>
    <t>Smart home use case related data sets whether synthetic or real data for Datafusion training and demonstrations purposes shall be prepared by NTU.</t>
  </si>
  <si>
    <t>LITEON shall prepare dataset required for smart grid related use cases in WP4.</t>
  </si>
  <si>
    <t>LITEON shall provide datasets for use cases (Milestone) M9 onwards till M13.  For milestones M14, M15, M16 the datasets can be generated in collaboration by both the parties..</t>
  </si>
  <si>
    <r>
      <t>4)</t>
    </r>
    <r>
      <rPr>
        <sz val="7"/>
        <color theme="1"/>
        <rFont val="Times New Roman"/>
        <family val="1"/>
      </rPr>
      <t xml:space="preserve">    </t>
    </r>
    <r>
      <rPr>
        <sz val="11"/>
        <color theme="1"/>
        <rFont val="Arial"/>
        <family val="2"/>
      </rPr>
      <t xml:space="preserve">Software architecture should follow microservice approach and must be compatible with the LITEON data acquisition and ingestion platform. Interface specification will be shared by LITEON to NTU. </t>
    </r>
  </si>
  <si>
    <t>Name</t>
  </si>
  <si>
    <t>Role</t>
  </si>
  <si>
    <t>Responsibility</t>
  </si>
  <si>
    <t>Note</t>
  </si>
  <si>
    <t>All</t>
  </si>
  <si>
    <t>RACI</t>
  </si>
  <si>
    <t>Text</t>
  </si>
  <si>
    <t>TEXT</t>
  </si>
  <si>
    <t>text</t>
  </si>
  <si>
    <t>Responsible</t>
  </si>
  <si>
    <t>PROPOSAL</t>
  </si>
  <si>
    <t>Accountable</t>
  </si>
  <si>
    <t>AWARDING AND CONTRACTING</t>
  </si>
  <si>
    <t>Consulted</t>
  </si>
  <si>
    <t>Preparation</t>
  </si>
  <si>
    <t>Informed</t>
  </si>
  <si>
    <t>Development, Testing and Deployment</t>
  </si>
  <si>
    <t>Publish</t>
  </si>
  <si>
    <t>After-Sales Support</t>
  </si>
  <si>
    <t>var sdt = [{</t>
  </si>
  <si>
    <t>groups: [{</t>
  </si>
  <si>
    <t>}, {</t>
  </si>
  <si>
    <t>}],</t>
  </si>
  <si>
    <t>}];</t>
  </si>
  <si>
    <t>VVV copy from A2</t>
  </si>
  <si>
    <t>,</t>
  </si>
  <si>
    <t>",</t>
  </si>
  <si>
    <t>content: "</t>
  </si>
  <si>
    <t>treeLevel:</t>
  </si>
  <si>
    <t>]</t>
  </si>
  <si>
    <t>PRD V1.0, covers : M5, M8, M9, M10, M11, M12, M13</t>
  </si>
  <si>
    <t>PRD V2.0, covers : M14, M15, M16</t>
  </si>
  <si>
    <t>Benchmark Report</t>
  </si>
  <si>
    <t>className:"</t>
  </si>
  <si>
    <t>6.1.1</t>
  </si>
  <si>
    <t>6.1.2</t>
  </si>
  <si>
    <t>6.1.3</t>
  </si>
  <si>
    <t>value to be updated</t>
  </si>
  <si>
    <t>var items = new vis.DataSet([</t>
  </si>
  <si>
    <t>]);</t>
  </si>
  <si>
    <t>gray</t>
  </si>
  <si>
    <t>"},</t>
  </si>
  <si>
    <t>green</t>
  </si>
  <si>
    <t>pink-white</t>
  </si>
  <si>
    <t>},</t>
  </si>
  <si>
    <t>subgroupStack: {</t>
  </si>
  <si>
    <t>orange</t>
  </si>
  <si>
    <t>Planned</t>
  </si>
  <si>
    <t>VVV copy from A3</t>
  </si>
  <si>
    <t>Pending</t>
  </si>
  <si>
    <t>Completed</t>
  </si>
  <si>
    <t>Validation</t>
  </si>
  <si>
    <t>original in K4 =IF(VLOOKUP(G4,'visjs Group'!I:J,2,TRUE)&lt;&gt;"",VLOOKUP(G4,'visjs Group'!I:J,2,TRUE), "")</t>
  </si>
  <si>
    <t>function (a, b) {return a.subgroupOrder - b.subgroupOrder;}</t>
  </si>
  <si>
    <t xml:space="preserve">subgroupOrder: </t>
  </si>
  <si>
    <t>plan</t>
  </si>
  <si>
    <t>actual</t>
  </si>
  <si>
    <t>(V1) Technical design document explaining the data schema and algorithm</t>
  </si>
  <si>
    <t>(V2) Technical design document explaining the data schema and algorithm</t>
  </si>
  <si>
    <t>(V1) Software Code</t>
  </si>
  <si>
    <t>(V2) Software Code</t>
  </si>
  <si>
    <t>16-Jun-2023, Gabriel</t>
  </si>
  <si>
    <t>(V1)(Optimization) Technical design document explaining the data schema and algorithm</t>
  </si>
  <si>
    <t>(V2)(Optimization) Technical design document explaining the data schema and algorithm</t>
  </si>
  <si>
    <t>(V1)(Optimization) Software Code</t>
  </si>
  <si>
    <t>(V2)Optimization) Software Code</t>
  </si>
  <si>
    <t>4.2</t>
  </si>
  <si>
    <t>1</t>
  </si>
  <si>
    <t>1.1</t>
  </si>
  <si>
    <t>1.2</t>
  </si>
  <si>
    <t>1.3</t>
  </si>
  <si>
    <t>2.3</t>
  </si>
  <si>
    <t>2</t>
  </si>
  <si>
    <t>2.1</t>
  </si>
  <si>
    <t>2.2</t>
  </si>
  <si>
    <t>3.3</t>
  </si>
  <si>
    <t>3</t>
  </si>
  <si>
    <t>3.1</t>
  </si>
  <si>
    <t>3.2</t>
  </si>
  <si>
    <t>4.3</t>
  </si>
  <si>
    <t>4</t>
  </si>
  <si>
    <t>4.1</t>
  </si>
  <si>
    <t>4.4</t>
  </si>
  <si>
    <t>4.5</t>
  </si>
  <si>
    <t>5.5</t>
  </si>
  <si>
    <t>5</t>
  </si>
  <si>
    <t>5.1</t>
  </si>
  <si>
    <t>5.2</t>
  </si>
  <si>
    <t>5.3</t>
  </si>
  <si>
    <t>5.4</t>
  </si>
  <si>
    <t>5.6</t>
  </si>
  <si>
    <t>5.7</t>
  </si>
  <si>
    <t>6.7</t>
  </si>
  <si>
    <t>6</t>
  </si>
  <si>
    <t>6.1</t>
  </si>
  <si>
    <t>6.2</t>
  </si>
  <si>
    <t>6.3</t>
  </si>
  <si>
    <t>6.4</t>
  </si>
  <si>
    <t>6.5</t>
  </si>
  <si>
    <t>6.6</t>
  </si>
  <si>
    <t>6.8</t>
  </si>
  <si>
    <t>6.9</t>
  </si>
  <si>
    <t>6.9.1</t>
  </si>
  <si>
    <t>6.9.2</t>
  </si>
  <si>
    <t>6.10</t>
  </si>
  <si>
    <t>6.11</t>
  </si>
  <si>
    <t>6.12</t>
  </si>
  <si>
    <t>6.13</t>
  </si>
  <si>
    <t>6.14</t>
  </si>
  <si>
    <t>7</t>
  </si>
  <si>
    <t>7.1</t>
  </si>
  <si>
    <t>7.2</t>
  </si>
  <si>
    <t>7.3</t>
  </si>
  <si>
    <t>7.4</t>
  </si>
  <si>
    <t>7.5</t>
  </si>
  <si>
    <t>7.6</t>
  </si>
  <si>
    <t>8.6</t>
  </si>
  <si>
    <t>8</t>
  </si>
  <si>
    <t>8.1</t>
  </si>
  <si>
    <t>8.2</t>
  </si>
  <si>
    <t>8.3</t>
  </si>
  <si>
    <t>8.4</t>
  </si>
  <si>
    <t>8.5</t>
  </si>
  <si>
    <t>9.6</t>
  </si>
  <si>
    <t>9</t>
  </si>
  <si>
    <t>9.1</t>
  </si>
  <si>
    <t>9.2</t>
  </si>
  <si>
    <t>9.3</t>
  </si>
  <si>
    <t>9.4</t>
  </si>
  <si>
    <t>9.5</t>
  </si>
  <si>
    <t>9.7</t>
  </si>
  <si>
    <t>9.8</t>
  </si>
  <si>
    <t>10.8</t>
  </si>
  <si>
    <t>10</t>
  </si>
  <si>
    <t>10.1</t>
  </si>
  <si>
    <t>10.2</t>
  </si>
  <si>
    <t>10.3</t>
  </si>
  <si>
    <t>10.4</t>
  </si>
  <si>
    <t>10.5</t>
  </si>
  <si>
    <t>10.6</t>
  </si>
  <si>
    <t>10.7</t>
  </si>
  <si>
    <t>11</t>
  </si>
  <si>
    <t>11.1</t>
  </si>
  <si>
    <t>11.2</t>
  </si>
  <si>
    <t>11.3</t>
  </si>
  <si>
    <t>11.4</t>
  </si>
  <si>
    <t>11.5</t>
  </si>
  <si>
    <t>11.6</t>
  </si>
  <si>
    <t>12.6</t>
  </si>
  <si>
    <t>12</t>
  </si>
  <si>
    <t>12.1</t>
  </si>
  <si>
    <t>12.2</t>
  </si>
  <si>
    <t>12.3</t>
  </si>
  <si>
    <t>12.4</t>
  </si>
  <si>
    <t>12.5</t>
  </si>
  <si>
    <t>13.6</t>
  </si>
  <si>
    <t>13</t>
  </si>
  <si>
    <t>13.1</t>
  </si>
  <si>
    <t>13.2</t>
  </si>
  <si>
    <t>13.3</t>
  </si>
  <si>
    <t>13.4</t>
  </si>
  <si>
    <t>13.5</t>
  </si>
  <si>
    <t>14.6</t>
  </si>
  <si>
    <t>14</t>
  </si>
  <si>
    <t>14.1</t>
  </si>
  <si>
    <t>14.2</t>
  </si>
  <si>
    <t>14.3</t>
  </si>
  <si>
    <t>14.4</t>
  </si>
  <si>
    <t>14.5</t>
  </si>
  <si>
    <t>15.6</t>
  </si>
  <si>
    <t>15</t>
  </si>
  <si>
    <t>15.1</t>
  </si>
  <si>
    <t>15.2</t>
  </si>
  <si>
    <t>15.3</t>
  </si>
  <si>
    <t>15.4</t>
  </si>
  <si>
    <t>15.5</t>
  </si>
  <si>
    <t>16.6</t>
  </si>
  <si>
    <t>16</t>
  </si>
  <si>
    <t>16.1</t>
  </si>
  <si>
    <t>16.2</t>
  </si>
  <si>
    <t>16.3</t>
  </si>
  <si>
    <t>16.4</t>
  </si>
  <si>
    <t>16.5</t>
  </si>
  <si>
    <t>17.6</t>
  </si>
  <si>
    <t>17</t>
  </si>
  <si>
    <t>17.1</t>
  </si>
  <si>
    <t>17.2</t>
  </si>
  <si>
    <t>17.3</t>
  </si>
  <si>
    <t>17.4</t>
  </si>
  <si>
    <t>17.5</t>
  </si>
  <si>
    <t>18.6</t>
  </si>
  <si>
    <t>18</t>
  </si>
  <si>
    <t>18.1</t>
  </si>
  <si>
    <t>18.2</t>
  </si>
  <si>
    <t>18.3</t>
  </si>
  <si>
    <t>18.4</t>
  </si>
  <si>
    <t>18.5</t>
  </si>
  <si>
    <t>18.7</t>
  </si>
  <si>
    <t>18.8</t>
  </si>
  <si>
    <t>19</t>
  </si>
  <si>
    <t>19.1</t>
  </si>
  <si>
    <t>IDCol</t>
  </si>
  <si>
    <t>IndirectCol</t>
  </si>
  <si>
    <t>nestgroup</t>
  </si>
  <si>
    <t>A</t>
  </si>
  <si>
    <t>B</t>
  </si>
  <si>
    <t>C</t>
  </si>
  <si>
    <t>D</t>
  </si>
  <si>
    <t>E</t>
  </si>
  <si>
    <t>F</t>
  </si>
  <si>
    <t>G</t>
  </si>
  <si>
    <t>H</t>
  </si>
  <si>
    <t>I</t>
  </si>
  <si>
    <t>J</t>
  </si>
  <si>
    <t>K</t>
  </si>
  <si>
    <t>L</t>
  </si>
  <si>
    <t>M</t>
  </si>
  <si>
    <t>N</t>
  </si>
  <si>
    <t>O</t>
  </si>
  <si>
    <t>P</t>
  </si>
  <si>
    <t>Q</t>
  </si>
  <si>
    <t>R</t>
  </si>
  <si>
    <t>S</t>
  </si>
  <si>
    <t>T</t>
  </si>
  <si>
    <t>U</t>
  </si>
  <si>
    <t>V</t>
  </si>
  <si>
    <t>W</t>
  </si>
  <si>
    <t>X</t>
  </si>
  <si>
    <t>Y</t>
  </si>
  <si>
    <t>Z</t>
  </si>
  <si>
    <t>VVV : Qty of nestedGroups</t>
  </si>
  <si>
    <t>, "group":</t>
  </si>
  <si>
    <t xml:space="preserve">{"id": </t>
  </si>
  <si>
    <t>, "subgroup": "</t>
  </si>
  <si>
    <t>", "subgroupOrder":</t>
  </si>
  <si>
    <t>, "className": "</t>
  </si>
  <si>
    <t>", "content": "</t>
  </si>
  <si>
    <t>", "start": "</t>
  </si>
  <si>
    <t>", "end": "</t>
  </si>
  <si>
    <t>[</t>
  </si>
  <si>
    <t>VVV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</si>
</sst>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d\-mmm\-yyyy;@"/>
    <numFmt numFmtId="165" formatCode="yyyy\-mm\-dd;@"/>
  </numFmts>
  <fonts count="32">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sz val="9"/>
      <color indexed="81"/>
      <name val="Tahoma"/>
      <family val="2"/>
    </font>
    <font>
      <b/>
      <sz val="9"/>
      <color indexed="81"/>
      <name val="Tahoma"/>
      <family val="2"/>
    </font>
    <font>
      <sz val="11"/>
      <color rgb="FF000000"/>
      <name val="Calibri"/>
      <family val="2"/>
      <charset val="1"/>
    </font>
    <font>
      <sz val="10"/>
      <color theme="1"/>
      <name val="Arial"/>
      <family val="2"/>
    </font>
    <font>
      <sz val="11"/>
      <color rgb="FF000000"/>
      <name val="Tahoma"/>
      <family val="2"/>
    </font>
    <font>
      <b/>
      <sz val="11"/>
      <color theme="1"/>
      <name val="Tahoma"/>
      <family val="2"/>
    </font>
    <font>
      <b/>
      <sz val="11"/>
      <color rgb="FF000000"/>
      <name val="Tahoma"/>
      <family val="2"/>
    </font>
    <font>
      <sz val="8"/>
      <color theme="1"/>
      <name val="Arial"/>
      <family val="2"/>
    </font>
    <font>
      <vertAlign val="superscript"/>
      <sz val="11"/>
      <color rgb="FF000000"/>
      <name val="Tahoma"/>
      <family val="2"/>
    </font>
    <font>
      <sz val="11"/>
      <color theme="1"/>
      <name val="Arial"/>
      <family val="2"/>
    </font>
    <font>
      <sz val="7"/>
      <color theme="1"/>
      <name val="Times New Roman"/>
      <family val="1"/>
    </font>
    <font>
      <b/>
      <sz val="11"/>
      <color rgb="FF000000"/>
      <name val="Arial"/>
      <family val="2"/>
    </font>
    <font>
      <b/>
      <sz val="11"/>
      <color theme="1"/>
      <name val="Arial"/>
      <family val="2"/>
    </font>
    <font>
      <sz val="11"/>
      <color theme="1"/>
      <name val="Wingdings"/>
      <charset val="2"/>
    </font>
    <font>
      <u/>
      <sz val="11"/>
      <color theme="10"/>
      <name val="Calibri"/>
      <family val="2"/>
      <scheme val="minor"/>
    </font>
    <font>
      <b/>
      <u/>
      <sz val="14"/>
      <color theme="1"/>
      <name val="Arial"/>
      <family val="2"/>
    </font>
    <font>
      <b/>
      <u/>
      <sz val="14"/>
      <color theme="10"/>
      <name val="Arial"/>
      <family val="2"/>
    </font>
    <font>
      <b/>
      <u/>
      <sz val="14"/>
      <color rgb="FF0070C0"/>
      <name val="Arial"/>
      <family val="2"/>
    </font>
    <font>
      <sz val="11"/>
      <color theme="1"/>
      <name val="Arial"/>
    </font>
    <font>
      <sz val="10"/>
      <color theme="1"/>
      <name val="Calibri"/>
      <family val="2"/>
      <scheme val="minor"/>
    </font>
    <font>
      <b/>
      <sz val="10"/>
      <color theme="1"/>
      <name val="Calibri"/>
      <family val="2"/>
      <scheme val="minor"/>
    </font>
    <font>
      <b/>
      <sz val="11"/>
      <color rgb="FF000000"/>
      <name val="Arial"/>
    </font>
    <font>
      <sz val="11"/>
      <color rgb="FF000000"/>
      <name val="Arial"/>
    </font>
    <font>
      <b/>
      <sz val="11"/>
      <color theme="1"/>
      <name val="Arial"/>
    </font>
    <font>
      <b/>
      <u/>
      <sz val="14"/>
      <color theme="1"/>
      <name val="Arial"/>
    </font>
    <font>
      <b/>
      <sz val="10"/>
      <color theme="1"/>
      <name val="Arial"/>
    </font>
    <font>
      <b/>
      <u/>
      <sz val="11"/>
      <color theme="10"/>
      <name val="Arial"/>
    </font>
    <font>
      <sz val="10"/>
      <color theme="1"/>
      <name val="Arial Unicode MS"/>
    </font>
  </fonts>
  <fills count="11">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FF2CC"/>
        <bgColor rgb="FF000000"/>
      </patternFill>
    </fill>
    <fill>
      <patternFill patternType="solid">
        <fgColor rgb="FF00B050"/>
        <bgColor rgb="FF000000"/>
      </patternFill>
    </fill>
    <fill>
      <patternFill patternType="solid">
        <fgColor rgb="FF92D050"/>
        <bgColor rgb="FF000000"/>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s>
  <borders count="22">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top/>
      <bottom style="medium">
        <color rgb="FF000000"/>
      </bottom>
      <diagonal/>
    </border>
    <border>
      <left style="thin">
        <color indexed="64"/>
      </left>
      <right style="thin">
        <color indexed="64"/>
      </right>
      <top/>
      <bottom style="medium">
        <color rgb="FF000000"/>
      </bottom>
      <diagonal/>
    </border>
    <border>
      <left/>
      <right style="thin">
        <color indexed="64"/>
      </right>
      <top/>
      <bottom style="medium">
        <color rgb="FF000000"/>
      </bottom>
      <diagonal/>
    </border>
  </borders>
  <cellStyleXfs count="5">
    <xf numFmtId="0" fontId="0" fillId="0" borderId="0"/>
    <xf numFmtId="9" fontId="1" fillId="0" borderId="0" applyFont="0" applyFill="0" applyBorder="0" applyAlignment="0" applyProtection="0"/>
    <xf numFmtId="0" fontId="6" fillId="0" borderId="0"/>
    <xf numFmtId="9" fontId="6" fillId="0" borderId="0" applyFont="0" applyFill="0" applyBorder="0" applyAlignment="0" applyProtection="0"/>
    <xf numFmtId="0" fontId="18" fillId="0" borderId="0" applyNumberFormat="0" applyFill="0" applyBorder="0" applyAlignment="0" applyProtection="0"/>
  </cellStyleXfs>
  <cellXfs count="130">
    <xf numFmtId="0" fontId="0" fillId="0" borderId="0" xfId="0"/>
    <xf numFmtId="0" fontId="2" fillId="0" borderId="0" xfId="0" applyFont="1"/>
    <xf numFmtId="0" fontId="3" fillId="0" borderId="0" xfId="0" applyFont="1"/>
    <xf numFmtId="0" fontId="0" fillId="3" borderId="0" xfId="0" applyFill="1"/>
    <xf numFmtId="0" fontId="6" fillId="0" borderId="0" xfId="2"/>
    <xf numFmtId="0" fontId="8" fillId="0" borderId="6" xfId="0" applyFont="1" applyBorder="1" applyAlignment="1">
      <alignment vertical="center" wrapText="1"/>
    </xf>
    <xf numFmtId="0" fontId="0" fillId="0" borderId="6" xfId="0" applyBorder="1" applyAlignment="1">
      <alignment vertical="center" wrapText="1"/>
    </xf>
    <xf numFmtId="0" fontId="8" fillId="0" borderId="5" xfId="0" applyFont="1" applyBorder="1" applyAlignment="1">
      <alignment vertical="center" wrapText="1"/>
    </xf>
    <xf numFmtId="0" fontId="0" fillId="0" borderId="5" xfId="0" applyBorder="1" applyAlignment="1">
      <alignment vertical="center" wrapText="1"/>
    </xf>
    <xf numFmtId="0" fontId="9" fillId="0" borderId="8" xfId="0" applyFont="1" applyBorder="1" applyAlignment="1">
      <alignment horizontal="center" vertical="center"/>
    </xf>
    <xf numFmtId="0" fontId="9" fillId="0" borderId="9" xfId="0" applyFont="1" applyBorder="1" applyAlignment="1">
      <alignment horizontal="center" vertical="center" wrapText="1"/>
    </xf>
    <xf numFmtId="0" fontId="10" fillId="0" borderId="9" xfId="0" applyFont="1" applyBorder="1" applyAlignment="1">
      <alignment horizontal="center" vertical="center" wrapText="1"/>
    </xf>
    <xf numFmtId="0" fontId="11" fillId="0" borderId="0" xfId="0" applyFont="1" applyAlignment="1">
      <alignment vertical="center"/>
    </xf>
    <xf numFmtId="0" fontId="8" fillId="0" borderId="3" xfId="0" applyFont="1" applyBorder="1" applyAlignment="1">
      <alignment horizontal="right" vertical="center"/>
    </xf>
    <xf numFmtId="0" fontId="8" fillId="0" borderId="5" xfId="0" applyFont="1" applyBorder="1" applyAlignment="1">
      <alignment vertical="center"/>
    </xf>
    <xf numFmtId="0" fontId="13" fillId="0" borderId="0" xfId="0" applyFont="1" applyAlignment="1">
      <alignment vertical="center"/>
    </xf>
    <xf numFmtId="0" fontId="13" fillId="0" borderId="0" xfId="0" applyFont="1" applyAlignment="1">
      <alignment horizontal="left" vertical="center" indent="2"/>
    </xf>
    <xf numFmtId="0" fontId="13" fillId="0" borderId="0" xfId="0" applyFont="1" applyAlignment="1">
      <alignment horizontal="justify" vertical="center"/>
    </xf>
    <xf numFmtId="0" fontId="15" fillId="0" borderId="0" xfId="0" applyFont="1" applyAlignment="1">
      <alignment horizontal="justify" vertical="center"/>
    </xf>
    <xf numFmtId="0" fontId="17" fillId="0" borderId="0" xfId="0" applyFont="1" applyAlignment="1">
      <alignment horizontal="justify" vertical="center"/>
    </xf>
    <xf numFmtId="0" fontId="19" fillId="0" borderId="0" xfId="0" applyFont="1" applyAlignment="1">
      <alignment horizontal="left" vertical="top"/>
    </xf>
    <xf numFmtId="0" fontId="20" fillId="0" borderId="0" xfId="4" applyFont="1" applyFill="1" applyAlignment="1">
      <alignment horizontal="left" vertical="top"/>
    </xf>
    <xf numFmtId="0" fontId="21" fillId="0" borderId="0" xfId="0" applyFont="1"/>
    <xf numFmtId="0" fontId="21" fillId="0" borderId="0" xfId="0" applyFont="1" applyAlignment="1">
      <alignment horizontal="left" vertical="top"/>
    </xf>
    <xf numFmtId="9" fontId="22" fillId="0" borderId="0" xfId="1" applyFont="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5" xfId="0" applyBorder="1"/>
    <xf numFmtId="0" fontId="0" fillId="0" borderId="18" xfId="0" applyBorder="1"/>
    <xf numFmtId="0" fontId="0" fillId="0" borderId="0" xfId="0" applyBorder="1"/>
    <xf numFmtId="0" fontId="0" fillId="0" borderId="6" xfId="0" applyBorder="1"/>
    <xf numFmtId="0" fontId="0" fillId="3" borderId="0" xfId="0" applyFill="1" applyBorder="1"/>
    <xf numFmtId="0" fontId="0" fillId="3" borderId="13" xfId="0" applyFill="1" applyBorder="1"/>
    <xf numFmtId="0" fontId="0" fillId="0" borderId="18" xfId="0" applyFill="1" applyBorder="1"/>
    <xf numFmtId="0" fontId="0" fillId="0" borderId="0" xfId="0" applyFill="1" applyBorder="1"/>
    <xf numFmtId="165" fontId="0" fillId="0" borderId="0" xfId="0" applyNumberFormat="1" applyBorder="1"/>
    <xf numFmtId="0" fontId="0" fillId="0" borderId="16" xfId="0" applyFill="1" applyBorder="1"/>
    <xf numFmtId="0" fontId="0" fillId="3" borderId="14" xfId="0" applyFill="1" applyBorder="1"/>
    <xf numFmtId="0" fontId="0" fillId="0" borderId="14" xfId="0" applyFill="1" applyBorder="1"/>
    <xf numFmtId="165" fontId="0" fillId="0" borderId="14" xfId="0" applyNumberFormat="1" applyBorder="1"/>
    <xf numFmtId="0" fontId="0" fillId="0" borderId="17" xfId="0" applyFill="1" applyBorder="1"/>
    <xf numFmtId="165" fontId="0" fillId="0" borderId="17" xfId="0" applyNumberFormat="1" applyBorder="1"/>
    <xf numFmtId="0" fontId="23" fillId="0" borderId="0" xfId="0" applyFont="1" applyBorder="1"/>
    <xf numFmtId="0" fontId="24" fillId="0" borderId="0" xfId="0" applyFont="1" applyBorder="1"/>
    <xf numFmtId="0" fontId="24" fillId="0" borderId="0" xfId="0" applyFont="1" applyBorder="1" applyAlignment="1">
      <alignment wrapText="1"/>
    </xf>
    <xf numFmtId="0" fontId="2" fillId="0" borderId="0" xfId="0" applyFont="1" applyBorder="1"/>
    <xf numFmtId="0" fontId="0" fillId="3" borderId="17" xfId="0" applyFill="1" applyBorder="1"/>
    <xf numFmtId="0" fontId="27" fillId="0" borderId="0" xfId="0" applyFont="1" applyAlignment="1">
      <alignment horizontal="left" vertical="center"/>
    </xf>
    <xf numFmtId="0" fontId="22" fillId="0" borderId="0" xfId="0" applyFont="1"/>
    <xf numFmtId="0" fontId="22" fillId="0" borderId="1" xfId="0" applyFont="1" applyBorder="1"/>
    <xf numFmtId="0" fontId="22" fillId="2" borderId="0" xfId="0" applyFont="1" applyFill="1" applyAlignment="1">
      <alignment horizontal="left" vertical="center"/>
    </xf>
    <xf numFmtId="0" fontId="22" fillId="0" borderId="0" xfId="0" quotePrefix="1" applyFont="1" applyAlignment="1">
      <alignment horizontal="left" vertical="center"/>
    </xf>
    <xf numFmtId="0" fontId="22" fillId="0" borderId="0" xfId="0" applyFont="1" applyAlignment="1">
      <alignment horizontal="left" vertical="center"/>
    </xf>
    <xf numFmtId="0" fontId="22" fillId="0" borderId="2" xfId="0" applyFont="1" applyBorder="1"/>
    <xf numFmtId="0" fontId="22" fillId="0" borderId="0" xfId="0" applyFont="1" applyAlignment="1">
      <alignment vertical="top"/>
    </xf>
    <xf numFmtId="0" fontId="22" fillId="0" borderId="0" xfId="0" applyFont="1" applyAlignment="1">
      <alignment vertical="top" wrapText="1"/>
    </xf>
    <xf numFmtId="0" fontId="27" fillId="0" borderId="0" xfId="0" applyFont="1" applyAlignment="1">
      <alignment horizontal="left" vertical="top" wrapText="1"/>
    </xf>
    <xf numFmtId="0" fontId="29" fillId="0" borderId="0" xfId="0" applyFont="1" applyAlignment="1">
      <alignment horizontal="left" vertical="top" wrapText="1"/>
    </xf>
    <xf numFmtId="9" fontId="27" fillId="0" borderId="0" xfId="1" applyFont="1" applyBorder="1" applyAlignment="1">
      <alignment horizontal="left" vertical="top" wrapText="1"/>
    </xf>
    <xf numFmtId="0" fontId="25" fillId="5" borderId="10" xfId="0" applyFont="1" applyFill="1" applyBorder="1" applyAlignment="1">
      <alignment wrapText="1"/>
    </xf>
    <xf numFmtId="0" fontId="27" fillId="0" borderId="0" xfId="0" applyFont="1"/>
    <xf numFmtId="164" fontId="22" fillId="0" borderId="0" xfId="0" applyNumberFormat="1" applyFont="1" applyAlignment="1">
      <alignment horizontal="left" vertical="center"/>
    </xf>
    <xf numFmtId="1" fontId="22" fillId="0" borderId="0" xfId="0" applyNumberFormat="1" applyFont="1" applyAlignment="1">
      <alignment horizontal="left" vertical="center"/>
    </xf>
    <xf numFmtId="9" fontId="28" fillId="0" borderId="0" xfId="1" applyFont="1" applyFill="1"/>
    <xf numFmtId="9" fontId="22" fillId="0" borderId="0" xfId="1" applyFont="1" applyFill="1"/>
    <xf numFmtId="0" fontId="26" fillId="0" borderId="11" xfId="0" applyFont="1" applyBorder="1"/>
    <xf numFmtId="0" fontId="26" fillId="0" borderId="12" xfId="0" applyFont="1" applyBorder="1"/>
    <xf numFmtId="0" fontId="27" fillId="0" borderId="19" xfId="0" applyFont="1" applyBorder="1"/>
    <xf numFmtId="0" fontId="22" fillId="0" borderId="19" xfId="0" applyFont="1" applyBorder="1"/>
    <xf numFmtId="164" fontId="22" fillId="0" borderId="19" xfId="0" applyNumberFormat="1" applyFont="1" applyBorder="1" applyAlignment="1">
      <alignment horizontal="left" vertical="center"/>
    </xf>
    <xf numFmtId="9" fontId="22" fillId="0" borderId="19" xfId="1" applyFont="1" applyFill="1" applyBorder="1"/>
    <xf numFmtId="0" fontId="26" fillId="0" borderId="20" xfId="0" applyFont="1" applyBorder="1"/>
    <xf numFmtId="0" fontId="26" fillId="0" borderId="21" xfId="0" applyFont="1" applyBorder="1"/>
    <xf numFmtId="0" fontId="27" fillId="0" borderId="19" xfId="0" applyFont="1" applyBorder="1" applyAlignment="1">
      <alignment horizontal="left" vertical="center"/>
    </xf>
    <xf numFmtId="0" fontId="26" fillId="6" borderId="11" xfId="0" applyFont="1" applyFill="1" applyBorder="1"/>
    <xf numFmtId="0" fontId="26" fillId="6" borderId="12" xfId="0" applyFont="1" applyFill="1" applyBorder="1"/>
    <xf numFmtId="0" fontId="26" fillId="7" borderId="11" xfId="0" applyFont="1" applyFill="1" applyBorder="1"/>
    <xf numFmtId="0" fontId="26" fillId="7" borderId="12" xfId="0" applyFont="1" applyFill="1" applyBorder="1"/>
    <xf numFmtId="0" fontId="26" fillId="7" borderId="21" xfId="0" applyFont="1" applyFill="1" applyBorder="1"/>
    <xf numFmtId="0" fontId="30" fillId="0" borderId="19" xfId="4" applyFont="1" applyFill="1" applyBorder="1" applyAlignment="1">
      <alignment horizontal="left" vertical="center"/>
    </xf>
    <xf numFmtId="164" fontId="22" fillId="0" borderId="0" xfId="0" applyNumberFormat="1" applyFont="1" applyAlignment="1">
      <alignment horizontal="left" vertical="center" wrapText="1"/>
    </xf>
    <xf numFmtId="164" fontId="22" fillId="4" borderId="0" xfId="0" applyNumberFormat="1" applyFont="1" applyFill="1" applyAlignment="1">
      <alignment horizontal="left" vertical="center"/>
    </xf>
    <xf numFmtId="0" fontId="26" fillId="8" borderId="11" xfId="0" applyFont="1" applyFill="1" applyBorder="1"/>
    <xf numFmtId="0" fontId="26" fillId="8" borderId="12" xfId="0" applyFont="1" applyFill="1" applyBorder="1"/>
    <xf numFmtId="164" fontId="22" fillId="4" borderId="19" xfId="0" applyNumberFormat="1" applyFont="1" applyFill="1" applyBorder="1" applyAlignment="1">
      <alignment horizontal="left" vertical="center"/>
    </xf>
    <xf numFmtId="0" fontId="26" fillId="8" borderId="21" xfId="0" applyFont="1" applyFill="1" applyBorder="1"/>
    <xf numFmtId="9" fontId="22" fillId="0" borderId="19" xfId="1" applyFont="1" applyBorder="1"/>
    <xf numFmtId="0" fontId="26" fillId="9" borderId="12" xfId="0" applyFont="1" applyFill="1" applyBorder="1"/>
    <xf numFmtId="0" fontId="27" fillId="2" borderId="0" xfId="0" applyFont="1" applyFill="1" applyAlignment="1">
      <alignment horizontal="left" vertical="center"/>
    </xf>
    <xf numFmtId="0" fontId="27" fillId="2" borderId="19" xfId="0" applyFont="1" applyFill="1" applyBorder="1" applyAlignment="1">
      <alignment horizontal="left" vertical="center"/>
    </xf>
    <xf numFmtId="49" fontId="27" fillId="0" borderId="0" xfId="0" applyNumberFormat="1" applyFont="1" applyAlignment="1">
      <alignment horizontal="left" vertical="center"/>
    </xf>
    <xf numFmtId="49" fontId="27" fillId="0" borderId="0" xfId="0" applyNumberFormat="1" applyFont="1" applyAlignment="1">
      <alignment horizontal="left" vertical="top"/>
    </xf>
    <xf numFmtId="49" fontId="22" fillId="0" borderId="0" xfId="0" applyNumberFormat="1" applyFont="1" applyAlignment="1">
      <alignment horizontal="left" vertical="center"/>
    </xf>
    <xf numFmtId="0" fontId="2" fillId="0" borderId="0" xfId="0" applyNumberFormat="1" applyFont="1" applyFill="1"/>
    <xf numFmtId="1" fontId="2" fillId="0" borderId="0" xfId="0" applyNumberFormat="1" applyFont="1" applyFill="1"/>
    <xf numFmtId="0" fontId="0" fillId="0" borderId="0" xfId="0" applyNumberFormat="1" applyFill="1"/>
    <xf numFmtId="1" fontId="0" fillId="0" borderId="0" xfId="0" applyNumberFormat="1" applyFill="1"/>
    <xf numFmtId="0" fontId="0" fillId="0" borderId="0" xfId="0" applyNumberFormat="1" applyFill="1" applyBorder="1"/>
    <xf numFmtId="1" fontId="0" fillId="0" borderId="0" xfId="0" applyNumberFormat="1" applyFill="1" applyBorder="1"/>
    <xf numFmtId="0" fontId="0" fillId="0" borderId="0" xfId="0" applyFill="1" applyBorder="1" applyAlignment="1">
      <alignment horizontal="left"/>
    </xf>
    <xf numFmtId="0" fontId="26" fillId="0" borderId="0" xfId="0" quotePrefix="1" applyFont="1" applyBorder="1"/>
    <xf numFmtId="0" fontId="26" fillId="0" borderId="17" xfId="0" quotePrefix="1" applyFont="1" applyBorder="1"/>
    <xf numFmtId="0" fontId="19" fillId="0" borderId="19" xfId="0" applyFont="1" applyBorder="1" applyAlignment="1">
      <alignment horizontal="left" vertical="top"/>
    </xf>
    <xf numFmtId="0" fontId="20" fillId="0" borderId="19" xfId="4" applyFont="1" applyBorder="1" applyAlignment="1">
      <alignment horizontal="left" vertical="top"/>
    </xf>
    <xf numFmtId="0" fontId="20" fillId="0" borderId="0" xfId="4" applyFont="1" applyAlignment="1">
      <alignment horizontal="left" vertical="top"/>
    </xf>
    <xf numFmtId="0" fontId="20" fillId="0" borderId="19" xfId="4" applyFont="1" applyFill="1" applyBorder="1" applyAlignment="1">
      <alignment horizontal="left" vertical="top"/>
    </xf>
    <xf numFmtId="0" fontId="31" fillId="0" borderId="0" xfId="0" applyFont="1"/>
    <xf numFmtId="0" fontId="0" fillId="0" borderId="0" xfId="0" applyFill="1"/>
    <xf numFmtId="0" fontId="0" fillId="0" borderId="14" xfId="0" quotePrefix="1" applyFill="1" applyBorder="1"/>
    <xf numFmtId="165" fontId="0" fillId="0" borderId="0" xfId="0" applyNumberFormat="1" applyFill="1" applyBorder="1"/>
    <xf numFmtId="165" fontId="0" fillId="0" borderId="17" xfId="0" applyNumberFormat="1" applyFill="1" applyBorder="1"/>
    <xf numFmtId="0" fontId="0" fillId="10" borderId="14" xfId="0" applyFill="1" applyBorder="1"/>
    <xf numFmtId="164" fontId="22" fillId="0" borderId="17" xfId="0" applyNumberFormat="1" applyFont="1" applyBorder="1" applyAlignment="1">
      <alignment horizontal="left" vertical="center"/>
    </xf>
    <xf numFmtId="0" fontId="0" fillId="0" borderId="6" xfId="0" applyFill="1" applyBorder="1"/>
    <xf numFmtId="0" fontId="0" fillId="0" borderId="5" xfId="0" applyFill="1" applyBorder="1"/>
    <xf numFmtId="0" fontId="0" fillId="0" borderId="15" xfId="0" applyFill="1" applyBorder="1"/>
    <xf numFmtId="0" fontId="27" fillId="4" borderId="0" xfId="0" applyFont="1" applyFill="1" applyAlignment="1">
      <alignment horizontal="left"/>
    </xf>
    <xf numFmtId="0" fontId="27" fillId="4" borderId="19" xfId="0" applyFont="1" applyFill="1" applyBorder="1" applyAlignment="1">
      <alignment horizontal="left"/>
    </xf>
    <xf numFmtId="0" fontId="27" fillId="0" borderId="0" xfId="0" applyFont="1" applyAlignment="1">
      <alignment horizontal="left"/>
    </xf>
    <xf numFmtId="0" fontId="30" fillId="2" borderId="0" xfId="4" applyFont="1" applyFill="1" applyAlignment="1">
      <alignment horizontal="left"/>
    </xf>
    <xf numFmtId="0" fontId="27" fillId="0" borderId="0" xfId="0" applyFont="1" applyAlignment="1">
      <alignment horizontal="left" vertical="center"/>
    </xf>
    <xf numFmtId="0" fontId="8" fillId="0" borderId="7" xfId="0" applyFont="1" applyBorder="1" applyAlignment="1">
      <alignment horizontal="right" vertical="center"/>
    </xf>
    <xf numFmtId="0" fontId="8" fillId="0" borderId="4" xfId="0" applyFont="1" applyBorder="1" applyAlignment="1">
      <alignment horizontal="right" vertical="center"/>
    </xf>
    <xf numFmtId="0" fontId="8" fillId="0" borderId="3" xfId="0" applyFont="1" applyBorder="1" applyAlignment="1">
      <alignment horizontal="right" vertical="center"/>
    </xf>
    <xf numFmtId="0" fontId="8" fillId="0" borderId="7" xfId="0" applyFont="1" applyBorder="1" applyAlignment="1">
      <alignment vertical="center" wrapText="1"/>
    </xf>
    <xf numFmtId="0" fontId="8" fillId="0" borderId="4" xfId="0" applyFont="1" applyBorder="1" applyAlignment="1">
      <alignment vertical="center" wrapText="1"/>
    </xf>
    <xf numFmtId="0" fontId="8" fillId="0" borderId="3" xfId="0" applyFont="1" applyBorder="1" applyAlignment="1">
      <alignment vertical="center" wrapText="1"/>
    </xf>
  </cellXfs>
  <cellStyles count="5">
    <cellStyle name="Hyperlink" xfId="4" builtinId="8"/>
    <cellStyle name="Normal" xfId="0" builtinId="0"/>
    <cellStyle name="Normal 2" xfId="2"/>
    <cellStyle name="Percent" xfId="1" builtinId="5"/>
    <cellStyle name="Percent 2" xfId="3"/>
  </cellStyles>
  <dxfs count="8">
    <dxf>
      <font>
        <color rgb="FF9C0006"/>
      </font>
      <fill>
        <patternFill>
          <bgColor rgb="FFFFC7CE"/>
        </patternFill>
      </fill>
    </dxf>
    <dxf>
      <font>
        <color auto="1"/>
      </font>
      <fill>
        <patternFill>
          <bgColor theme="7" tint="0.79998168889431442"/>
        </patternFill>
      </fill>
    </dxf>
    <dxf>
      <font>
        <color auto="1"/>
      </font>
      <fill>
        <patternFill>
          <bgColor theme="7" tint="0.79998168889431442"/>
        </patternFill>
      </fill>
    </dxf>
    <dxf>
      <font>
        <color rgb="FF9C0006"/>
      </font>
      <fill>
        <patternFill>
          <bgColor rgb="FFFFC7CE"/>
        </patternFill>
      </fill>
    </dxf>
    <dxf>
      <fill>
        <patternFill>
          <bgColor theme="7" tint="0.79998168889431442"/>
        </patternFill>
      </fill>
    </dxf>
    <dxf>
      <fill>
        <patternFill>
          <bgColor rgb="FFFF0000"/>
        </patternFill>
      </fill>
    </dxf>
    <dxf>
      <fill>
        <patternFill>
          <bgColor theme="7" tint="0.79998168889431442"/>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Nivethitha Somu" id="{30531B17-F958-4DB2-90F8-C619FE47DF5E}" userId="S::nivethitha.somu@staff.main.ntu.edu.sg::8de26f10-61c0-4849-b6ad-2428f3ec3a7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41" dT="2023-05-16T06:27:37.98" personId="{30531B17-F958-4DB2-90F8-C619FE47DF5E}" id="{E5F94C0B-311E-4AA2-9441-9C88B45B4880}">
    <text>Need to create separate milestone for SkyCam</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w:/r/teams/ERIN_LITE_ONSharePoint/Shared%20Documents/General/Code%20and%20LLD%20Documents/Milestones%20M5-M6/Data%20fusion%20platform%20API%20documentation_A01_25%20Apr_updated.docx?d=wf51abf0ea3754ce191672aebc3ef3fe6&amp;csf=1&amp;web=1&amp;e=ogQptY" TargetMode="External"/><Relationship Id="rId13" Type="http://schemas.openxmlformats.org/officeDocument/2006/relationships/hyperlink" Target="../../../../../:w:/r/teams/ERIN_LITE_ONSharePoint/Shared%20Documents/General/Code%20and%20LLD%20Documents/Milestones%20M5-M6/M3-M5%20Deployment%20procedure%20of%20data%20fusion%20platform.docx?d=w5159b41238c04013939c99dc8926a765&amp;csf=1&amp;web=1&amp;e=28zGUo" TargetMode="External"/><Relationship Id="rId18" Type="http://schemas.openxmlformats.org/officeDocument/2006/relationships/hyperlink" Target="../../../../../:w:/r/teams/ERIN_LITE_ONSharePoint/Shared%20Documents/General/Code%20and%20LLD%20Documents/Web%20UI/M6%20-%20Deployment%20guide%20for%20frontend,%20backend%20and%20AI.docx?d=wed921c15403f4a749f733125173d08a1&amp;csf=1&amp;web=1&amp;e=8Gd7fs" TargetMode="External"/><Relationship Id="rId26" Type="http://schemas.openxmlformats.org/officeDocument/2006/relationships/vmlDrawing" Target="../drawings/vmlDrawing1.vml"/><Relationship Id="rId3" Type="http://schemas.openxmlformats.org/officeDocument/2006/relationships/hyperlink" Target="../../../../../:x:/r/teams/ERIN_LITE_ONSharePoint/Shared%20Documents/General/Code%20and%20LLD%20Documents/Milestones%20M5-M6/API%20Test.xlsx?d=w5b5ce6e1f6524259a12826a147f7853e&amp;csf=1&amp;web=1&amp;e=WXM3GY" TargetMode="External"/><Relationship Id="rId21" Type="http://schemas.openxmlformats.org/officeDocument/2006/relationships/hyperlink" Target="../../../../../:w:/r/teams/ERIN_LITE_ONSharePoint/Shared%20Documents/General/Code%20and%20LLD%20Documents/MobileUI/M7%20-%20Design%20document%20of%20MobileUI.docx?d=wed166f82481944baaea6ffbaf2e86b22&amp;csf=1&amp;web=1&amp;e=4yLmRn" TargetMode="External"/><Relationship Id="rId7" Type="http://schemas.openxmlformats.org/officeDocument/2006/relationships/hyperlink" Target="../../../../../:w:/r/teams/ERIN_LITE_ONSharePoint/Shared%20Documents/General/Code%20and%20LLD%20Documents/Milestones%20M5-M6/Data%20fusion%20platform%20API%20documentation_A01_25%20Apr_updated.docx?d=wf51abf0ea3754ce191672aebc3ef3fe6&amp;csf=1&amp;web=1&amp;e=ogQptY" TargetMode="External"/><Relationship Id="rId12" Type="http://schemas.openxmlformats.org/officeDocument/2006/relationships/hyperlink" Target="../../../../../:w:/r/teams/ERIN_LITE_ONSharePoint/Shared%20Documents/General/Code%20and%20LLD%20Documents/Milestones%20M5-M6/M3-M5%20Deployment%20procedure%20of%20data%20fusion%20platform.docx?d=w5159b41238c04013939c99dc8926a765&amp;csf=1&amp;web=1&amp;e=28zGUo" TargetMode="External"/><Relationship Id="rId17" Type="http://schemas.openxmlformats.org/officeDocument/2006/relationships/hyperlink" Target="../../../../../:w:/r/teams/ERIN_LITE_ONSharePoint/Shared%20Documents/General/Code%20and%20LLD%20Documents/Web%20UI/M6%20-%20Design%20document%20of%20WebUI.docx?d=w36d65a6b85894f009692bfd32212b6e8&amp;csf=1&amp;web=1&amp;e=age6zo" TargetMode="External"/><Relationship Id="rId25" Type="http://schemas.openxmlformats.org/officeDocument/2006/relationships/printerSettings" Target="../printerSettings/printerSettings1.bin"/><Relationship Id="rId2" Type="http://schemas.openxmlformats.org/officeDocument/2006/relationships/hyperlink" Target="../../../../../:x:/r/teams/ERIN_LITE_ONSharePoint/Shared%20Documents/General/Code%20and%20LLD%20Documents/Milestones%20M5-M6/API%20Test.xlsx?d=w5b5ce6e1f6524259a12826a147f7853e&amp;csf=1&amp;web=1&amp;e=EsMW8s" TargetMode="External"/><Relationship Id="rId16" Type="http://schemas.openxmlformats.org/officeDocument/2006/relationships/hyperlink" Target="../../../../../:w:/r/teams/ERIN_LITE_ONSharePoint/Shared%20Documents/General/Code%20and%20LLD%20Documents/Milestones%20M5-M6/Design%20Documents%20for%20Decision%20Engine%20and%20integration_A01_25%20Apr_Updated.docx?d=w677c1c6f5b59446ebf133a17c35f8552&amp;csf=1&amp;web=1&amp;e=ROaPS4" TargetMode="External"/><Relationship Id="rId20" Type="http://schemas.openxmlformats.org/officeDocument/2006/relationships/hyperlink" Target="../../../../../:f:/r/teams/ERIN_LITE_ONSharePoint/Shared%20Documents/General/Code%20and%20LLD%20Documents/Web%20UI/Test%20cases-WebUI?csf=1&amp;web=1&amp;e=pan2iN" TargetMode="External"/><Relationship Id="rId1" Type="http://schemas.openxmlformats.org/officeDocument/2006/relationships/hyperlink" Target="../../../../../:x:/r/teams/ERIN_LITE_ONSharePoint/Shared%20Documents/General/Code%20and%20LLD%20Documents/Milestones%20M5-M6/API%20Test.xlsx?d=w5b5ce6e1f6524259a12826a147f7853e&amp;csf=1&amp;web=1&amp;e=EsMW8s" TargetMode="External"/><Relationship Id="rId6" Type="http://schemas.openxmlformats.org/officeDocument/2006/relationships/hyperlink" Target="../../../../../:x:/r/teams/ERIN_LITE_ONSharePoint/Shared%20Documents/General/Code%20and%20LLD%20Documents/Milestones%20M5-M6/API%20Test.xlsx?d=w5b5ce6e1f6524259a12826a147f7853e&amp;csf=1&amp;web=1&amp;e=EsMW8s" TargetMode="External"/><Relationship Id="rId11" Type="http://schemas.openxmlformats.org/officeDocument/2006/relationships/hyperlink" Target="../../../../../:w:/r/teams/ERIN_LITE_ONSharePoint/Shared%20Documents/General/Code%20and%20LLD%20Documents/Milestones%20M5-M6/M3-M5%20Deployment%20procedure%20of%20data%20fusion%20platform.docx?d=w5159b41238c04013939c99dc8926a765&amp;csf=1&amp;web=1&amp;e=28zGUo" TargetMode="External"/><Relationship Id="rId24" Type="http://schemas.openxmlformats.org/officeDocument/2006/relationships/hyperlink" Target="../../../../../:f:/r/teams/ERIN_LITE_ONSharePoint/Shared%20Documents/General/Code%20and%20LLD%20Documents/MobileUI/M7%20-%20MobileApp_TestCases?csf=1&amp;web=1&amp;e=iOUpGw" TargetMode="External"/><Relationship Id="rId5" Type="http://schemas.openxmlformats.org/officeDocument/2006/relationships/hyperlink" Target="../../../../../:f:/r/teams/ERIN_LITE_ONSharePoint/Shared%20Documents/General/Code%20and%20LLD%20Documents/Web%20UI?csf=1&amp;web=1&amp;e=ExYAda" TargetMode="External"/><Relationship Id="rId15" Type="http://schemas.openxmlformats.org/officeDocument/2006/relationships/hyperlink" Target="../../../../../:w:/r/teams/ERIN_LITE_ONSharePoint/Shared%20Documents/General/Code%20and%20LLD%20Documents/Milestones%20M5-M6/Design%20Document%20for%20Data%20Fusion%20Engine%20Design%20and%20Integration_A01_25%20Apr_Updated.docx?d=wcf2fc95b5db44670aa3167b964cf9ada&amp;csf=1&amp;web=1&amp;e=Ugzvcs" TargetMode="External"/><Relationship Id="rId23" Type="http://schemas.openxmlformats.org/officeDocument/2006/relationships/hyperlink" Target="../../../../../:w:/r/teams/ERIN_LITE_ONSharePoint/Shared%20Documents/General/Code%20and%20LLD%20Documents/MobileUI/M7%20-%20Deployment%20procedure%20AndroidUI.docx?d=w04e366986d0d445489145cc89c63e1b2&amp;csf=1&amp;web=1&amp;e=iQ8bLs" TargetMode="External"/><Relationship Id="rId28" Type="http://schemas.microsoft.com/office/2017/10/relationships/threadedComment" Target="../threadedComments/threadedComment1.xml"/><Relationship Id="rId10" Type="http://schemas.openxmlformats.org/officeDocument/2006/relationships/hyperlink" Target="../../../../../:b:/r/teams/ERIN_LITE_ONSharePoint/Shared%20Documents/General/Code%20and%20LLD%20Documents/M0%20-%20Platforms_Bench%20Mark%20Report_20Jan2022-Nirupam_ERIAN_V1.0.pdf?csf=1&amp;web=1&amp;e=n6vtQX" TargetMode="External"/><Relationship Id="rId19" Type="http://schemas.openxmlformats.org/officeDocument/2006/relationships/hyperlink" Target="../../../../../:w:/r/teams/ERIN_LITE_ONSharePoint/Shared%20Documents/General/Code%20and%20LLD%20Documents/Web%20UI/M6%20-%20User%20guide%20of%20WebUI.docx?d=w8b3e16ad55164c70b640cb8ff64073b9&amp;csf=1&amp;web=1&amp;e=xbNIyl" TargetMode="External"/><Relationship Id="rId4" Type="http://schemas.openxmlformats.org/officeDocument/2006/relationships/hyperlink" Target="../../../../../:f:/r/teams/ERIN_LITE_ONSharePoint/Shared%20Documents/General/Code%20and%20LLD%20Documents/PRD?csf=1&amp;web=1&amp;e=aQgUmp" TargetMode="External"/><Relationship Id="rId9" Type="http://schemas.openxmlformats.org/officeDocument/2006/relationships/hyperlink" Target="../../../../../:w:/r/teams/ERIN_LITE_ONSharePoint/Shared%20Documents/General/Code%20and%20LLD%20Documents/Milestones%20M5-M6/Data%20fusion%20platform%20API%20documentation_A01_25%20Apr_updated.docx?d=wf51abf0ea3754ce191672aebc3ef3fe6&amp;csf=1&amp;web=1&amp;e=1grjT6" TargetMode="External"/><Relationship Id="rId14" Type="http://schemas.openxmlformats.org/officeDocument/2006/relationships/hyperlink" Target="../../../../../:w:/r/teams/ERIN_LITE_ONSharePoint/Shared%20Documents/General/Code%20and%20LLD%20Documents/Milestones%20M3-M4/LLD_for_M3%20M4.docx_15%20Sep_A0_06.docx?d=w456aa4b94bf34931a77b2e071d8295e4&amp;csf=1&amp;web=1&amp;e=rRjsxL" TargetMode="External"/><Relationship Id="rId22" Type="http://schemas.openxmlformats.org/officeDocument/2006/relationships/hyperlink" Target="../../../../../:w:/r/teams/ERIN_LITE_ONSharePoint/Shared%20Documents/General/Code%20and%20LLD%20Documents/MobileUI/M7%20-%20User%20guide%20of%20MobileUI.docx?d=w423ff2a55bd54b62a98b183d5a6e372e&amp;csf=1&amp;web=1&amp;e=aUieIN" TargetMode="Externa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outlinePr summaryBelow="0" summaryRight="0"/>
  </sheetPr>
  <dimension ref="A1:FD141"/>
  <sheetViews>
    <sheetView zoomScale="70" zoomScaleNormal="70" workbookViewId="0">
      <pane xSplit="6" ySplit="3" topLeftCell="G18" activePane="bottomRight" state="frozen"/>
      <selection pane="topRight" activeCell="B45" sqref="B45"/>
      <selection pane="bottomLeft" activeCell="B45" sqref="B45"/>
      <selection pane="bottomRight" activeCell="P17" sqref="P17"/>
    </sheetView>
  </sheetViews>
  <sheetFormatPr defaultColWidth="9.1796875" defaultRowHeight="18"/>
  <cols>
    <col min="1" max="1" width="7.54296875" style="95" customWidth="1"/>
    <col min="2" max="2" width="2.54296875" style="20" customWidth="1"/>
    <col min="3" max="3" width="2.54296875" style="50" customWidth="1"/>
    <col min="4" max="5" width="2.54296875" style="51" customWidth="1"/>
    <col min="6" max="6" width="105.26953125" style="51" customWidth="1"/>
    <col min="7" max="8" width="2.7265625" style="51" customWidth="1"/>
    <col min="9" max="13" width="14.7265625" style="51" customWidth="1"/>
    <col min="14" max="14" width="11.26953125" style="51" hidden="1" customWidth="1"/>
    <col min="15" max="15" width="5.7265625" style="51" hidden="1" customWidth="1"/>
    <col min="16" max="16" width="13" style="24" customWidth="1"/>
    <col min="17" max="17" width="9.1796875" style="24" customWidth="1"/>
    <col min="18" max="18" width="2.54296875" style="51" customWidth="1"/>
    <col min="19" max="160" width="10.7265625" style="51" customWidth="1"/>
    <col min="161" max="16384" width="9.1796875" style="51"/>
  </cols>
  <sheetData>
    <row r="1" spans="1:160">
      <c r="A1" s="93" t="s">
        <v>0</v>
      </c>
      <c r="F1" s="52" t="s">
        <v>1</v>
      </c>
      <c r="H1" s="51" t="s">
        <v>2</v>
      </c>
      <c r="L1" s="53" t="s">
        <v>3</v>
      </c>
      <c r="M1" s="53"/>
      <c r="N1" s="53"/>
      <c r="O1" s="53"/>
      <c r="P1" s="24">
        <v>1</v>
      </c>
      <c r="Q1" s="24">
        <v>1</v>
      </c>
      <c r="R1" s="51" t="s">
        <v>2</v>
      </c>
      <c r="S1" s="54"/>
      <c r="T1" s="55"/>
      <c r="U1" s="55"/>
      <c r="V1" s="55"/>
      <c r="W1" s="55"/>
      <c r="X1" s="55"/>
      <c r="Y1" s="55"/>
      <c r="Z1" s="54"/>
      <c r="AA1" s="55"/>
      <c r="AB1" s="55"/>
      <c r="AC1" s="55"/>
      <c r="AD1" s="55"/>
      <c r="AE1" s="55"/>
      <c r="AF1" s="55"/>
      <c r="AG1" s="54"/>
      <c r="AH1" s="55"/>
      <c r="AI1" s="55"/>
      <c r="AJ1" s="55"/>
      <c r="AK1" s="55"/>
      <c r="AL1" s="55"/>
      <c r="AM1" s="55"/>
      <c r="AN1" s="54"/>
      <c r="AO1" s="55"/>
      <c r="AP1" s="55"/>
      <c r="AQ1" s="55"/>
      <c r="AR1" s="55"/>
      <c r="AS1" s="55"/>
      <c r="AT1" s="55"/>
      <c r="AU1" s="55"/>
      <c r="AV1" s="54"/>
      <c r="AW1" s="55"/>
      <c r="AX1" s="55"/>
      <c r="AY1" s="55"/>
      <c r="AZ1" s="55"/>
      <c r="BA1" s="55"/>
      <c r="BB1" s="54"/>
      <c r="BC1" s="55"/>
      <c r="BD1" s="55"/>
      <c r="BE1" s="55"/>
      <c r="BF1" s="55"/>
      <c r="BG1" s="55"/>
      <c r="BH1" s="55"/>
      <c r="BI1" s="54"/>
      <c r="BJ1" s="55"/>
      <c r="BK1" s="55"/>
      <c r="BL1" s="55"/>
      <c r="BM1" s="55"/>
      <c r="BN1" s="55"/>
      <c r="BO1" s="55"/>
      <c r="BP1" s="54"/>
      <c r="BQ1" s="55"/>
      <c r="BR1" s="55"/>
      <c r="BS1" s="55"/>
      <c r="BT1" s="55"/>
      <c r="BU1" s="55"/>
      <c r="BV1" s="55"/>
      <c r="BW1" s="54"/>
      <c r="BX1" s="55"/>
      <c r="BY1" s="55"/>
      <c r="BZ1" s="55"/>
      <c r="CA1" s="54"/>
      <c r="CB1" s="55"/>
      <c r="CC1" s="55"/>
      <c r="CD1" s="55"/>
      <c r="CE1" s="55"/>
      <c r="CF1" s="55"/>
      <c r="CG1" s="55"/>
      <c r="CH1" s="55"/>
      <c r="CI1" s="55"/>
      <c r="CJ1" s="55"/>
      <c r="CK1" s="54"/>
      <c r="CL1" s="55"/>
      <c r="CM1" s="55"/>
      <c r="CN1" s="55"/>
      <c r="CO1" s="55"/>
      <c r="CP1" s="55"/>
      <c r="CQ1" s="55"/>
      <c r="CR1" s="54"/>
      <c r="CS1" s="55"/>
      <c r="CT1" s="55"/>
      <c r="CU1" s="55"/>
      <c r="CV1" s="55"/>
      <c r="CW1" s="55"/>
      <c r="CX1" s="55"/>
      <c r="CY1" s="54"/>
      <c r="CZ1" s="55"/>
      <c r="DA1" s="55"/>
      <c r="DB1" s="55"/>
      <c r="DC1" s="55"/>
      <c r="DD1" s="55"/>
      <c r="DE1" s="54"/>
      <c r="DF1" s="55"/>
      <c r="DG1" s="55"/>
      <c r="DH1" s="55"/>
      <c r="DI1" s="55"/>
      <c r="DJ1" s="55"/>
      <c r="DK1" s="55"/>
      <c r="DL1" s="55"/>
      <c r="DM1" s="54"/>
      <c r="DN1" s="55"/>
      <c r="DO1" s="55"/>
      <c r="DP1" s="55"/>
      <c r="DQ1" s="55"/>
      <c r="DR1" s="55"/>
      <c r="DS1" s="55"/>
      <c r="DT1" s="54"/>
      <c r="DU1" s="55"/>
      <c r="DV1" s="55"/>
      <c r="DW1" s="55"/>
      <c r="DX1" s="55"/>
      <c r="DY1" s="55"/>
      <c r="DZ1" s="55"/>
      <c r="EA1" s="54"/>
      <c r="EB1" s="55"/>
      <c r="EC1" s="55"/>
      <c r="ED1" s="55"/>
      <c r="EE1" s="55"/>
      <c r="EF1" s="55"/>
      <c r="EG1" s="55"/>
      <c r="EH1" s="54"/>
      <c r="EI1" s="55"/>
      <c r="EJ1" s="54"/>
      <c r="EK1" s="55"/>
      <c r="EL1" s="55"/>
      <c r="EM1" s="55"/>
      <c r="EN1" s="55"/>
      <c r="EO1" s="54"/>
      <c r="EP1" s="55"/>
      <c r="EQ1" s="55"/>
      <c r="ER1" s="55"/>
      <c r="ES1" s="55"/>
      <c r="ET1" s="55"/>
      <c r="EU1" s="55"/>
      <c r="EV1" s="54"/>
      <c r="EW1" s="55"/>
      <c r="EX1" s="55"/>
      <c r="EY1" s="55"/>
      <c r="EZ1" s="55"/>
      <c r="FA1" s="55"/>
      <c r="FB1" s="55"/>
      <c r="FC1" s="54"/>
      <c r="FD1" s="55"/>
    </row>
    <row r="2" spans="1:160">
      <c r="A2" s="93" t="s">
        <v>4</v>
      </c>
      <c r="F2" s="56" t="s">
        <v>402</v>
      </c>
      <c r="H2" s="51" t="s">
        <v>2</v>
      </c>
      <c r="P2" s="24">
        <v>0</v>
      </c>
      <c r="Q2" s="24">
        <v>0</v>
      </c>
      <c r="R2" s="51" t="s">
        <v>2</v>
      </c>
      <c r="S2" s="55"/>
      <c r="T2" s="55"/>
      <c r="U2" s="55"/>
      <c r="V2" s="55"/>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c r="CJ2" s="55"/>
      <c r="CK2" s="55"/>
      <c r="CL2" s="55"/>
      <c r="CM2" s="55"/>
      <c r="CN2" s="55"/>
      <c r="CO2" s="55"/>
      <c r="CP2" s="55"/>
      <c r="CQ2" s="55"/>
      <c r="CR2" s="55"/>
      <c r="CS2" s="55"/>
      <c r="CT2" s="55"/>
      <c r="CU2" s="55"/>
      <c r="CV2" s="55"/>
      <c r="CW2" s="55"/>
      <c r="CX2" s="55"/>
      <c r="CY2" s="55"/>
      <c r="CZ2" s="55"/>
      <c r="DA2" s="55"/>
      <c r="DB2" s="55"/>
      <c r="DC2" s="55"/>
      <c r="DD2" s="55"/>
      <c r="DE2" s="55"/>
      <c r="DF2" s="55"/>
      <c r="DG2" s="55"/>
      <c r="DH2" s="55"/>
      <c r="DI2" s="55"/>
      <c r="DJ2" s="55"/>
      <c r="DK2" s="55"/>
      <c r="DL2" s="55"/>
      <c r="DM2" s="55"/>
      <c r="DN2" s="55"/>
      <c r="DO2" s="55"/>
      <c r="DP2" s="55"/>
      <c r="DQ2" s="55"/>
      <c r="DR2" s="55"/>
      <c r="DS2" s="55"/>
      <c r="DT2" s="55"/>
      <c r="DU2" s="55"/>
      <c r="DV2" s="55"/>
      <c r="DW2" s="55"/>
      <c r="DX2" s="55"/>
      <c r="DY2" s="55"/>
      <c r="DZ2" s="55"/>
      <c r="EA2" s="55"/>
      <c r="EB2" s="55"/>
      <c r="EC2" s="55"/>
      <c r="ED2" s="55"/>
      <c r="EE2" s="55"/>
      <c r="EF2" s="55"/>
      <c r="EG2" s="55"/>
      <c r="EH2" s="55"/>
      <c r="EI2" s="55"/>
      <c r="EJ2" s="55"/>
      <c r="EK2" s="55"/>
      <c r="EL2" s="55"/>
      <c r="EM2" s="55"/>
      <c r="EN2" s="55"/>
      <c r="EO2" s="55"/>
      <c r="EP2" s="55"/>
      <c r="EQ2" s="55"/>
      <c r="ER2" s="55"/>
      <c r="ES2" s="55"/>
      <c r="ET2" s="55"/>
      <c r="EU2" s="55"/>
      <c r="EV2" s="55"/>
      <c r="EW2" s="55"/>
      <c r="EX2" s="55"/>
      <c r="EY2" s="55"/>
      <c r="EZ2" s="55"/>
      <c r="FA2" s="55"/>
      <c r="FB2" s="55"/>
      <c r="FC2" s="55"/>
      <c r="FD2" s="55"/>
    </row>
    <row r="3" spans="1:160" s="57" customFormat="1" ht="50.25" customHeight="1">
      <c r="A3" s="94" t="s">
        <v>5</v>
      </c>
      <c r="B3" s="20" t="s">
        <v>6</v>
      </c>
      <c r="C3" s="50"/>
      <c r="F3" s="57" t="s">
        <v>7</v>
      </c>
      <c r="H3" s="58" t="s">
        <v>8</v>
      </c>
      <c r="I3" s="59" t="s">
        <v>9</v>
      </c>
      <c r="J3" s="59" t="s">
        <v>10</v>
      </c>
      <c r="K3" s="59" t="s">
        <v>11</v>
      </c>
      <c r="L3" s="60" t="s">
        <v>12</v>
      </c>
      <c r="M3" s="60" t="s">
        <v>13</v>
      </c>
      <c r="N3" s="60"/>
      <c r="O3" s="60"/>
      <c r="P3" s="61" t="s">
        <v>14</v>
      </c>
      <c r="Q3" s="61" t="s">
        <v>15</v>
      </c>
      <c r="R3" s="58" t="s">
        <v>16</v>
      </c>
      <c r="S3" s="62" t="s">
        <v>17</v>
      </c>
      <c r="T3" s="62" t="s">
        <v>18</v>
      </c>
      <c r="U3" s="62" t="s">
        <v>19</v>
      </c>
      <c r="V3" s="62" t="s">
        <v>20</v>
      </c>
      <c r="W3" s="62" t="s">
        <v>21</v>
      </c>
      <c r="X3" s="62" t="s">
        <v>22</v>
      </c>
      <c r="Y3" s="62" t="s">
        <v>23</v>
      </c>
      <c r="Z3" s="62" t="s">
        <v>24</v>
      </c>
      <c r="AA3" s="62" t="s">
        <v>25</v>
      </c>
      <c r="AB3" s="62" t="s">
        <v>26</v>
      </c>
      <c r="AC3" s="62" t="s">
        <v>27</v>
      </c>
      <c r="AD3" s="62" t="s">
        <v>28</v>
      </c>
      <c r="AE3" s="62" t="s">
        <v>29</v>
      </c>
      <c r="AF3" s="62" t="s">
        <v>30</v>
      </c>
      <c r="AG3" s="62" t="s">
        <v>31</v>
      </c>
      <c r="AH3" s="62" t="s">
        <v>32</v>
      </c>
      <c r="AI3" s="62" t="s">
        <v>33</v>
      </c>
      <c r="AJ3" s="62" t="s">
        <v>34</v>
      </c>
      <c r="AK3" s="62" t="s">
        <v>35</v>
      </c>
      <c r="AL3" s="62" t="s">
        <v>36</v>
      </c>
      <c r="AM3" s="62" t="s">
        <v>37</v>
      </c>
      <c r="AN3" s="62" t="s">
        <v>38</v>
      </c>
      <c r="AO3" s="62" t="s">
        <v>39</v>
      </c>
      <c r="AP3" s="62" t="s">
        <v>40</v>
      </c>
      <c r="AQ3" s="62" t="s">
        <v>41</v>
      </c>
      <c r="AR3" s="62" t="s">
        <v>42</v>
      </c>
      <c r="AS3" s="62" t="s">
        <v>43</v>
      </c>
      <c r="AT3" s="62" t="s">
        <v>44</v>
      </c>
      <c r="AU3" s="62" t="s">
        <v>45</v>
      </c>
      <c r="AV3" s="62" t="s">
        <v>46</v>
      </c>
      <c r="AW3" s="62" t="s">
        <v>47</v>
      </c>
      <c r="AX3" s="62" t="s">
        <v>48</v>
      </c>
      <c r="AY3" s="62" t="s">
        <v>49</v>
      </c>
      <c r="AZ3" s="62" t="s">
        <v>50</v>
      </c>
      <c r="BA3" s="62" t="s">
        <v>51</v>
      </c>
      <c r="BB3" s="62" t="s">
        <v>52</v>
      </c>
      <c r="BC3" s="62" t="s">
        <v>53</v>
      </c>
      <c r="BD3" s="62" t="s">
        <v>54</v>
      </c>
      <c r="BE3" s="62" t="s">
        <v>55</v>
      </c>
      <c r="BF3" s="62" t="s">
        <v>56</v>
      </c>
      <c r="BG3" s="62" t="s">
        <v>57</v>
      </c>
      <c r="BH3" s="62" t="s">
        <v>58</v>
      </c>
      <c r="BI3" s="62" t="s">
        <v>59</v>
      </c>
      <c r="BJ3" s="62" t="s">
        <v>60</v>
      </c>
      <c r="BK3" s="62" t="s">
        <v>61</v>
      </c>
      <c r="BL3" s="62" t="s">
        <v>62</v>
      </c>
      <c r="BM3" s="62" t="s">
        <v>63</v>
      </c>
      <c r="BN3" s="62" t="s">
        <v>64</v>
      </c>
      <c r="BO3" s="62" t="s">
        <v>65</v>
      </c>
      <c r="BP3" s="62" t="s">
        <v>66</v>
      </c>
      <c r="BQ3" s="62" t="s">
        <v>67</v>
      </c>
      <c r="BR3" s="62" t="s">
        <v>68</v>
      </c>
      <c r="BS3" s="62" t="s">
        <v>69</v>
      </c>
      <c r="BT3" s="62" t="s">
        <v>70</v>
      </c>
      <c r="BU3" s="62" t="s">
        <v>71</v>
      </c>
      <c r="BV3" s="62" t="s">
        <v>72</v>
      </c>
      <c r="BW3" s="62" t="s">
        <v>73</v>
      </c>
      <c r="BX3" s="62" t="s">
        <v>74</v>
      </c>
      <c r="BY3" s="62" t="s">
        <v>75</v>
      </c>
      <c r="BZ3" s="62" t="s">
        <v>76</v>
      </c>
      <c r="CA3" s="62" t="s">
        <v>77</v>
      </c>
      <c r="CB3" s="62" t="s">
        <v>78</v>
      </c>
      <c r="CC3" s="62" t="s">
        <v>79</v>
      </c>
      <c r="CD3" s="62" t="s">
        <v>80</v>
      </c>
      <c r="CE3" s="62" t="s">
        <v>81</v>
      </c>
      <c r="CF3" s="62" t="s">
        <v>82</v>
      </c>
      <c r="CG3" s="62" t="s">
        <v>83</v>
      </c>
      <c r="CH3" s="62" t="s">
        <v>84</v>
      </c>
      <c r="CI3" s="62" t="s">
        <v>85</v>
      </c>
      <c r="CJ3" s="62" t="s">
        <v>86</v>
      </c>
      <c r="CK3" s="62" t="s">
        <v>87</v>
      </c>
      <c r="CL3" s="62" t="s">
        <v>88</v>
      </c>
      <c r="CM3" s="62" t="s">
        <v>89</v>
      </c>
      <c r="CN3" s="62" t="s">
        <v>90</v>
      </c>
      <c r="CO3" s="62" t="s">
        <v>91</v>
      </c>
      <c r="CP3" s="62" t="s">
        <v>92</v>
      </c>
      <c r="CQ3" s="62" t="s">
        <v>93</v>
      </c>
      <c r="CR3" s="62" t="s">
        <v>94</v>
      </c>
      <c r="CS3" s="62" t="s">
        <v>95</v>
      </c>
      <c r="CT3" s="62" t="s">
        <v>96</v>
      </c>
      <c r="CU3" s="62" t="s">
        <v>97</v>
      </c>
      <c r="CV3" s="62" t="s">
        <v>98</v>
      </c>
      <c r="CW3" s="62" t="s">
        <v>99</v>
      </c>
      <c r="CX3" s="62" t="s">
        <v>100</v>
      </c>
      <c r="CY3" s="62" t="s">
        <v>101</v>
      </c>
      <c r="CZ3" s="62" t="s">
        <v>102</v>
      </c>
      <c r="DA3" s="62" t="s">
        <v>103</v>
      </c>
      <c r="DB3" s="62" t="s">
        <v>104</v>
      </c>
      <c r="DC3" s="62" t="s">
        <v>105</v>
      </c>
      <c r="DD3" s="62" t="s">
        <v>106</v>
      </c>
      <c r="DE3" s="62" t="s">
        <v>107</v>
      </c>
      <c r="DF3" s="62" t="s">
        <v>108</v>
      </c>
      <c r="DG3" s="62" t="s">
        <v>109</v>
      </c>
      <c r="DH3" s="62" t="s">
        <v>110</v>
      </c>
      <c r="DI3" s="62" t="s">
        <v>111</v>
      </c>
      <c r="DJ3" s="62" t="s">
        <v>112</v>
      </c>
      <c r="DK3" s="62" t="s">
        <v>113</v>
      </c>
      <c r="DL3" s="62" t="s">
        <v>114</v>
      </c>
      <c r="DM3" s="62" t="s">
        <v>115</v>
      </c>
      <c r="DN3" s="62" t="s">
        <v>116</v>
      </c>
      <c r="DO3" s="62" t="s">
        <v>117</v>
      </c>
      <c r="DP3" s="62" t="s">
        <v>118</v>
      </c>
      <c r="DQ3" s="62" t="s">
        <v>119</v>
      </c>
      <c r="DR3" s="62" t="s">
        <v>120</v>
      </c>
      <c r="DS3" s="62" t="s">
        <v>121</v>
      </c>
      <c r="DT3" s="62" t="s">
        <v>122</v>
      </c>
      <c r="DU3" s="62" t="s">
        <v>123</v>
      </c>
      <c r="DV3" s="62" t="s">
        <v>124</v>
      </c>
      <c r="DW3" s="62" t="s">
        <v>125</v>
      </c>
      <c r="DX3" s="62" t="s">
        <v>126</v>
      </c>
      <c r="DY3" s="62" t="s">
        <v>127</v>
      </c>
      <c r="DZ3" s="62" t="s">
        <v>128</v>
      </c>
      <c r="EA3" s="62" t="s">
        <v>129</v>
      </c>
      <c r="EB3" s="62" t="s">
        <v>130</v>
      </c>
      <c r="EC3" s="62" t="s">
        <v>131</v>
      </c>
      <c r="ED3" s="62" t="s">
        <v>132</v>
      </c>
      <c r="EE3" s="62" t="s">
        <v>133</v>
      </c>
      <c r="EF3" s="62" t="s">
        <v>134</v>
      </c>
      <c r="EG3" s="62" t="s">
        <v>135</v>
      </c>
      <c r="EH3" s="62" t="s">
        <v>136</v>
      </c>
      <c r="EI3" s="62" t="s">
        <v>137</v>
      </c>
      <c r="EJ3" s="62" t="s">
        <v>138</v>
      </c>
      <c r="EK3" s="62" t="s">
        <v>139</v>
      </c>
      <c r="EL3" s="62" t="s">
        <v>140</v>
      </c>
      <c r="EM3" s="62" t="s">
        <v>141</v>
      </c>
      <c r="EN3" s="62" t="s">
        <v>142</v>
      </c>
      <c r="EO3" s="62" t="s">
        <v>143</v>
      </c>
      <c r="EP3" s="62" t="s">
        <v>144</v>
      </c>
      <c r="EQ3" s="62" t="s">
        <v>145</v>
      </c>
      <c r="ER3" s="62" t="s">
        <v>146</v>
      </c>
      <c r="ES3" s="62" t="s">
        <v>147</v>
      </c>
      <c r="ET3" s="62" t="s">
        <v>148</v>
      </c>
      <c r="EU3" s="62" t="s">
        <v>149</v>
      </c>
      <c r="EV3" s="62" t="s">
        <v>150</v>
      </c>
      <c r="EW3" s="62" t="s">
        <v>151</v>
      </c>
      <c r="EX3" s="62" t="s">
        <v>152</v>
      </c>
      <c r="EY3" s="62" t="s">
        <v>153</v>
      </c>
      <c r="EZ3" s="62" t="s">
        <v>154</v>
      </c>
      <c r="FA3" s="62" t="s">
        <v>155</v>
      </c>
      <c r="FB3" s="62" t="s">
        <v>156</v>
      </c>
      <c r="FC3" s="62" t="s">
        <v>157</v>
      </c>
      <c r="FD3" s="62" t="s">
        <v>158</v>
      </c>
    </row>
    <row r="4" spans="1:160">
      <c r="A4" s="103" t="s">
        <v>408</v>
      </c>
      <c r="B4" s="22" t="s">
        <v>159</v>
      </c>
      <c r="C4" s="63"/>
      <c r="G4" s="51" t="str">
        <f>IF(B4&lt;&gt;"&gt;",B4,"")&amp;C4&amp;D4&amp;E4&amp;F4</f>
        <v>M0. Kick off - Benchmarking and project requirement analysis</v>
      </c>
      <c r="H4" s="51" t="s">
        <v>2</v>
      </c>
      <c r="I4" s="64">
        <f ca="1">IF(SUM(I5:INDIRECT("I"&amp;$O4))=0,"",MIN(I5:INDIRECT("I"&amp;$O4)))</f>
        <v>44470</v>
      </c>
      <c r="J4" s="64">
        <f ca="1">IF(SUM(J5:INDIRECT("J"&amp;$O4))=0,"",MAX(J5:INDIRECT("J"&amp;$O4)))</f>
        <v>44924</v>
      </c>
      <c r="K4" s="64">
        <f ca="1">IF(SUM(K5:INDIRECT("K"&amp;$O4))=0,"",MIN(K5:INDIRECT("K"&amp;$O4)))</f>
        <v>44471</v>
      </c>
      <c r="L4" s="64">
        <f ca="1">IF(SUM(L5:INDIRECT("L"&amp;$O4))=0,"",MAX(L5:INDIRECT("L"&amp;$O4)))</f>
        <v>44581</v>
      </c>
      <c r="M4" s="64">
        <f ca="1">IF(N4,TODAY(),IF(SUM(M5:INDIRECT("M"&amp;$O4))=0,"",MAX(M5:INDIRECT("M"&amp;$O4))))</f>
        <v>44588</v>
      </c>
      <c r="N4" s="64" t="b">
        <f ca="1">OR(N5:INDIRECT("N"&amp;O4))</f>
        <v>0</v>
      </c>
      <c r="O4" s="65">
        <f>ROW()+COUNTA(N5:N7)</f>
        <v>7</v>
      </c>
      <c r="P4" s="66">
        <f>AVERAGE(P5:P7)</f>
        <v>1</v>
      </c>
      <c r="Q4" s="67">
        <v>0.01</v>
      </c>
      <c r="R4" s="51" t="s">
        <v>2</v>
      </c>
      <c r="S4" s="68"/>
      <c r="T4" s="69" t="s">
        <v>160</v>
      </c>
      <c r="U4" s="69" t="s">
        <v>160</v>
      </c>
      <c r="V4" s="69" t="s">
        <v>160</v>
      </c>
      <c r="W4" s="69" t="s">
        <v>160</v>
      </c>
      <c r="X4" s="69" t="s">
        <v>160</v>
      </c>
      <c r="Y4" s="69" t="s">
        <v>160</v>
      </c>
      <c r="Z4" s="69" t="s">
        <v>160</v>
      </c>
      <c r="AA4" s="69" t="s">
        <v>160</v>
      </c>
      <c r="AB4" s="69" t="s">
        <v>160</v>
      </c>
      <c r="AC4" s="69" t="s">
        <v>160</v>
      </c>
      <c r="AD4" s="69" t="s">
        <v>160</v>
      </c>
      <c r="AE4" s="69" t="s">
        <v>160</v>
      </c>
      <c r="AF4" s="69" t="s">
        <v>160</v>
      </c>
      <c r="AG4" s="69" t="s">
        <v>160</v>
      </c>
      <c r="AH4" s="69" t="s">
        <v>160</v>
      </c>
      <c r="AI4" s="69" t="s">
        <v>160</v>
      </c>
      <c r="AJ4" s="69" t="s">
        <v>160</v>
      </c>
      <c r="AK4" s="69" t="s">
        <v>160</v>
      </c>
      <c r="AL4" s="69" t="s">
        <v>160</v>
      </c>
      <c r="AM4" s="69" t="s">
        <v>160</v>
      </c>
      <c r="AN4" s="69" t="s">
        <v>160</v>
      </c>
      <c r="AO4" s="69" t="s">
        <v>160</v>
      </c>
      <c r="AP4" s="69" t="s">
        <v>160</v>
      </c>
      <c r="AQ4" s="69" t="s">
        <v>160</v>
      </c>
      <c r="AR4" s="69" t="s">
        <v>160</v>
      </c>
      <c r="AS4" s="69" t="s">
        <v>160</v>
      </c>
      <c r="AT4" s="69" t="s">
        <v>160</v>
      </c>
      <c r="AU4" s="69" t="s">
        <v>160</v>
      </c>
      <c r="AV4" s="69" t="s">
        <v>160</v>
      </c>
      <c r="AW4" s="69" t="s">
        <v>160</v>
      </c>
      <c r="AX4" s="69" t="s">
        <v>160</v>
      </c>
      <c r="AY4" s="69" t="s">
        <v>160</v>
      </c>
      <c r="AZ4" s="69" t="s">
        <v>160</v>
      </c>
      <c r="BA4" s="69" t="s">
        <v>160</v>
      </c>
      <c r="BB4" s="69" t="s">
        <v>160</v>
      </c>
      <c r="BC4" s="69" t="s">
        <v>160</v>
      </c>
      <c r="BD4" s="69" t="s">
        <v>160</v>
      </c>
      <c r="BE4" s="69" t="s">
        <v>160</v>
      </c>
      <c r="BF4" s="69" t="s">
        <v>160</v>
      </c>
      <c r="BG4" s="69" t="s">
        <v>160</v>
      </c>
      <c r="BH4" s="69" t="s">
        <v>160</v>
      </c>
      <c r="BI4" s="69" t="s">
        <v>160</v>
      </c>
      <c r="BJ4" s="69" t="s">
        <v>160</v>
      </c>
      <c r="BK4" s="69" t="s">
        <v>160</v>
      </c>
      <c r="BL4" s="69" t="s">
        <v>160</v>
      </c>
      <c r="BM4" s="69" t="s">
        <v>160</v>
      </c>
      <c r="BN4" s="69" t="s">
        <v>160</v>
      </c>
      <c r="BO4" s="69" t="s">
        <v>160</v>
      </c>
      <c r="BP4" s="69" t="s">
        <v>160</v>
      </c>
      <c r="BQ4" s="69" t="s">
        <v>160</v>
      </c>
      <c r="BR4" s="69" t="s">
        <v>160</v>
      </c>
      <c r="BS4" s="69" t="s">
        <v>160</v>
      </c>
      <c r="BT4" s="69" t="s">
        <v>160</v>
      </c>
      <c r="BU4" s="69" t="s">
        <v>160</v>
      </c>
      <c r="BV4" s="69" t="s">
        <v>160</v>
      </c>
      <c r="BW4" s="69" t="s">
        <v>160</v>
      </c>
      <c r="BX4" s="69" t="s">
        <v>160</v>
      </c>
      <c r="BY4" s="69" t="s">
        <v>160</v>
      </c>
      <c r="BZ4" s="69" t="s">
        <v>160</v>
      </c>
      <c r="CA4" s="69" t="s">
        <v>160</v>
      </c>
      <c r="CB4" s="69" t="s">
        <v>160</v>
      </c>
      <c r="CC4" s="69" t="s">
        <v>160</v>
      </c>
      <c r="CD4" s="69" t="s">
        <v>160</v>
      </c>
      <c r="CE4" s="69" t="s">
        <v>160</v>
      </c>
      <c r="CF4" s="69" t="s">
        <v>160</v>
      </c>
      <c r="CG4" s="69" t="s">
        <v>160</v>
      </c>
      <c r="CH4" s="69" t="s">
        <v>160</v>
      </c>
      <c r="CI4" s="69" t="s">
        <v>160</v>
      </c>
      <c r="CJ4" s="69" t="s">
        <v>160</v>
      </c>
      <c r="CK4" s="69" t="s">
        <v>160</v>
      </c>
      <c r="CL4" s="69" t="s">
        <v>160</v>
      </c>
      <c r="CM4" s="69" t="s">
        <v>160</v>
      </c>
      <c r="CN4" s="69" t="s">
        <v>160</v>
      </c>
      <c r="CO4" s="69" t="s">
        <v>160</v>
      </c>
      <c r="CP4" s="69" t="s">
        <v>160</v>
      </c>
      <c r="CQ4" s="69" t="s">
        <v>160</v>
      </c>
      <c r="CR4" s="69" t="s">
        <v>160</v>
      </c>
      <c r="CS4" s="69" t="s">
        <v>160</v>
      </c>
      <c r="CT4" s="69" t="s">
        <v>160</v>
      </c>
      <c r="CU4" s="69" t="s">
        <v>160</v>
      </c>
      <c r="CV4" s="69" t="s">
        <v>160</v>
      </c>
      <c r="CW4" s="69" t="s">
        <v>160</v>
      </c>
      <c r="CX4" s="69" t="s">
        <v>160</v>
      </c>
      <c r="CY4" s="69" t="s">
        <v>160</v>
      </c>
      <c r="CZ4" s="69" t="s">
        <v>160</v>
      </c>
      <c r="DA4" s="69" t="s">
        <v>160</v>
      </c>
      <c r="DB4" s="69" t="s">
        <v>160</v>
      </c>
      <c r="DC4" s="69" t="s">
        <v>160</v>
      </c>
      <c r="DD4" s="69" t="s">
        <v>160</v>
      </c>
      <c r="DE4" s="69" t="s">
        <v>160</v>
      </c>
      <c r="DF4" s="69" t="s">
        <v>160</v>
      </c>
      <c r="DG4" s="69" t="s">
        <v>160</v>
      </c>
      <c r="DH4" s="69" t="s">
        <v>160</v>
      </c>
      <c r="DI4" s="69" t="s">
        <v>160</v>
      </c>
      <c r="DJ4" s="69" t="s">
        <v>160</v>
      </c>
      <c r="DK4" s="69" t="s">
        <v>160</v>
      </c>
      <c r="DL4" s="69" t="s">
        <v>160</v>
      </c>
      <c r="DM4" s="69" t="s">
        <v>160</v>
      </c>
      <c r="DN4" s="69" t="s">
        <v>160</v>
      </c>
      <c r="DO4" s="69" t="s">
        <v>160</v>
      </c>
      <c r="DP4" s="69" t="s">
        <v>160</v>
      </c>
      <c r="DQ4" s="69" t="s">
        <v>160</v>
      </c>
      <c r="DR4" s="69" t="s">
        <v>160</v>
      </c>
      <c r="DS4" s="69" t="s">
        <v>160</v>
      </c>
      <c r="DT4" s="69" t="s">
        <v>160</v>
      </c>
      <c r="DU4" s="69" t="s">
        <v>160</v>
      </c>
      <c r="DV4" s="69" t="s">
        <v>160</v>
      </c>
      <c r="DW4" s="69" t="s">
        <v>160</v>
      </c>
      <c r="DX4" s="69" t="s">
        <v>160</v>
      </c>
      <c r="DY4" s="69" t="s">
        <v>160</v>
      </c>
      <c r="DZ4" s="69" t="s">
        <v>160</v>
      </c>
      <c r="EA4" s="69" t="s">
        <v>160</v>
      </c>
      <c r="EB4" s="69" t="s">
        <v>160</v>
      </c>
      <c r="EC4" s="69" t="s">
        <v>160</v>
      </c>
      <c r="ED4" s="69" t="s">
        <v>160</v>
      </c>
      <c r="EE4" s="69" t="s">
        <v>160</v>
      </c>
      <c r="EF4" s="69" t="s">
        <v>160</v>
      </c>
      <c r="EG4" s="69" t="s">
        <v>160</v>
      </c>
      <c r="EH4" s="69" t="s">
        <v>160</v>
      </c>
      <c r="EI4" s="69" t="s">
        <v>160</v>
      </c>
      <c r="EJ4" s="69" t="s">
        <v>160</v>
      </c>
      <c r="EK4" s="69" t="s">
        <v>160</v>
      </c>
      <c r="EL4" s="69" t="s">
        <v>160</v>
      </c>
      <c r="EM4" s="69" t="s">
        <v>160</v>
      </c>
      <c r="EN4" s="69" t="s">
        <v>160</v>
      </c>
      <c r="EO4" s="69" t="s">
        <v>160</v>
      </c>
      <c r="EP4" s="69" t="s">
        <v>160</v>
      </c>
      <c r="EQ4" s="69" t="s">
        <v>160</v>
      </c>
      <c r="ER4" s="69" t="s">
        <v>160</v>
      </c>
      <c r="ES4" s="69" t="s">
        <v>160</v>
      </c>
      <c r="ET4" s="69" t="s">
        <v>160</v>
      </c>
      <c r="EU4" s="69" t="s">
        <v>160</v>
      </c>
      <c r="EV4" s="69" t="s">
        <v>160</v>
      </c>
      <c r="EW4" s="69" t="s">
        <v>160</v>
      </c>
      <c r="EX4" s="69" t="s">
        <v>160</v>
      </c>
      <c r="EY4" s="69" t="s">
        <v>160</v>
      </c>
      <c r="EZ4" s="69" t="s">
        <v>160</v>
      </c>
      <c r="FA4" s="69" t="s">
        <v>160</v>
      </c>
      <c r="FB4" s="69" t="s">
        <v>160</v>
      </c>
      <c r="FC4" s="69" t="s">
        <v>160</v>
      </c>
      <c r="FD4" s="69" t="s">
        <v>160</v>
      </c>
    </row>
    <row r="5" spans="1:160">
      <c r="A5" s="103" t="s">
        <v>409</v>
      </c>
      <c r="C5" s="63" t="s">
        <v>161</v>
      </c>
      <c r="G5" s="51" t="str">
        <f t="shared" ref="G5:G68" si="0">IF(B5&lt;&gt;"&gt;",B5,"")&amp;C5&amp;D5&amp;E5&amp;F5</f>
        <v>Conducting Platform Benchmarking Analysis, Green Nudges frameworks, Data standards, Gateways and Sensor recommendations</v>
      </c>
      <c r="H5" s="51" t="s">
        <v>2</v>
      </c>
      <c r="I5" s="64"/>
      <c r="J5" s="64"/>
      <c r="K5" s="64"/>
      <c r="L5" s="64"/>
      <c r="M5" s="64"/>
      <c r="N5" s="64" t="b">
        <f>ISNUMBER(SEARCH("*Waiting*",M5))</f>
        <v>0</v>
      </c>
      <c r="O5" s="64"/>
      <c r="R5" s="51" t="s">
        <v>2</v>
      </c>
      <c r="S5" s="68" t="s">
        <v>160</v>
      </c>
      <c r="T5" s="69" t="s">
        <v>160</v>
      </c>
      <c r="U5" s="69" t="s">
        <v>160</v>
      </c>
      <c r="V5" s="69" t="s">
        <v>160</v>
      </c>
      <c r="W5" s="69" t="s">
        <v>160</v>
      </c>
      <c r="X5" s="69" t="s">
        <v>160</v>
      </c>
      <c r="Y5" s="69" t="s">
        <v>160</v>
      </c>
      <c r="Z5" s="69" t="s">
        <v>160</v>
      </c>
      <c r="AA5" s="69" t="s">
        <v>160</v>
      </c>
      <c r="AB5" s="69" t="s">
        <v>160</v>
      </c>
      <c r="AC5" s="69" t="s">
        <v>160</v>
      </c>
      <c r="AD5" s="69" t="s">
        <v>160</v>
      </c>
      <c r="AE5" s="69" t="s">
        <v>160</v>
      </c>
      <c r="AF5" s="69" t="s">
        <v>160</v>
      </c>
      <c r="AG5" s="69" t="s">
        <v>160</v>
      </c>
      <c r="AH5" s="69" t="s">
        <v>160</v>
      </c>
      <c r="AI5" s="69" t="s">
        <v>160</v>
      </c>
      <c r="AJ5" s="69" t="s">
        <v>160</v>
      </c>
      <c r="AK5" s="69" t="s">
        <v>160</v>
      </c>
      <c r="AL5" s="69" t="s">
        <v>160</v>
      </c>
      <c r="AM5" s="69" t="s">
        <v>160</v>
      </c>
      <c r="AN5" s="69" t="s">
        <v>160</v>
      </c>
      <c r="AO5" s="69" t="s">
        <v>160</v>
      </c>
      <c r="AP5" s="69" t="s">
        <v>160</v>
      </c>
      <c r="AQ5" s="69" t="s">
        <v>160</v>
      </c>
      <c r="AR5" s="69" t="s">
        <v>160</v>
      </c>
      <c r="AS5" s="69" t="s">
        <v>160</v>
      </c>
      <c r="AT5" s="69" t="s">
        <v>160</v>
      </c>
      <c r="AU5" s="69" t="s">
        <v>160</v>
      </c>
      <c r="AV5" s="69" t="s">
        <v>160</v>
      </c>
      <c r="AW5" s="69" t="s">
        <v>160</v>
      </c>
      <c r="AX5" s="69" t="s">
        <v>160</v>
      </c>
      <c r="AY5" s="69" t="s">
        <v>160</v>
      </c>
      <c r="AZ5" s="69" t="s">
        <v>160</v>
      </c>
      <c r="BA5" s="69" t="s">
        <v>160</v>
      </c>
      <c r="BB5" s="69" t="s">
        <v>160</v>
      </c>
      <c r="BC5" s="69" t="s">
        <v>160</v>
      </c>
      <c r="BD5" s="69" t="s">
        <v>160</v>
      </c>
      <c r="BE5" s="69" t="s">
        <v>160</v>
      </c>
      <c r="BF5" s="69" t="s">
        <v>160</v>
      </c>
      <c r="BG5" s="69" t="s">
        <v>160</v>
      </c>
      <c r="BH5" s="69" t="s">
        <v>160</v>
      </c>
      <c r="BI5" s="69" t="s">
        <v>160</v>
      </c>
      <c r="BJ5" s="69" t="s">
        <v>160</v>
      </c>
      <c r="BK5" s="69" t="s">
        <v>160</v>
      </c>
      <c r="BL5" s="69" t="s">
        <v>160</v>
      </c>
      <c r="BM5" s="69" t="s">
        <v>160</v>
      </c>
      <c r="BN5" s="69" t="s">
        <v>160</v>
      </c>
      <c r="BO5" s="69" t="s">
        <v>160</v>
      </c>
      <c r="BP5" s="69" t="s">
        <v>160</v>
      </c>
      <c r="BQ5" s="69" t="s">
        <v>160</v>
      </c>
      <c r="BR5" s="69" t="s">
        <v>160</v>
      </c>
      <c r="BS5" s="69" t="s">
        <v>160</v>
      </c>
      <c r="BT5" s="69" t="s">
        <v>160</v>
      </c>
      <c r="BU5" s="69" t="s">
        <v>160</v>
      </c>
      <c r="BV5" s="69" t="s">
        <v>160</v>
      </c>
      <c r="BW5" s="69" t="s">
        <v>160</v>
      </c>
      <c r="BX5" s="69" t="s">
        <v>160</v>
      </c>
      <c r="BY5" s="69" t="s">
        <v>160</v>
      </c>
      <c r="BZ5" s="69" t="s">
        <v>160</v>
      </c>
      <c r="CA5" s="69" t="s">
        <v>160</v>
      </c>
      <c r="CB5" s="69" t="s">
        <v>160</v>
      </c>
      <c r="CC5" s="69" t="s">
        <v>160</v>
      </c>
      <c r="CD5" s="69" t="s">
        <v>160</v>
      </c>
      <c r="CE5" s="69" t="s">
        <v>160</v>
      </c>
      <c r="CF5" s="69" t="s">
        <v>160</v>
      </c>
      <c r="CG5" s="69" t="s">
        <v>160</v>
      </c>
      <c r="CH5" s="69" t="s">
        <v>160</v>
      </c>
      <c r="CI5" s="69" t="s">
        <v>160</v>
      </c>
      <c r="CJ5" s="69" t="s">
        <v>160</v>
      </c>
      <c r="CK5" s="69" t="s">
        <v>160</v>
      </c>
      <c r="CL5" s="69" t="s">
        <v>160</v>
      </c>
      <c r="CM5" s="69" t="s">
        <v>160</v>
      </c>
      <c r="CN5" s="69" t="s">
        <v>160</v>
      </c>
      <c r="CO5" s="69" t="s">
        <v>160</v>
      </c>
      <c r="CP5" s="69" t="s">
        <v>160</v>
      </c>
      <c r="CQ5" s="69" t="s">
        <v>160</v>
      </c>
      <c r="CR5" s="69" t="s">
        <v>160</v>
      </c>
      <c r="CS5" s="69" t="s">
        <v>160</v>
      </c>
      <c r="CT5" s="69" t="s">
        <v>160</v>
      </c>
      <c r="CU5" s="69" t="s">
        <v>160</v>
      </c>
      <c r="CV5" s="69" t="s">
        <v>160</v>
      </c>
      <c r="CW5" s="69" t="s">
        <v>160</v>
      </c>
      <c r="CX5" s="69" t="s">
        <v>160</v>
      </c>
      <c r="CY5" s="69" t="s">
        <v>160</v>
      </c>
      <c r="CZ5" s="69" t="s">
        <v>160</v>
      </c>
      <c r="DA5" s="69" t="s">
        <v>160</v>
      </c>
      <c r="DB5" s="69" t="s">
        <v>160</v>
      </c>
      <c r="DC5" s="69" t="s">
        <v>160</v>
      </c>
      <c r="DD5" s="69" t="s">
        <v>160</v>
      </c>
      <c r="DE5" s="69" t="s">
        <v>160</v>
      </c>
      <c r="DF5" s="69" t="s">
        <v>160</v>
      </c>
      <c r="DG5" s="69" t="s">
        <v>160</v>
      </c>
      <c r="DH5" s="69" t="s">
        <v>160</v>
      </c>
      <c r="DI5" s="69" t="s">
        <v>160</v>
      </c>
      <c r="DJ5" s="69" t="s">
        <v>160</v>
      </c>
      <c r="DK5" s="69" t="s">
        <v>160</v>
      </c>
      <c r="DL5" s="69" t="s">
        <v>160</v>
      </c>
      <c r="DM5" s="69" t="s">
        <v>160</v>
      </c>
      <c r="DN5" s="69" t="s">
        <v>160</v>
      </c>
      <c r="DO5" s="69" t="s">
        <v>160</v>
      </c>
      <c r="DP5" s="69" t="s">
        <v>160</v>
      </c>
      <c r="DQ5" s="69" t="s">
        <v>160</v>
      </c>
      <c r="DR5" s="69" t="s">
        <v>160</v>
      </c>
      <c r="DS5" s="69" t="s">
        <v>160</v>
      </c>
      <c r="DT5" s="69" t="s">
        <v>160</v>
      </c>
      <c r="DU5" s="69" t="s">
        <v>160</v>
      </c>
      <c r="DV5" s="69" t="s">
        <v>160</v>
      </c>
      <c r="DW5" s="69" t="s">
        <v>160</v>
      </c>
      <c r="DX5" s="69" t="s">
        <v>160</v>
      </c>
      <c r="DY5" s="69" t="s">
        <v>160</v>
      </c>
      <c r="DZ5" s="69" t="s">
        <v>160</v>
      </c>
      <c r="EA5" s="69" t="s">
        <v>160</v>
      </c>
      <c r="EB5" s="69" t="s">
        <v>160</v>
      </c>
      <c r="EC5" s="69" t="s">
        <v>160</v>
      </c>
      <c r="ED5" s="69" t="s">
        <v>160</v>
      </c>
      <c r="EE5" s="69" t="s">
        <v>160</v>
      </c>
      <c r="EF5" s="69" t="s">
        <v>160</v>
      </c>
      <c r="EG5" s="69" t="s">
        <v>160</v>
      </c>
      <c r="EH5" s="69" t="s">
        <v>160</v>
      </c>
      <c r="EI5" s="69" t="s">
        <v>160</v>
      </c>
      <c r="EJ5" s="69" t="s">
        <v>160</v>
      </c>
      <c r="EK5" s="69" t="s">
        <v>160</v>
      </c>
      <c r="EL5" s="69" t="s">
        <v>160</v>
      </c>
      <c r="EM5" s="69" t="s">
        <v>160</v>
      </c>
      <c r="EN5" s="69" t="s">
        <v>160</v>
      </c>
      <c r="EO5" s="69" t="s">
        <v>160</v>
      </c>
      <c r="EP5" s="69" t="s">
        <v>160</v>
      </c>
      <c r="EQ5" s="69" t="s">
        <v>160</v>
      </c>
      <c r="ER5" s="69" t="s">
        <v>160</v>
      </c>
      <c r="ES5" s="69" t="s">
        <v>160</v>
      </c>
      <c r="ET5" s="69" t="s">
        <v>160</v>
      </c>
      <c r="EU5" s="69" t="s">
        <v>160</v>
      </c>
      <c r="EV5" s="69" t="s">
        <v>160</v>
      </c>
      <c r="EW5" s="69" t="s">
        <v>160</v>
      </c>
      <c r="EX5" s="69" t="s">
        <v>160</v>
      </c>
      <c r="EY5" s="69" t="s">
        <v>160</v>
      </c>
      <c r="EZ5" s="69" t="s">
        <v>160</v>
      </c>
      <c r="FA5" s="69" t="s">
        <v>160</v>
      </c>
      <c r="FB5" s="69" t="s">
        <v>160</v>
      </c>
      <c r="FC5" s="69" t="s">
        <v>160</v>
      </c>
      <c r="FD5" s="69" t="s">
        <v>160</v>
      </c>
    </row>
    <row r="6" spans="1:160">
      <c r="A6" s="103" t="s">
        <v>410</v>
      </c>
      <c r="C6" s="63" t="s">
        <v>162</v>
      </c>
      <c r="G6" s="51" t="str">
        <f t="shared" si="0"/>
        <v>Note : This has to be quantitatively differentiated atleast by end of 1st year after completion of tests by NTU team.</v>
      </c>
      <c r="H6" s="51" t="s">
        <v>2</v>
      </c>
      <c r="I6" s="64"/>
      <c r="J6" s="64"/>
      <c r="K6" s="64"/>
      <c r="L6" s="64"/>
      <c r="M6" s="64"/>
      <c r="N6" s="64" t="b">
        <f t="shared" ref="N6:N7" si="1">ISNUMBER(SEARCH("*Waiting*",M6))</f>
        <v>0</v>
      </c>
      <c r="O6" s="64"/>
      <c r="R6" s="51" t="s">
        <v>2</v>
      </c>
      <c r="S6" s="68" t="s">
        <v>160</v>
      </c>
      <c r="T6" s="69" t="s">
        <v>160</v>
      </c>
      <c r="U6" s="69" t="s">
        <v>160</v>
      </c>
      <c r="V6" s="69" t="s">
        <v>160</v>
      </c>
      <c r="W6" s="69" t="s">
        <v>160</v>
      </c>
      <c r="X6" s="69" t="s">
        <v>160</v>
      </c>
      <c r="Y6" s="69" t="s">
        <v>160</v>
      </c>
      <c r="Z6" s="69" t="s">
        <v>160</v>
      </c>
      <c r="AA6" s="69" t="s">
        <v>160</v>
      </c>
      <c r="AB6" s="69" t="s">
        <v>160</v>
      </c>
      <c r="AC6" s="69" t="s">
        <v>160</v>
      </c>
      <c r="AD6" s="69" t="s">
        <v>160</v>
      </c>
      <c r="AE6" s="69" t="s">
        <v>160</v>
      </c>
      <c r="AF6" s="69" t="s">
        <v>160</v>
      </c>
      <c r="AG6" s="69" t="s">
        <v>160</v>
      </c>
      <c r="AH6" s="69" t="s">
        <v>160</v>
      </c>
      <c r="AI6" s="69" t="s">
        <v>160</v>
      </c>
      <c r="AJ6" s="69" t="s">
        <v>160</v>
      </c>
      <c r="AK6" s="69" t="s">
        <v>160</v>
      </c>
      <c r="AL6" s="69" t="s">
        <v>160</v>
      </c>
      <c r="AM6" s="69" t="s">
        <v>160</v>
      </c>
      <c r="AN6" s="69" t="s">
        <v>160</v>
      </c>
      <c r="AO6" s="69" t="s">
        <v>160</v>
      </c>
      <c r="AP6" s="69" t="s">
        <v>160</v>
      </c>
      <c r="AQ6" s="69" t="s">
        <v>160</v>
      </c>
      <c r="AR6" s="69" t="s">
        <v>160</v>
      </c>
      <c r="AS6" s="69" t="s">
        <v>160</v>
      </c>
      <c r="AT6" s="69" t="s">
        <v>160</v>
      </c>
      <c r="AU6" s="69" t="s">
        <v>160</v>
      </c>
      <c r="AV6" s="69" t="s">
        <v>160</v>
      </c>
      <c r="AW6" s="69" t="s">
        <v>160</v>
      </c>
      <c r="AX6" s="69" t="s">
        <v>160</v>
      </c>
      <c r="AY6" s="69" t="s">
        <v>160</v>
      </c>
      <c r="AZ6" s="69" t="s">
        <v>160</v>
      </c>
      <c r="BA6" s="69" t="s">
        <v>160</v>
      </c>
      <c r="BB6" s="69" t="s">
        <v>160</v>
      </c>
      <c r="BC6" s="69" t="s">
        <v>160</v>
      </c>
      <c r="BD6" s="69" t="s">
        <v>160</v>
      </c>
      <c r="BE6" s="69" t="s">
        <v>160</v>
      </c>
      <c r="BF6" s="69" t="s">
        <v>160</v>
      </c>
      <c r="BG6" s="69" t="s">
        <v>160</v>
      </c>
      <c r="BH6" s="69" t="s">
        <v>160</v>
      </c>
      <c r="BI6" s="69" t="s">
        <v>160</v>
      </c>
      <c r="BJ6" s="69" t="s">
        <v>160</v>
      </c>
      <c r="BK6" s="69" t="s">
        <v>160</v>
      </c>
      <c r="BL6" s="69" t="s">
        <v>160</v>
      </c>
      <c r="BM6" s="69" t="s">
        <v>160</v>
      </c>
      <c r="BN6" s="69" t="s">
        <v>160</v>
      </c>
      <c r="BO6" s="69" t="s">
        <v>160</v>
      </c>
      <c r="BP6" s="69" t="s">
        <v>160</v>
      </c>
      <c r="BQ6" s="69" t="s">
        <v>160</v>
      </c>
      <c r="BR6" s="69" t="s">
        <v>160</v>
      </c>
      <c r="BS6" s="69" t="s">
        <v>160</v>
      </c>
      <c r="BT6" s="69" t="s">
        <v>160</v>
      </c>
      <c r="BU6" s="69" t="s">
        <v>160</v>
      </c>
      <c r="BV6" s="69" t="s">
        <v>160</v>
      </c>
      <c r="BW6" s="69" t="s">
        <v>160</v>
      </c>
      <c r="BX6" s="69" t="s">
        <v>160</v>
      </c>
      <c r="BY6" s="69" t="s">
        <v>160</v>
      </c>
      <c r="BZ6" s="69" t="s">
        <v>160</v>
      </c>
      <c r="CA6" s="69" t="s">
        <v>160</v>
      </c>
      <c r="CB6" s="69" t="s">
        <v>160</v>
      </c>
      <c r="CC6" s="69" t="s">
        <v>160</v>
      </c>
      <c r="CD6" s="69" t="s">
        <v>160</v>
      </c>
      <c r="CE6" s="69" t="s">
        <v>160</v>
      </c>
      <c r="CF6" s="69" t="s">
        <v>160</v>
      </c>
      <c r="CG6" s="69" t="s">
        <v>160</v>
      </c>
      <c r="CH6" s="69" t="s">
        <v>160</v>
      </c>
      <c r="CI6" s="69" t="s">
        <v>160</v>
      </c>
      <c r="CJ6" s="69" t="s">
        <v>160</v>
      </c>
      <c r="CK6" s="69" t="s">
        <v>160</v>
      </c>
      <c r="CL6" s="69" t="s">
        <v>160</v>
      </c>
      <c r="CM6" s="69" t="s">
        <v>160</v>
      </c>
      <c r="CN6" s="69" t="s">
        <v>160</v>
      </c>
      <c r="CO6" s="69" t="s">
        <v>160</v>
      </c>
      <c r="CP6" s="69" t="s">
        <v>160</v>
      </c>
      <c r="CQ6" s="69" t="s">
        <v>160</v>
      </c>
      <c r="CR6" s="69" t="s">
        <v>160</v>
      </c>
      <c r="CS6" s="69" t="s">
        <v>160</v>
      </c>
      <c r="CT6" s="69" t="s">
        <v>160</v>
      </c>
      <c r="CU6" s="69" t="s">
        <v>160</v>
      </c>
      <c r="CV6" s="69" t="s">
        <v>160</v>
      </c>
      <c r="CW6" s="69" t="s">
        <v>160</v>
      </c>
      <c r="CX6" s="69" t="s">
        <v>160</v>
      </c>
      <c r="CY6" s="69" t="s">
        <v>160</v>
      </c>
      <c r="CZ6" s="69" t="s">
        <v>160</v>
      </c>
      <c r="DA6" s="69" t="s">
        <v>160</v>
      </c>
      <c r="DB6" s="69" t="s">
        <v>160</v>
      </c>
      <c r="DC6" s="69" t="s">
        <v>160</v>
      </c>
      <c r="DD6" s="69" t="s">
        <v>160</v>
      </c>
      <c r="DE6" s="69" t="s">
        <v>160</v>
      </c>
      <c r="DF6" s="69" t="s">
        <v>160</v>
      </c>
      <c r="DG6" s="69" t="s">
        <v>160</v>
      </c>
      <c r="DH6" s="69" t="s">
        <v>160</v>
      </c>
      <c r="DI6" s="69" t="s">
        <v>160</v>
      </c>
      <c r="DJ6" s="69" t="s">
        <v>160</v>
      </c>
      <c r="DK6" s="69" t="s">
        <v>160</v>
      </c>
      <c r="DL6" s="69" t="s">
        <v>160</v>
      </c>
      <c r="DM6" s="69" t="s">
        <v>160</v>
      </c>
      <c r="DN6" s="69" t="s">
        <v>160</v>
      </c>
      <c r="DO6" s="69" t="s">
        <v>160</v>
      </c>
      <c r="DP6" s="69" t="s">
        <v>160</v>
      </c>
      <c r="DQ6" s="69" t="s">
        <v>160</v>
      </c>
      <c r="DR6" s="69" t="s">
        <v>160</v>
      </c>
      <c r="DS6" s="69" t="s">
        <v>160</v>
      </c>
      <c r="DT6" s="69" t="s">
        <v>160</v>
      </c>
      <c r="DU6" s="69" t="s">
        <v>160</v>
      </c>
      <c r="DV6" s="69" t="s">
        <v>160</v>
      </c>
      <c r="DW6" s="69" t="s">
        <v>160</v>
      </c>
      <c r="DX6" s="69" t="s">
        <v>160</v>
      </c>
      <c r="DY6" s="69" t="s">
        <v>160</v>
      </c>
      <c r="DZ6" s="69" t="s">
        <v>160</v>
      </c>
      <c r="EA6" s="69" t="s">
        <v>160</v>
      </c>
      <c r="EB6" s="69" t="s">
        <v>160</v>
      </c>
      <c r="EC6" s="69" t="s">
        <v>160</v>
      </c>
      <c r="ED6" s="69" t="s">
        <v>160</v>
      </c>
      <c r="EE6" s="69" t="s">
        <v>160</v>
      </c>
      <c r="EF6" s="69" t="s">
        <v>160</v>
      </c>
      <c r="EG6" s="69" t="s">
        <v>160</v>
      </c>
      <c r="EH6" s="69" t="s">
        <v>160</v>
      </c>
      <c r="EI6" s="69" t="s">
        <v>160</v>
      </c>
      <c r="EJ6" s="69" t="s">
        <v>160</v>
      </c>
      <c r="EK6" s="69" t="s">
        <v>160</v>
      </c>
      <c r="EL6" s="69" t="s">
        <v>160</v>
      </c>
      <c r="EM6" s="69" t="s">
        <v>160</v>
      </c>
      <c r="EN6" s="69" t="s">
        <v>160</v>
      </c>
      <c r="EO6" s="69" t="s">
        <v>160</v>
      </c>
      <c r="EP6" s="69" t="s">
        <v>160</v>
      </c>
      <c r="EQ6" s="69" t="s">
        <v>160</v>
      </c>
      <c r="ER6" s="69" t="s">
        <v>160</v>
      </c>
      <c r="ES6" s="69" t="s">
        <v>160</v>
      </c>
      <c r="ET6" s="69" t="s">
        <v>160</v>
      </c>
      <c r="EU6" s="69" t="s">
        <v>160</v>
      </c>
      <c r="EV6" s="69" t="s">
        <v>160</v>
      </c>
      <c r="EW6" s="69" t="s">
        <v>160</v>
      </c>
      <c r="EX6" s="69" t="s">
        <v>160</v>
      </c>
      <c r="EY6" s="69" t="s">
        <v>160</v>
      </c>
      <c r="EZ6" s="69" t="s">
        <v>160</v>
      </c>
      <c r="FA6" s="69" t="s">
        <v>160</v>
      </c>
      <c r="FB6" s="69" t="s">
        <v>160</v>
      </c>
      <c r="FC6" s="69" t="s">
        <v>160</v>
      </c>
      <c r="FD6" s="69" t="s">
        <v>160</v>
      </c>
    </row>
    <row r="7" spans="1:160" s="71" customFormat="1" ht="18.5" thickBot="1">
      <c r="A7" s="104" t="s">
        <v>411</v>
      </c>
      <c r="B7" s="106" t="s">
        <v>163</v>
      </c>
      <c r="C7" s="70" t="s">
        <v>373</v>
      </c>
      <c r="G7" s="71" t="str">
        <f t="shared" si="0"/>
        <v>Benchmark Report</v>
      </c>
      <c r="H7" s="71" t="s">
        <v>2</v>
      </c>
      <c r="I7" s="72">
        <v>44470</v>
      </c>
      <c r="J7" s="72">
        <v>44924</v>
      </c>
      <c r="K7" s="72">
        <v>44471</v>
      </c>
      <c r="L7" s="72">
        <v>44581</v>
      </c>
      <c r="M7" s="72">
        <v>44588</v>
      </c>
      <c r="N7" s="72" t="b">
        <f t="shared" si="1"/>
        <v>0</v>
      </c>
      <c r="O7" s="72"/>
      <c r="P7" s="73">
        <v>1</v>
      </c>
      <c r="Q7" s="73"/>
      <c r="R7" s="71" t="s">
        <v>2</v>
      </c>
      <c r="S7" s="74" t="s">
        <v>160</v>
      </c>
      <c r="T7" s="75" t="s">
        <v>160</v>
      </c>
      <c r="U7" s="75" t="s">
        <v>160</v>
      </c>
      <c r="V7" s="75" t="s">
        <v>160</v>
      </c>
      <c r="W7" s="75" t="s">
        <v>160</v>
      </c>
      <c r="X7" s="75" t="s">
        <v>160</v>
      </c>
      <c r="Y7" s="75" t="s">
        <v>160</v>
      </c>
      <c r="Z7" s="75" t="s">
        <v>160</v>
      </c>
      <c r="AA7" s="75" t="s">
        <v>160</v>
      </c>
      <c r="AB7" s="75" t="s">
        <v>160</v>
      </c>
      <c r="AC7" s="75" t="s">
        <v>160</v>
      </c>
      <c r="AD7" s="75" t="s">
        <v>160</v>
      </c>
      <c r="AE7" s="75" t="s">
        <v>160</v>
      </c>
      <c r="AF7" s="75" t="s">
        <v>160</v>
      </c>
      <c r="AG7" s="75" t="s">
        <v>160</v>
      </c>
      <c r="AH7" s="75" t="s">
        <v>160</v>
      </c>
      <c r="AI7" s="75" t="s">
        <v>160</v>
      </c>
      <c r="AJ7" s="75" t="s">
        <v>160</v>
      </c>
      <c r="AK7" s="75" t="s">
        <v>160</v>
      </c>
      <c r="AL7" s="75" t="s">
        <v>160</v>
      </c>
      <c r="AM7" s="75" t="s">
        <v>160</v>
      </c>
      <c r="AN7" s="75" t="s">
        <v>160</v>
      </c>
      <c r="AO7" s="75" t="s">
        <v>160</v>
      </c>
      <c r="AP7" s="75" t="s">
        <v>160</v>
      </c>
      <c r="AQ7" s="75" t="s">
        <v>160</v>
      </c>
      <c r="AR7" s="75" t="s">
        <v>160</v>
      </c>
      <c r="AS7" s="75" t="s">
        <v>160</v>
      </c>
      <c r="AT7" s="75" t="s">
        <v>160</v>
      </c>
      <c r="AU7" s="75" t="s">
        <v>160</v>
      </c>
      <c r="AV7" s="75" t="s">
        <v>160</v>
      </c>
      <c r="AW7" s="75" t="s">
        <v>160</v>
      </c>
      <c r="AX7" s="75" t="s">
        <v>160</v>
      </c>
      <c r="AY7" s="75" t="s">
        <v>160</v>
      </c>
      <c r="AZ7" s="75" t="s">
        <v>160</v>
      </c>
      <c r="BA7" s="75" t="s">
        <v>160</v>
      </c>
      <c r="BB7" s="75" t="s">
        <v>160</v>
      </c>
      <c r="BC7" s="75" t="s">
        <v>160</v>
      </c>
      <c r="BD7" s="75" t="s">
        <v>160</v>
      </c>
      <c r="BE7" s="75" t="s">
        <v>160</v>
      </c>
      <c r="BF7" s="75" t="s">
        <v>160</v>
      </c>
      <c r="BG7" s="75" t="s">
        <v>160</v>
      </c>
      <c r="BH7" s="75" t="s">
        <v>160</v>
      </c>
      <c r="BI7" s="75" t="s">
        <v>160</v>
      </c>
      <c r="BJ7" s="75" t="s">
        <v>160</v>
      </c>
      <c r="BK7" s="75" t="s">
        <v>160</v>
      </c>
      <c r="BL7" s="75" t="s">
        <v>160</v>
      </c>
      <c r="BM7" s="75" t="s">
        <v>160</v>
      </c>
      <c r="BN7" s="75" t="s">
        <v>160</v>
      </c>
      <c r="BO7" s="75" t="s">
        <v>160</v>
      </c>
      <c r="BP7" s="75" t="s">
        <v>160</v>
      </c>
      <c r="BQ7" s="75" t="s">
        <v>160</v>
      </c>
      <c r="BR7" s="75" t="s">
        <v>160</v>
      </c>
      <c r="BS7" s="75" t="s">
        <v>160</v>
      </c>
      <c r="BT7" s="75" t="s">
        <v>160</v>
      </c>
      <c r="BU7" s="75" t="s">
        <v>160</v>
      </c>
      <c r="BV7" s="75" t="s">
        <v>160</v>
      </c>
      <c r="BW7" s="75" t="s">
        <v>160</v>
      </c>
      <c r="BX7" s="75" t="s">
        <v>160</v>
      </c>
      <c r="BY7" s="75" t="s">
        <v>160</v>
      </c>
      <c r="BZ7" s="75" t="s">
        <v>160</v>
      </c>
      <c r="CA7" s="75" t="s">
        <v>160</v>
      </c>
      <c r="CB7" s="75" t="s">
        <v>160</v>
      </c>
      <c r="CC7" s="75" t="s">
        <v>160</v>
      </c>
      <c r="CD7" s="75" t="s">
        <v>160</v>
      </c>
      <c r="CE7" s="75" t="s">
        <v>160</v>
      </c>
      <c r="CF7" s="75" t="s">
        <v>160</v>
      </c>
      <c r="CG7" s="75" t="s">
        <v>160</v>
      </c>
      <c r="CH7" s="75" t="s">
        <v>160</v>
      </c>
      <c r="CI7" s="75" t="s">
        <v>160</v>
      </c>
      <c r="CJ7" s="75" t="s">
        <v>160</v>
      </c>
      <c r="CK7" s="75" t="s">
        <v>160</v>
      </c>
      <c r="CL7" s="75" t="s">
        <v>160</v>
      </c>
      <c r="CM7" s="75" t="s">
        <v>160</v>
      </c>
      <c r="CN7" s="75" t="s">
        <v>160</v>
      </c>
      <c r="CO7" s="75" t="s">
        <v>160</v>
      </c>
      <c r="CP7" s="75" t="s">
        <v>160</v>
      </c>
      <c r="CQ7" s="75" t="s">
        <v>160</v>
      </c>
      <c r="CR7" s="75" t="s">
        <v>160</v>
      </c>
      <c r="CS7" s="75" t="s">
        <v>160</v>
      </c>
      <c r="CT7" s="75" t="s">
        <v>160</v>
      </c>
      <c r="CU7" s="75" t="s">
        <v>160</v>
      </c>
      <c r="CV7" s="75" t="s">
        <v>160</v>
      </c>
      <c r="CW7" s="75" t="s">
        <v>160</v>
      </c>
      <c r="CX7" s="75" t="s">
        <v>160</v>
      </c>
      <c r="CY7" s="75" t="s">
        <v>160</v>
      </c>
      <c r="CZ7" s="75" t="s">
        <v>160</v>
      </c>
      <c r="DA7" s="75" t="s">
        <v>160</v>
      </c>
      <c r="DB7" s="75" t="s">
        <v>160</v>
      </c>
      <c r="DC7" s="75" t="s">
        <v>160</v>
      </c>
      <c r="DD7" s="75" t="s">
        <v>160</v>
      </c>
      <c r="DE7" s="75" t="s">
        <v>160</v>
      </c>
      <c r="DF7" s="75" t="s">
        <v>160</v>
      </c>
      <c r="DG7" s="75" t="s">
        <v>160</v>
      </c>
      <c r="DH7" s="75" t="s">
        <v>160</v>
      </c>
      <c r="DI7" s="75" t="s">
        <v>160</v>
      </c>
      <c r="DJ7" s="75" t="s">
        <v>160</v>
      </c>
      <c r="DK7" s="75" t="s">
        <v>160</v>
      </c>
      <c r="DL7" s="75" t="s">
        <v>160</v>
      </c>
      <c r="DM7" s="75" t="s">
        <v>160</v>
      </c>
      <c r="DN7" s="75" t="s">
        <v>160</v>
      </c>
      <c r="DO7" s="75" t="s">
        <v>160</v>
      </c>
      <c r="DP7" s="75" t="s">
        <v>160</v>
      </c>
      <c r="DQ7" s="75" t="s">
        <v>160</v>
      </c>
      <c r="DR7" s="75" t="s">
        <v>160</v>
      </c>
      <c r="DS7" s="75" t="s">
        <v>160</v>
      </c>
      <c r="DT7" s="75" t="s">
        <v>160</v>
      </c>
      <c r="DU7" s="75" t="s">
        <v>160</v>
      </c>
      <c r="DV7" s="75" t="s">
        <v>160</v>
      </c>
      <c r="DW7" s="75" t="s">
        <v>160</v>
      </c>
      <c r="DX7" s="75" t="s">
        <v>160</v>
      </c>
      <c r="DY7" s="75" t="s">
        <v>160</v>
      </c>
      <c r="DZ7" s="75" t="s">
        <v>160</v>
      </c>
      <c r="EA7" s="75" t="s">
        <v>160</v>
      </c>
      <c r="EB7" s="75" t="s">
        <v>160</v>
      </c>
      <c r="EC7" s="75" t="s">
        <v>160</v>
      </c>
      <c r="ED7" s="75" t="s">
        <v>160</v>
      </c>
      <c r="EE7" s="75" t="s">
        <v>160</v>
      </c>
      <c r="EF7" s="75" t="s">
        <v>160</v>
      </c>
      <c r="EG7" s="75" t="s">
        <v>160</v>
      </c>
      <c r="EH7" s="75" t="s">
        <v>160</v>
      </c>
      <c r="EI7" s="75" t="s">
        <v>160</v>
      </c>
      <c r="EJ7" s="75" t="s">
        <v>160</v>
      </c>
      <c r="EK7" s="75" t="s">
        <v>160</v>
      </c>
      <c r="EL7" s="75" t="s">
        <v>160</v>
      </c>
      <c r="EM7" s="75" t="s">
        <v>160</v>
      </c>
      <c r="EN7" s="75" t="s">
        <v>160</v>
      </c>
      <c r="EO7" s="75" t="s">
        <v>160</v>
      </c>
      <c r="EP7" s="75" t="s">
        <v>160</v>
      </c>
      <c r="EQ7" s="75" t="s">
        <v>160</v>
      </c>
      <c r="ER7" s="75" t="s">
        <v>160</v>
      </c>
      <c r="ES7" s="75" t="s">
        <v>160</v>
      </c>
      <c r="ET7" s="75" t="s">
        <v>160</v>
      </c>
      <c r="EU7" s="75" t="s">
        <v>160</v>
      </c>
      <c r="EV7" s="75" t="s">
        <v>160</v>
      </c>
      <c r="EW7" s="75" t="s">
        <v>160</v>
      </c>
      <c r="EX7" s="75" t="s">
        <v>160</v>
      </c>
      <c r="EY7" s="75" t="s">
        <v>160</v>
      </c>
      <c r="EZ7" s="75" t="s">
        <v>160</v>
      </c>
      <c r="FA7" s="75" t="s">
        <v>160</v>
      </c>
      <c r="FB7" s="75" t="s">
        <v>160</v>
      </c>
      <c r="FC7" s="75" t="s">
        <v>160</v>
      </c>
      <c r="FD7" s="75" t="s">
        <v>160</v>
      </c>
    </row>
    <row r="8" spans="1:160">
      <c r="A8" s="103" t="s">
        <v>413</v>
      </c>
      <c r="B8" s="21" t="s">
        <v>164</v>
      </c>
      <c r="C8" s="63"/>
      <c r="G8" s="51" t="str">
        <f t="shared" si="0"/>
        <v>M1. Functional Requirement Specification (Project Requirement Document)</v>
      </c>
      <c r="H8" s="51" t="s">
        <v>2</v>
      </c>
      <c r="I8" s="64">
        <f ca="1">IF(SUM(I9:INDIRECT("I"&amp;$O8))=0,"",MIN(I9:INDIRECT("I"&amp;$O8)))</f>
        <v>44560</v>
      </c>
      <c r="J8" s="64">
        <f ca="1">IF(SUM(J9:INDIRECT("J"&amp;$O8))=0,"",MAX(J9:INDIRECT("J"&amp;$O8)))</f>
        <v>45014</v>
      </c>
      <c r="K8" s="64">
        <f ca="1">IF(SUM(K9:INDIRECT("K"&amp;$O8))=0,"",MIN(K9:INDIRECT("K"&amp;$O8)))</f>
        <v>44560</v>
      </c>
      <c r="L8" s="64">
        <f ca="1">IF(SUM(L9:INDIRECT("L"&amp;$O8))=0,"",MAX(L9:INDIRECT("L"&amp;$O8)))</f>
        <v>44601</v>
      </c>
      <c r="M8" s="64">
        <f ca="1">IF(N8,TODAY(),IF(SUM(M9:INDIRECT("M"&amp;$O8))=0,"",MAX(M9:INDIRECT("M"&amp;$O8))))</f>
        <v>44973</v>
      </c>
      <c r="N8" s="64" t="b">
        <f ca="1">OR(N9:INDIRECT("N"&amp;O8))</f>
        <v>0</v>
      </c>
      <c r="O8" s="65">
        <f>ROW()+COUNTA(N9:N11)</f>
        <v>11</v>
      </c>
      <c r="P8" s="66">
        <f>AVERAGE(P9:P11)</f>
        <v>1</v>
      </c>
      <c r="Q8" s="67"/>
      <c r="R8" s="51" t="s">
        <v>2</v>
      </c>
      <c r="S8" s="68" t="s">
        <v>160</v>
      </c>
      <c r="T8" s="69" t="s">
        <v>160</v>
      </c>
      <c r="U8" s="69" t="s">
        <v>160</v>
      </c>
      <c r="V8" s="69" t="s">
        <v>160</v>
      </c>
      <c r="W8" s="69" t="s">
        <v>160</v>
      </c>
      <c r="X8" s="69" t="s">
        <v>160</v>
      </c>
      <c r="Y8" s="69" t="s">
        <v>160</v>
      </c>
      <c r="Z8" s="69" t="s">
        <v>160</v>
      </c>
      <c r="AA8" s="69" t="s">
        <v>160</v>
      </c>
      <c r="AB8" s="69" t="s">
        <v>160</v>
      </c>
      <c r="AC8" s="69" t="s">
        <v>160</v>
      </c>
      <c r="AD8" s="69" t="s">
        <v>160</v>
      </c>
      <c r="AE8" s="69" t="s">
        <v>160</v>
      </c>
      <c r="AF8" s="69" t="s">
        <v>160</v>
      </c>
      <c r="AG8" s="69" t="s">
        <v>160</v>
      </c>
      <c r="AH8" s="69" t="s">
        <v>160</v>
      </c>
      <c r="AI8" s="69" t="s">
        <v>160</v>
      </c>
      <c r="AJ8" s="69" t="s">
        <v>160</v>
      </c>
      <c r="AK8" s="69" t="s">
        <v>160</v>
      </c>
      <c r="AL8" s="69" t="s">
        <v>160</v>
      </c>
      <c r="AM8" s="69" t="s">
        <v>160</v>
      </c>
      <c r="AN8" s="69" t="s">
        <v>160</v>
      </c>
      <c r="AO8" s="69" t="s">
        <v>160</v>
      </c>
      <c r="AP8" s="69" t="s">
        <v>160</v>
      </c>
      <c r="AQ8" s="69" t="s">
        <v>160</v>
      </c>
      <c r="AR8" s="69" t="s">
        <v>160</v>
      </c>
      <c r="AS8" s="69" t="s">
        <v>160</v>
      </c>
      <c r="AT8" s="69" t="s">
        <v>160</v>
      </c>
      <c r="AU8" s="69" t="s">
        <v>160</v>
      </c>
      <c r="AV8" s="69" t="s">
        <v>160</v>
      </c>
      <c r="AW8" s="69" t="s">
        <v>160</v>
      </c>
      <c r="AX8" s="69" t="s">
        <v>160</v>
      </c>
      <c r="AY8" s="69" t="s">
        <v>160</v>
      </c>
      <c r="AZ8" s="69" t="s">
        <v>160</v>
      </c>
      <c r="BA8" s="69" t="s">
        <v>160</v>
      </c>
      <c r="BB8" s="69" t="s">
        <v>160</v>
      </c>
      <c r="BC8" s="69" t="s">
        <v>160</v>
      </c>
      <c r="BD8" s="69" t="s">
        <v>160</v>
      </c>
      <c r="BE8" s="69" t="s">
        <v>160</v>
      </c>
      <c r="BF8" s="69" t="s">
        <v>160</v>
      </c>
      <c r="BG8" s="69" t="s">
        <v>160</v>
      </c>
      <c r="BH8" s="69" t="s">
        <v>160</v>
      </c>
      <c r="BI8" s="69" t="s">
        <v>160</v>
      </c>
      <c r="BJ8" s="69" t="s">
        <v>160</v>
      </c>
      <c r="BK8" s="69" t="s">
        <v>160</v>
      </c>
      <c r="BL8" s="69" t="s">
        <v>160</v>
      </c>
      <c r="BM8" s="69" t="s">
        <v>160</v>
      </c>
      <c r="BN8" s="69" t="s">
        <v>160</v>
      </c>
      <c r="BO8" s="69" t="s">
        <v>160</v>
      </c>
      <c r="BP8" s="69" t="s">
        <v>160</v>
      </c>
      <c r="BQ8" s="69" t="s">
        <v>160</v>
      </c>
      <c r="BR8" s="69" t="s">
        <v>160</v>
      </c>
      <c r="BS8" s="69" t="s">
        <v>160</v>
      </c>
      <c r="BT8" s="69" t="s">
        <v>160</v>
      </c>
      <c r="BU8" s="69" t="s">
        <v>160</v>
      </c>
      <c r="BV8" s="69" t="s">
        <v>160</v>
      </c>
      <c r="BW8" s="69" t="s">
        <v>160</v>
      </c>
      <c r="BX8" s="69" t="s">
        <v>160</v>
      </c>
      <c r="BY8" s="69" t="s">
        <v>160</v>
      </c>
      <c r="BZ8" s="69" t="s">
        <v>160</v>
      </c>
      <c r="CA8" s="69" t="s">
        <v>160</v>
      </c>
      <c r="CB8" s="69" t="s">
        <v>160</v>
      </c>
      <c r="CC8" s="69" t="s">
        <v>160</v>
      </c>
      <c r="CD8" s="69" t="s">
        <v>160</v>
      </c>
      <c r="CE8" s="69" t="s">
        <v>160</v>
      </c>
      <c r="CF8" s="69" t="s">
        <v>160</v>
      </c>
      <c r="CG8" s="69" t="s">
        <v>160</v>
      </c>
      <c r="CH8" s="69" t="s">
        <v>160</v>
      </c>
      <c r="CI8" s="69" t="s">
        <v>160</v>
      </c>
      <c r="CJ8" s="69" t="s">
        <v>160</v>
      </c>
      <c r="CK8" s="69" t="s">
        <v>160</v>
      </c>
      <c r="CL8" s="69" t="s">
        <v>160</v>
      </c>
      <c r="CM8" s="69" t="s">
        <v>160</v>
      </c>
      <c r="CN8" s="69" t="s">
        <v>160</v>
      </c>
      <c r="CO8" s="69" t="s">
        <v>160</v>
      </c>
      <c r="CP8" s="69" t="s">
        <v>160</v>
      </c>
      <c r="CQ8" s="69" t="s">
        <v>160</v>
      </c>
      <c r="CR8" s="69" t="s">
        <v>160</v>
      </c>
      <c r="CS8" s="69" t="s">
        <v>160</v>
      </c>
      <c r="CT8" s="69" t="s">
        <v>160</v>
      </c>
      <c r="CU8" s="69" t="s">
        <v>160</v>
      </c>
      <c r="CV8" s="69" t="s">
        <v>160</v>
      </c>
      <c r="CW8" s="69" t="s">
        <v>160</v>
      </c>
      <c r="CX8" s="69" t="s">
        <v>160</v>
      </c>
      <c r="CY8" s="69" t="s">
        <v>160</v>
      </c>
      <c r="CZ8" s="69" t="s">
        <v>160</v>
      </c>
      <c r="DA8" s="69" t="s">
        <v>160</v>
      </c>
      <c r="DB8" s="69" t="s">
        <v>160</v>
      </c>
      <c r="DC8" s="69" t="s">
        <v>160</v>
      </c>
      <c r="DD8" s="69" t="s">
        <v>160</v>
      </c>
      <c r="DE8" s="69" t="s">
        <v>160</v>
      </c>
      <c r="DF8" s="69" t="s">
        <v>160</v>
      </c>
      <c r="DG8" s="69" t="s">
        <v>160</v>
      </c>
      <c r="DH8" s="69" t="s">
        <v>160</v>
      </c>
      <c r="DI8" s="69" t="s">
        <v>160</v>
      </c>
      <c r="DJ8" s="69" t="s">
        <v>160</v>
      </c>
      <c r="DK8" s="69" t="s">
        <v>160</v>
      </c>
      <c r="DL8" s="69" t="s">
        <v>160</v>
      </c>
      <c r="DM8" s="69" t="s">
        <v>160</v>
      </c>
      <c r="DN8" s="69" t="s">
        <v>160</v>
      </c>
      <c r="DO8" s="69" t="s">
        <v>160</v>
      </c>
      <c r="DP8" s="69" t="s">
        <v>160</v>
      </c>
      <c r="DQ8" s="69" t="s">
        <v>160</v>
      </c>
      <c r="DR8" s="69" t="s">
        <v>160</v>
      </c>
      <c r="DS8" s="69" t="s">
        <v>160</v>
      </c>
      <c r="DT8" s="69" t="s">
        <v>160</v>
      </c>
      <c r="DU8" s="69" t="s">
        <v>160</v>
      </c>
      <c r="DV8" s="69" t="s">
        <v>160</v>
      </c>
      <c r="DW8" s="69" t="s">
        <v>160</v>
      </c>
      <c r="DX8" s="69" t="s">
        <v>160</v>
      </c>
      <c r="DY8" s="69" t="s">
        <v>160</v>
      </c>
      <c r="DZ8" s="69" t="s">
        <v>160</v>
      </c>
      <c r="EA8" s="69" t="s">
        <v>160</v>
      </c>
      <c r="EB8" s="69" t="s">
        <v>160</v>
      </c>
      <c r="EC8" s="69" t="s">
        <v>160</v>
      </c>
      <c r="ED8" s="69" t="s">
        <v>160</v>
      </c>
      <c r="EE8" s="69" t="s">
        <v>160</v>
      </c>
      <c r="EF8" s="69" t="s">
        <v>160</v>
      </c>
      <c r="EG8" s="69" t="s">
        <v>160</v>
      </c>
      <c r="EH8" s="69" t="s">
        <v>160</v>
      </c>
      <c r="EI8" s="69" t="s">
        <v>160</v>
      </c>
      <c r="EJ8" s="69" t="s">
        <v>160</v>
      </c>
      <c r="EK8" s="69" t="s">
        <v>160</v>
      </c>
      <c r="EL8" s="69" t="s">
        <v>160</v>
      </c>
      <c r="EM8" s="69" t="s">
        <v>160</v>
      </c>
      <c r="EN8" s="69" t="s">
        <v>160</v>
      </c>
      <c r="EO8" s="69" t="s">
        <v>160</v>
      </c>
      <c r="EP8" s="69" t="s">
        <v>160</v>
      </c>
      <c r="EQ8" s="69" t="s">
        <v>160</v>
      </c>
      <c r="ER8" s="69" t="s">
        <v>160</v>
      </c>
      <c r="ES8" s="69" t="s">
        <v>160</v>
      </c>
      <c r="ET8" s="69" t="s">
        <v>160</v>
      </c>
      <c r="EU8" s="69" t="s">
        <v>160</v>
      </c>
      <c r="EV8" s="69" t="s">
        <v>160</v>
      </c>
      <c r="EW8" s="69" t="s">
        <v>160</v>
      </c>
      <c r="EX8" s="69" t="s">
        <v>160</v>
      </c>
      <c r="EY8" s="69" t="s">
        <v>160</v>
      </c>
      <c r="EZ8" s="69" t="s">
        <v>160</v>
      </c>
      <c r="FA8" s="69" t="s">
        <v>160</v>
      </c>
      <c r="FB8" s="69" t="s">
        <v>160</v>
      </c>
      <c r="FC8" s="69" t="s">
        <v>160</v>
      </c>
      <c r="FD8" s="69" t="s">
        <v>160</v>
      </c>
    </row>
    <row r="9" spans="1:160">
      <c r="A9" s="103" t="s">
        <v>414</v>
      </c>
      <c r="C9" s="63" t="s">
        <v>165</v>
      </c>
      <c r="G9" s="51" t="str">
        <f t="shared" si="0"/>
        <v>Note : A PRD document stating the contents agreeable by both parties to cover all the functional aspects of Data fusion core platform and its architecture, smart home fusion use case, smart grid fusion use cases, supported protocols, UI requirements, deliverables in detail.</v>
      </c>
      <c r="H9" s="51" t="s">
        <v>2</v>
      </c>
      <c r="I9" s="64"/>
      <c r="J9" s="64"/>
      <c r="K9" s="64"/>
      <c r="L9" s="64"/>
      <c r="M9" s="64"/>
      <c r="N9" s="64" t="b">
        <f>ISNUMBER(SEARCH("*Waiting*",M9))</f>
        <v>0</v>
      </c>
      <c r="O9" s="64"/>
      <c r="R9" s="51" t="s">
        <v>2</v>
      </c>
      <c r="S9" s="68" t="s">
        <v>160</v>
      </c>
      <c r="T9" s="69" t="s">
        <v>160</v>
      </c>
      <c r="U9" s="69" t="s">
        <v>160</v>
      </c>
      <c r="V9" s="69" t="s">
        <v>160</v>
      </c>
      <c r="W9" s="69" t="s">
        <v>160</v>
      </c>
      <c r="X9" s="69" t="s">
        <v>160</v>
      </c>
      <c r="Y9" s="69" t="s">
        <v>160</v>
      </c>
      <c r="Z9" s="69" t="s">
        <v>160</v>
      </c>
      <c r="AA9" s="69" t="s">
        <v>160</v>
      </c>
      <c r="AB9" s="69" t="s">
        <v>160</v>
      </c>
      <c r="AC9" s="69" t="s">
        <v>160</v>
      </c>
      <c r="AD9" s="69" t="s">
        <v>160</v>
      </c>
      <c r="AE9" s="69" t="s">
        <v>160</v>
      </c>
      <c r="AF9" s="69" t="s">
        <v>160</v>
      </c>
      <c r="AG9" s="69" t="s">
        <v>160</v>
      </c>
      <c r="AH9" s="69" t="s">
        <v>160</v>
      </c>
      <c r="AI9" s="69" t="s">
        <v>160</v>
      </c>
      <c r="AJ9" s="69" t="s">
        <v>160</v>
      </c>
      <c r="AK9" s="69" t="s">
        <v>160</v>
      </c>
      <c r="AL9" s="69" t="s">
        <v>160</v>
      </c>
      <c r="AM9" s="69" t="s">
        <v>160</v>
      </c>
      <c r="AN9" s="69" t="s">
        <v>160</v>
      </c>
      <c r="AO9" s="69" t="s">
        <v>160</v>
      </c>
      <c r="AP9" s="69" t="s">
        <v>160</v>
      </c>
      <c r="AQ9" s="69" t="s">
        <v>160</v>
      </c>
      <c r="AR9" s="69" t="s">
        <v>160</v>
      </c>
      <c r="AS9" s="69" t="s">
        <v>160</v>
      </c>
      <c r="AT9" s="69" t="s">
        <v>160</v>
      </c>
      <c r="AU9" s="69" t="s">
        <v>160</v>
      </c>
      <c r="AV9" s="69" t="s">
        <v>160</v>
      </c>
      <c r="AW9" s="69" t="s">
        <v>160</v>
      </c>
      <c r="AX9" s="69" t="s">
        <v>160</v>
      </c>
      <c r="AY9" s="69" t="s">
        <v>160</v>
      </c>
      <c r="AZ9" s="69" t="s">
        <v>160</v>
      </c>
      <c r="BA9" s="69" t="s">
        <v>160</v>
      </c>
      <c r="BB9" s="69" t="s">
        <v>160</v>
      </c>
      <c r="BC9" s="69" t="s">
        <v>160</v>
      </c>
      <c r="BD9" s="69" t="s">
        <v>160</v>
      </c>
      <c r="BE9" s="69" t="s">
        <v>160</v>
      </c>
      <c r="BF9" s="69" t="s">
        <v>160</v>
      </c>
      <c r="BG9" s="69" t="s">
        <v>160</v>
      </c>
      <c r="BH9" s="69" t="s">
        <v>160</v>
      </c>
      <c r="BI9" s="69" t="s">
        <v>160</v>
      </c>
      <c r="BJ9" s="69" t="s">
        <v>160</v>
      </c>
      <c r="BK9" s="69" t="s">
        <v>160</v>
      </c>
      <c r="BL9" s="69" t="s">
        <v>160</v>
      </c>
      <c r="BM9" s="69" t="s">
        <v>160</v>
      </c>
      <c r="BN9" s="69" t="s">
        <v>160</v>
      </c>
      <c r="BO9" s="69" t="s">
        <v>160</v>
      </c>
      <c r="BP9" s="69" t="s">
        <v>160</v>
      </c>
      <c r="BQ9" s="69" t="s">
        <v>160</v>
      </c>
      <c r="BR9" s="69" t="s">
        <v>160</v>
      </c>
      <c r="BS9" s="69" t="s">
        <v>160</v>
      </c>
      <c r="BT9" s="69" t="s">
        <v>160</v>
      </c>
      <c r="BU9" s="69" t="s">
        <v>160</v>
      </c>
      <c r="BV9" s="69" t="s">
        <v>160</v>
      </c>
      <c r="BW9" s="69" t="s">
        <v>160</v>
      </c>
      <c r="BX9" s="69" t="s">
        <v>160</v>
      </c>
      <c r="BY9" s="69" t="s">
        <v>160</v>
      </c>
      <c r="BZ9" s="69" t="s">
        <v>160</v>
      </c>
      <c r="CA9" s="69" t="s">
        <v>160</v>
      </c>
      <c r="CB9" s="69" t="s">
        <v>160</v>
      </c>
      <c r="CC9" s="69" t="s">
        <v>160</v>
      </c>
      <c r="CD9" s="69" t="s">
        <v>160</v>
      </c>
      <c r="CE9" s="69" t="s">
        <v>160</v>
      </c>
      <c r="CF9" s="69" t="s">
        <v>160</v>
      </c>
      <c r="CG9" s="69" t="s">
        <v>160</v>
      </c>
      <c r="CH9" s="69" t="s">
        <v>160</v>
      </c>
      <c r="CI9" s="69" t="s">
        <v>160</v>
      </c>
      <c r="CJ9" s="69" t="s">
        <v>160</v>
      </c>
      <c r="CK9" s="69" t="s">
        <v>160</v>
      </c>
      <c r="CL9" s="69" t="s">
        <v>160</v>
      </c>
      <c r="CM9" s="69" t="s">
        <v>160</v>
      </c>
      <c r="CN9" s="69" t="s">
        <v>160</v>
      </c>
      <c r="CO9" s="69" t="s">
        <v>160</v>
      </c>
      <c r="CP9" s="69" t="s">
        <v>160</v>
      </c>
      <c r="CQ9" s="69" t="s">
        <v>160</v>
      </c>
      <c r="CR9" s="69" t="s">
        <v>160</v>
      </c>
      <c r="CS9" s="69" t="s">
        <v>160</v>
      </c>
      <c r="CT9" s="69" t="s">
        <v>160</v>
      </c>
      <c r="CU9" s="69" t="s">
        <v>160</v>
      </c>
      <c r="CV9" s="69" t="s">
        <v>160</v>
      </c>
      <c r="CW9" s="69" t="s">
        <v>160</v>
      </c>
      <c r="CX9" s="69" t="s">
        <v>160</v>
      </c>
      <c r="CY9" s="69" t="s">
        <v>160</v>
      </c>
      <c r="CZ9" s="69" t="s">
        <v>160</v>
      </c>
      <c r="DA9" s="69" t="s">
        <v>160</v>
      </c>
      <c r="DB9" s="69" t="s">
        <v>160</v>
      </c>
      <c r="DC9" s="69" t="s">
        <v>160</v>
      </c>
      <c r="DD9" s="69" t="s">
        <v>160</v>
      </c>
      <c r="DE9" s="69" t="s">
        <v>160</v>
      </c>
      <c r="DF9" s="69" t="s">
        <v>160</v>
      </c>
      <c r="DG9" s="69" t="s">
        <v>160</v>
      </c>
      <c r="DH9" s="69" t="s">
        <v>160</v>
      </c>
      <c r="DI9" s="69" t="s">
        <v>160</v>
      </c>
      <c r="DJ9" s="69" t="s">
        <v>160</v>
      </c>
      <c r="DK9" s="69" t="s">
        <v>160</v>
      </c>
      <c r="DL9" s="69" t="s">
        <v>160</v>
      </c>
      <c r="DM9" s="69" t="s">
        <v>160</v>
      </c>
      <c r="DN9" s="69" t="s">
        <v>160</v>
      </c>
      <c r="DO9" s="69" t="s">
        <v>160</v>
      </c>
      <c r="DP9" s="69" t="s">
        <v>160</v>
      </c>
      <c r="DQ9" s="69" t="s">
        <v>160</v>
      </c>
      <c r="DR9" s="69" t="s">
        <v>160</v>
      </c>
      <c r="DS9" s="69" t="s">
        <v>160</v>
      </c>
      <c r="DT9" s="69" t="s">
        <v>160</v>
      </c>
      <c r="DU9" s="69" t="s">
        <v>160</v>
      </c>
      <c r="DV9" s="69" t="s">
        <v>160</v>
      </c>
      <c r="DW9" s="69" t="s">
        <v>160</v>
      </c>
      <c r="DX9" s="69" t="s">
        <v>160</v>
      </c>
      <c r="DY9" s="69" t="s">
        <v>160</v>
      </c>
      <c r="DZ9" s="69" t="s">
        <v>160</v>
      </c>
      <c r="EA9" s="69" t="s">
        <v>160</v>
      </c>
      <c r="EB9" s="69" t="s">
        <v>160</v>
      </c>
      <c r="EC9" s="69" t="s">
        <v>160</v>
      </c>
      <c r="ED9" s="69" t="s">
        <v>160</v>
      </c>
      <c r="EE9" s="69" t="s">
        <v>160</v>
      </c>
      <c r="EF9" s="69" t="s">
        <v>160</v>
      </c>
      <c r="EG9" s="69" t="s">
        <v>160</v>
      </c>
      <c r="EH9" s="69" t="s">
        <v>160</v>
      </c>
      <c r="EI9" s="69" t="s">
        <v>160</v>
      </c>
      <c r="EJ9" s="69" t="s">
        <v>160</v>
      </c>
      <c r="EK9" s="69" t="s">
        <v>160</v>
      </c>
      <c r="EL9" s="69" t="s">
        <v>160</v>
      </c>
      <c r="EM9" s="69" t="s">
        <v>160</v>
      </c>
      <c r="EN9" s="69" t="s">
        <v>160</v>
      </c>
      <c r="EO9" s="69" t="s">
        <v>160</v>
      </c>
      <c r="EP9" s="69" t="s">
        <v>160</v>
      </c>
      <c r="EQ9" s="69" t="s">
        <v>160</v>
      </c>
      <c r="ER9" s="69" t="s">
        <v>160</v>
      </c>
      <c r="ES9" s="69" t="s">
        <v>160</v>
      </c>
      <c r="ET9" s="69" t="s">
        <v>160</v>
      </c>
      <c r="EU9" s="69" t="s">
        <v>160</v>
      </c>
      <c r="EV9" s="69" t="s">
        <v>160</v>
      </c>
      <c r="EW9" s="69" t="s">
        <v>160</v>
      </c>
      <c r="EX9" s="69" t="s">
        <v>160</v>
      </c>
      <c r="EY9" s="69" t="s">
        <v>160</v>
      </c>
      <c r="EZ9" s="69" t="s">
        <v>160</v>
      </c>
      <c r="FA9" s="69" t="s">
        <v>160</v>
      </c>
      <c r="FB9" s="69" t="s">
        <v>160</v>
      </c>
      <c r="FC9" s="69" t="s">
        <v>160</v>
      </c>
      <c r="FD9" s="69" t="s">
        <v>160</v>
      </c>
    </row>
    <row r="10" spans="1:160">
      <c r="A10" s="103" t="s">
        <v>415</v>
      </c>
      <c r="B10" s="20" t="s">
        <v>163</v>
      </c>
      <c r="C10" s="63" t="s">
        <v>371</v>
      </c>
      <c r="G10" s="51" t="str">
        <f t="shared" si="0"/>
        <v>PRD V1.0, covers : M5, M8, M9, M10, M11, M12, M13</v>
      </c>
      <c r="H10" s="51" t="s">
        <v>2</v>
      </c>
      <c r="I10" s="64">
        <v>44560</v>
      </c>
      <c r="J10" s="64">
        <v>44708</v>
      </c>
      <c r="K10" s="64">
        <v>44560</v>
      </c>
      <c r="L10" s="64">
        <v>44601</v>
      </c>
      <c r="M10" s="64">
        <v>44973</v>
      </c>
      <c r="N10" s="64" t="b">
        <f t="shared" ref="N10:N11" si="2">ISNUMBER(SEARCH("*Waiting*",M10))</f>
        <v>0</v>
      </c>
      <c r="O10" s="64"/>
      <c r="P10" s="67">
        <v>1</v>
      </c>
      <c r="Q10" s="67"/>
      <c r="R10" s="51" t="s">
        <v>2</v>
      </c>
      <c r="S10" s="68" t="s">
        <v>160</v>
      </c>
      <c r="T10" s="69" t="s">
        <v>160</v>
      </c>
      <c r="U10" s="69" t="s">
        <v>160</v>
      </c>
      <c r="V10" s="69" t="s">
        <v>160</v>
      </c>
      <c r="W10" s="69" t="s">
        <v>160</v>
      </c>
      <c r="X10" s="69" t="s">
        <v>160</v>
      </c>
      <c r="Y10" s="69" t="s">
        <v>160</v>
      </c>
      <c r="Z10" s="69" t="s">
        <v>160</v>
      </c>
      <c r="AA10" s="69" t="s">
        <v>160</v>
      </c>
      <c r="AB10" s="69" t="s">
        <v>160</v>
      </c>
      <c r="AC10" s="69" t="s">
        <v>160</v>
      </c>
      <c r="AD10" s="69" t="s">
        <v>160</v>
      </c>
      <c r="AE10" s="69" t="s">
        <v>160</v>
      </c>
      <c r="AF10" s="69" t="s">
        <v>160</v>
      </c>
      <c r="AG10" s="69" t="s">
        <v>160</v>
      </c>
      <c r="AH10" s="69" t="s">
        <v>160</v>
      </c>
      <c r="AI10" s="69" t="s">
        <v>160</v>
      </c>
      <c r="AJ10" s="69" t="s">
        <v>160</v>
      </c>
      <c r="AK10" s="69" t="s">
        <v>160</v>
      </c>
      <c r="AL10" s="69" t="s">
        <v>160</v>
      </c>
      <c r="AM10" s="69" t="s">
        <v>160</v>
      </c>
      <c r="AN10" s="69" t="s">
        <v>160</v>
      </c>
      <c r="AO10" s="69" t="s">
        <v>160</v>
      </c>
      <c r="AP10" s="69" t="s">
        <v>160</v>
      </c>
      <c r="AQ10" s="69" t="s">
        <v>160</v>
      </c>
      <c r="AR10" s="69" t="s">
        <v>160</v>
      </c>
      <c r="AS10" s="69" t="s">
        <v>160</v>
      </c>
      <c r="AT10" s="69" t="s">
        <v>160</v>
      </c>
      <c r="AU10" s="69" t="s">
        <v>160</v>
      </c>
      <c r="AV10" s="69" t="s">
        <v>160</v>
      </c>
      <c r="AW10" s="69" t="s">
        <v>160</v>
      </c>
      <c r="AX10" s="69" t="s">
        <v>160</v>
      </c>
      <c r="AY10" s="69" t="s">
        <v>160</v>
      </c>
      <c r="AZ10" s="69" t="s">
        <v>160</v>
      </c>
      <c r="BA10" s="69" t="s">
        <v>160</v>
      </c>
      <c r="BB10" s="69" t="s">
        <v>160</v>
      </c>
      <c r="BC10" s="69" t="s">
        <v>160</v>
      </c>
      <c r="BD10" s="69" t="s">
        <v>160</v>
      </c>
      <c r="BE10" s="69" t="s">
        <v>160</v>
      </c>
      <c r="BF10" s="69" t="s">
        <v>160</v>
      </c>
      <c r="BG10" s="69" t="s">
        <v>160</v>
      </c>
      <c r="BH10" s="69" t="s">
        <v>160</v>
      </c>
      <c r="BI10" s="69" t="s">
        <v>160</v>
      </c>
      <c r="BJ10" s="69" t="s">
        <v>160</v>
      </c>
      <c r="BK10" s="69" t="s">
        <v>160</v>
      </c>
      <c r="BL10" s="69" t="s">
        <v>160</v>
      </c>
      <c r="BM10" s="69" t="s">
        <v>160</v>
      </c>
      <c r="BN10" s="69" t="s">
        <v>160</v>
      </c>
      <c r="BO10" s="69" t="s">
        <v>160</v>
      </c>
      <c r="BP10" s="69" t="s">
        <v>160</v>
      </c>
      <c r="BQ10" s="69" t="s">
        <v>160</v>
      </c>
      <c r="BR10" s="69" t="s">
        <v>160</v>
      </c>
      <c r="BS10" s="69" t="s">
        <v>160</v>
      </c>
      <c r="BT10" s="69" t="s">
        <v>160</v>
      </c>
      <c r="BU10" s="69" t="s">
        <v>160</v>
      </c>
      <c r="BV10" s="69" t="s">
        <v>160</v>
      </c>
      <c r="BW10" s="69" t="s">
        <v>160</v>
      </c>
      <c r="BX10" s="69" t="s">
        <v>160</v>
      </c>
      <c r="BY10" s="69" t="s">
        <v>160</v>
      </c>
      <c r="BZ10" s="69" t="s">
        <v>160</v>
      </c>
      <c r="CA10" s="69" t="s">
        <v>160</v>
      </c>
      <c r="CB10" s="69" t="s">
        <v>160</v>
      </c>
      <c r="CC10" s="69" t="s">
        <v>160</v>
      </c>
      <c r="CD10" s="69" t="s">
        <v>160</v>
      </c>
      <c r="CE10" s="69" t="s">
        <v>160</v>
      </c>
      <c r="CF10" s="69" t="s">
        <v>160</v>
      </c>
      <c r="CG10" s="69" t="s">
        <v>160</v>
      </c>
      <c r="CH10" s="69" t="s">
        <v>160</v>
      </c>
      <c r="CI10" s="69" t="s">
        <v>160</v>
      </c>
      <c r="CJ10" s="69" t="s">
        <v>160</v>
      </c>
      <c r="CK10" s="69" t="s">
        <v>160</v>
      </c>
      <c r="CL10" s="69" t="s">
        <v>160</v>
      </c>
      <c r="CM10" s="69" t="s">
        <v>160</v>
      </c>
      <c r="CN10" s="69" t="s">
        <v>160</v>
      </c>
      <c r="CO10" s="69" t="s">
        <v>160</v>
      </c>
      <c r="CP10" s="69" t="s">
        <v>160</v>
      </c>
      <c r="CQ10" s="69" t="s">
        <v>160</v>
      </c>
      <c r="CR10" s="69" t="s">
        <v>160</v>
      </c>
      <c r="CS10" s="69" t="s">
        <v>160</v>
      </c>
      <c r="CT10" s="69" t="s">
        <v>160</v>
      </c>
      <c r="CU10" s="69" t="s">
        <v>160</v>
      </c>
      <c r="CV10" s="69" t="s">
        <v>160</v>
      </c>
      <c r="CW10" s="69" t="s">
        <v>160</v>
      </c>
      <c r="CX10" s="69" t="s">
        <v>160</v>
      </c>
      <c r="CY10" s="69" t="s">
        <v>160</v>
      </c>
      <c r="CZ10" s="69" t="s">
        <v>160</v>
      </c>
      <c r="DA10" s="69" t="s">
        <v>160</v>
      </c>
      <c r="DB10" s="69" t="s">
        <v>160</v>
      </c>
      <c r="DC10" s="69" t="s">
        <v>160</v>
      </c>
      <c r="DD10" s="69" t="s">
        <v>160</v>
      </c>
      <c r="DE10" s="69" t="s">
        <v>160</v>
      </c>
      <c r="DF10" s="69" t="s">
        <v>160</v>
      </c>
      <c r="DG10" s="69" t="s">
        <v>160</v>
      </c>
      <c r="DH10" s="69" t="s">
        <v>160</v>
      </c>
      <c r="DI10" s="69" t="s">
        <v>160</v>
      </c>
      <c r="DJ10" s="69" t="s">
        <v>160</v>
      </c>
      <c r="DK10" s="69" t="s">
        <v>160</v>
      </c>
      <c r="DL10" s="69" t="s">
        <v>160</v>
      </c>
      <c r="DM10" s="69" t="s">
        <v>160</v>
      </c>
      <c r="DN10" s="69" t="s">
        <v>160</v>
      </c>
      <c r="DO10" s="69" t="s">
        <v>160</v>
      </c>
      <c r="DP10" s="69" t="s">
        <v>160</v>
      </c>
      <c r="DQ10" s="69" t="s">
        <v>160</v>
      </c>
      <c r="DR10" s="69" t="s">
        <v>160</v>
      </c>
      <c r="DS10" s="69" t="s">
        <v>160</v>
      </c>
      <c r="DT10" s="69" t="s">
        <v>160</v>
      </c>
      <c r="DU10" s="69" t="s">
        <v>160</v>
      </c>
      <c r="DV10" s="69" t="s">
        <v>160</v>
      </c>
      <c r="DW10" s="69" t="s">
        <v>160</v>
      </c>
      <c r="DX10" s="69" t="s">
        <v>160</v>
      </c>
      <c r="DY10" s="69" t="s">
        <v>160</v>
      </c>
      <c r="DZ10" s="69" t="s">
        <v>160</v>
      </c>
      <c r="EA10" s="69" t="s">
        <v>160</v>
      </c>
      <c r="EB10" s="69" t="s">
        <v>160</v>
      </c>
      <c r="EC10" s="69" t="s">
        <v>160</v>
      </c>
      <c r="ED10" s="69" t="s">
        <v>160</v>
      </c>
      <c r="EE10" s="69" t="s">
        <v>160</v>
      </c>
      <c r="EF10" s="69" t="s">
        <v>160</v>
      </c>
      <c r="EG10" s="69" t="s">
        <v>160</v>
      </c>
      <c r="EH10" s="69" t="s">
        <v>160</v>
      </c>
      <c r="EI10" s="69" t="s">
        <v>160</v>
      </c>
      <c r="EJ10" s="69" t="s">
        <v>160</v>
      </c>
      <c r="EK10" s="69" t="s">
        <v>160</v>
      </c>
      <c r="EL10" s="69" t="s">
        <v>160</v>
      </c>
      <c r="EM10" s="69" t="s">
        <v>160</v>
      </c>
      <c r="EN10" s="69" t="s">
        <v>160</v>
      </c>
      <c r="EO10" s="69" t="s">
        <v>160</v>
      </c>
      <c r="EP10" s="69" t="s">
        <v>160</v>
      </c>
      <c r="EQ10" s="69" t="s">
        <v>160</v>
      </c>
      <c r="ER10" s="69" t="s">
        <v>160</v>
      </c>
      <c r="ES10" s="69" t="s">
        <v>160</v>
      </c>
      <c r="ET10" s="69" t="s">
        <v>160</v>
      </c>
      <c r="EU10" s="69" t="s">
        <v>160</v>
      </c>
      <c r="EV10" s="69" t="s">
        <v>160</v>
      </c>
      <c r="EW10" s="69" t="s">
        <v>160</v>
      </c>
      <c r="EX10" s="69" t="s">
        <v>160</v>
      </c>
      <c r="EY10" s="69" t="s">
        <v>160</v>
      </c>
      <c r="EZ10" s="69" t="s">
        <v>160</v>
      </c>
      <c r="FA10" s="69" t="s">
        <v>160</v>
      </c>
      <c r="FB10" s="69" t="s">
        <v>160</v>
      </c>
      <c r="FC10" s="69" t="s">
        <v>160</v>
      </c>
      <c r="FD10" s="69" t="s">
        <v>160</v>
      </c>
    </row>
    <row r="11" spans="1:160" s="71" customFormat="1" ht="18.5" thickBot="1">
      <c r="A11" s="104" t="s">
        <v>412</v>
      </c>
      <c r="B11" s="105" t="s">
        <v>163</v>
      </c>
      <c r="C11" s="76" t="s">
        <v>372</v>
      </c>
      <c r="G11" s="71" t="str">
        <f t="shared" si="0"/>
        <v>PRD V2.0, covers : M14, M15, M16</v>
      </c>
      <c r="H11" s="71" t="s">
        <v>2</v>
      </c>
      <c r="I11" s="72">
        <v>44711</v>
      </c>
      <c r="J11" s="72">
        <v>45014</v>
      </c>
      <c r="K11" s="72">
        <v>44711</v>
      </c>
      <c r="L11" s="72">
        <v>44601</v>
      </c>
      <c r="M11" s="72">
        <v>44973</v>
      </c>
      <c r="N11" s="72" t="b">
        <f t="shared" si="2"/>
        <v>0</v>
      </c>
      <c r="O11" s="72"/>
      <c r="P11" s="73">
        <v>1</v>
      </c>
      <c r="Q11" s="73"/>
      <c r="R11" s="71" t="s">
        <v>2</v>
      </c>
      <c r="S11" s="74" t="s">
        <v>160</v>
      </c>
      <c r="T11" s="75" t="s">
        <v>160</v>
      </c>
      <c r="U11" s="75" t="s">
        <v>160</v>
      </c>
      <c r="V11" s="75" t="s">
        <v>160</v>
      </c>
      <c r="W11" s="75" t="s">
        <v>160</v>
      </c>
      <c r="X11" s="75" t="s">
        <v>160</v>
      </c>
      <c r="Y11" s="75" t="s">
        <v>160</v>
      </c>
      <c r="Z11" s="75" t="s">
        <v>160</v>
      </c>
      <c r="AA11" s="75" t="s">
        <v>160</v>
      </c>
      <c r="AB11" s="75" t="s">
        <v>160</v>
      </c>
      <c r="AC11" s="75" t="s">
        <v>160</v>
      </c>
      <c r="AD11" s="75" t="s">
        <v>160</v>
      </c>
      <c r="AE11" s="75" t="s">
        <v>160</v>
      </c>
      <c r="AF11" s="75" t="s">
        <v>160</v>
      </c>
      <c r="AG11" s="75" t="s">
        <v>160</v>
      </c>
      <c r="AH11" s="75" t="s">
        <v>160</v>
      </c>
      <c r="AI11" s="75" t="s">
        <v>160</v>
      </c>
      <c r="AJ11" s="75" t="s">
        <v>160</v>
      </c>
      <c r="AK11" s="75" t="s">
        <v>160</v>
      </c>
      <c r="AL11" s="75" t="s">
        <v>160</v>
      </c>
      <c r="AM11" s="75" t="s">
        <v>160</v>
      </c>
      <c r="AN11" s="75" t="s">
        <v>160</v>
      </c>
      <c r="AO11" s="75" t="s">
        <v>160</v>
      </c>
      <c r="AP11" s="75" t="s">
        <v>160</v>
      </c>
      <c r="AQ11" s="75" t="s">
        <v>160</v>
      </c>
      <c r="AR11" s="75" t="s">
        <v>160</v>
      </c>
      <c r="AS11" s="75" t="s">
        <v>160</v>
      </c>
      <c r="AT11" s="75" t="s">
        <v>160</v>
      </c>
      <c r="AU11" s="75" t="s">
        <v>160</v>
      </c>
      <c r="AV11" s="75" t="s">
        <v>160</v>
      </c>
      <c r="AW11" s="75" t="s">
        <v>160</v>
      </c>
      <c r="AX11" s="75" t="s">
        <v>160</v>
      </c>
      <c r="AY11" s="75" t="s">
        <v>160</v>
      </c>
      <c r="AZ11" s="75" t="s">
        <v>160</v>
      </c>
      <c r="BA11" s="75" t="s">
        <v>160</v>
      </c>
      <c r="BB11" s="75" t="s">
        <v>160</v>
      </c>
      <c r="BC11" s="75" t="s">
        <v>160</v>
      </c>
      <c r="BD11" s="75" t="s">
        <v>160</v>
      </c>
      <c r="BE11" s="75" t="s">
        <v>160</v>
      </c>
      <c r="BF11" s="75" t="s">
        <v>160</v>
      </c>
      <c r="BG11" s="75" t="s">
        <v>160</v>
      </c>
      <c r="BH11" s="75" t="s">
        <v>160</v>
      </c>
      <c r="BI11" s="75" t="s">
        <v>160</v>
      </c>
      <c r="BJ11" s="75" t="s">
        <v>160</v>
      </c>
      <c r="BK11" s="75" t="s">
        <v>160</v>
      </c>
      <c r="BL11" s="75" t="s">
        <v>160</v>
      </c>
      <c r="BM11" s="75" t="s">
        <v>160</v>
      </c>
      <c r="BN11" s="75" t="s">
        <v>160</v>
      </c>
      <c r="BO11" s="75" t="s">
        <v>160</v>
      </c>
      <c r="BP11" s="75" t="s">
        <v>160</v>
      </c>
      <c r="BQ11" s="75" t="s">
        <v>160</v>
      </c>
      <c r="BR11" s="75" t="s">
        <v>160</v>
      </c>
      <c r="BS11" s="75" t="s">
        <v>160</v>
      </c>
      <c r="BT11" s="75" t="s">
        <v>160</v>
      </c>
      <c r="BU11" s="75" t="s">
        <v>160</v>
      </c>
      <c r="BV11" s="75" t="s">
        <v>160</v>
      </c>
      <c r="BW11" s="75" t="s">
        <v>160</v>
      </c>
      <c r="BX11" s="75" t="s">
        <v>160</v>
      </c>
      <c r="BY11" s="75" t="s">
        <v>160</v>
      </c>
      <c r="BZ11" s="75" t="s">
        <v>160</v>
      </c>
      <c r="CA11" s="75" t="s">
        <v>160</v>
      </c>
      <c r="CB11" s="75" t="s">
        <v>160</v>
      </c>
      <c r="CC11" s="75" t="s">
        <v>160</v>
      </c>
      <c r="CD11" s="75" t="s">
        <v>160</v>
      </c>
      <c r="CE11" s="75" t="s">
        <v>160</v>
      </c>
      <c r="CF11" s="75" t="s">
        <v>160</v>
      </c>
      <c r="CG11" s="75" t="s">
        <v>160</v>
      </c>
      <c r="CH11" s="75" t="s">
        <v>160</v>
      </c>
      <c r="CI11" s="75" t="s">
        <v>160</v>
      </c>
      <c r="CJ11" s="75" t="s">
        <v>160</v>
      </c>
      <c r="CK11" s="75" t="s">
        <v>160</v>
      </c>
      <c r="CL11" s="75" t="s">
        <v>160</v>
      </c>
      <c r="CM11" s="75" t="s">
        <v>160</v>
      </c>
      <c r="CN11" s="75" t="s">
        <v>160</v>
      </c>
      <c r="CO11" s="75" t="s">
        <v>160</v>
      </c>
      <c r="CP11" s="75" t="s">
        <v>160</v>
      </c>
      <c r="CQ11" s="75" t="s">
        <v>160</v>
      </c>
      <c r="CR11" s="75" t="s">
        <v>160</v>
      </c>
      <c r="CS11" s="75" t="s">
        <v>160</v>
      </c>
      <c r="CT11" s="75" t="s">
        <v>160</v>
      </c>
      <c r="CU11" s="75" t="s">
        <v>160</v>
      </c>
      <c r="CV11" s="75" t="s">
        <v>160</v>
      </c>
      <c r="CW11" s="75" t="s">
        <v>160</v>
      </c>
      <c r="CX11" s="75" t="s">
        <v>160</v>
      </c>
      <c r="CY11" s="75" t="s">
        <v>160</v>
      </c>
      <c r="CZ11" s="75" t="s">
        <v>160</v>
      </c>
      <c r="DA11" s="75" t="s">
        <v>160</v>
      </c>
      <c r="DB11" s="75" t="s">
        <v>160</v>
      </c>
      <c r="DC11" s="75" t="s">
        <v>160</v>
      </c>
      <c r="DD11" s="75" t="s">
        <v>160</v>
      </c>
      <c r="DE11" s="75" t="s">
        <v>160</v>
      </c>
      <c r="DF11" s="75" t="s">
        <v>160</v>
      </c>
      <c r="DG11" s="75" t="s">
        <v>160</v>
      </c>
      <c r="DH11" s="75" t="s">
        <v>160</v>
      </c>
      <c r="DI11" s="75" t="s">
        <v>160</v>
      </c>
      <c r="DJ11" s="75" t="s">
        <v>160</v>
      </c>
      <c r="DK11" s="75" t="s">
        <v>160</v>
      </c>
      <c r="DL11" s="75" t="s">
        <v>160</v>
      </c>
      <c r="DM11" s="75" t="s">
        <v>160</v>
      </c>
      <c r="DN11" s="75" t="s">
        <v>160</v>
      </c>
      <c r="DO11" s="75" t="s">
        <v>160</v>
      </c>
      <c r="DP11" s="75" t="s">
        <v>160</v>
      </c>
      <c r="DQ11" s="75" t="s">
        <v>160</v>
      </c>
      <c r="DR11" s="75" t="s">
        <v>160</v>
      </c>
      <c r="DS11" s="75" t="s">
        <v>160</v>
      </c>
      <c r="DT11" s="75" t="s">
        <v>160</v>
      </c>
      <c r="DU11" s="75" t="s">
        <v>160</v>
      </c>
      <c r="DV11" s="75" t="s">
        <v>160</v>
      </c>
      <c r="DW11" s="75" t="s">
        <v>160</v>
      </c>
      <c r="DX11" s="75" t="s">
        <v>160</v>
      </c>
      <c r="DY11" s="75" t="s">
        <v>160</v>
      </c>
      <c r="DZ11" s="75" t="s">
        <v>160</v>
      </c>
      <c r="EA11" s="75" t="s">
        <v>160</v>
      </c>
      <c r="EB11" s="75" t="s">
        <v>160</v>
      </c>
      <c r="EC11" s="75" t="s">
        <v>160</v>
      </c>
      <c r="ED11" s="75" t="s">
        <v>160</v>
      </c>
      <c r="EE11" s="75" t="s">
        <v>160</v>
      </c>
      <c r="EF11" s="75" t="s">
        <v>160</v>
      </c>
      <c r="EG11" s="75" t="s">
        <v>160</v>
      </c>
      <c r="EH11" s="75" t="s">
        <v>160</v>
      </c>
      <c r="EI11" s="75" t="s">
        <v>160</v>
      </c>
      <c r="EJ11" s="75" t="s">
        <v>160</v>
      </c>
      <c r="EK11" s="75" t="s">
        <v>160</v>
      </c>
      <c r="EL11" s="75" t="s">
        <v>160</v>
      </c>
      <c r="EM11" s="75" t="s">
        <v>160</v>
      </c>
      <c r="EN11" s="75" t="s">
        <v>160</v>
      </c>
      <c r="EO11" s="75" t="s">
        <v>160</v>
      </c>
      <c r="EP11" s="75" t="s">
        <v>160</v>
      </c>
      <c r="EQ11" s="75" t="s">
        <v>160</v>
      </c>
      <c r="ER11" s="75" t="s">
        <v>160</v>
      </c>
      <c r="ES11" s="75" t="s">
        <v>160</v>
      </c>
      <c r="ET11" s="75" t="s">
        <v>160</v>
      </c>
      <c r="EU11" s="75" t="s">
        <v>160</v>
      </c>
      <c r="EV11" s="75" t="s">
        <v>160</v>
      </c>
      <c r="EW11" s="75" t="s">
        <v>160</v>
      </c>
      <c r="EX11" s="75" t="s">
        <v>160</v>
      </c>
      <c r="EY11" s="75" t="s">
        <v>160</v>
      </c>
      <c r="EZ11" s="75" t="s">
        <v>160</v>
      </c>
      <c r="FA11" s="75" t="s">
        <v>160</v>
      </c>
      <c r="FB11" s="75" t="s">
        <v>160</v>
      </c>
      <c r="FC11" s="75" t="s">
        <v>160</v>
      </c>
      <c r="FD11" s="75" t="s">
        <v>160</v>
      </c>
    </row>
    <row r="12" spans="1:160">
      <c r="A12" s="103" t="s">
        <v>417</v>
      </c>
      <c r="B12" s="21" t="s">
        <v>166</v>
      </c>
      <c r="G12" s="51" t="str">
        <f t="shared" si="0"/>
        <v>M2. Data Fusion Web &amp; Mobile UX wireframe</v>
      </c>
      <c r="H12" s="51" t="s">
        <v>2</v>
      </c>
      <c r="I12" s="64">
        <f ca="1">IF(SUM(I13:INDIRECT("I"&amp;$O12))=0,"",MIN(I13:INDIRECT("I"&amp;$O12)))</f>
        <v>44652</v>
      </c>
      <c r="J12" s="64">
        <f ca="1">IF(SUM(J13:INDIRECT("J"&amp;$O12))=0,"",MAX(J13:INDIRECT("J"&amp;$O12)))</f>
        <v>45107</v>
      </c>
      <c r="K12" s="64">
        <f ca="1">IF(SUM(K13:INDIRECT("K"&amp;$O12))=0,"",MIN(K13:INDIRECT("K"&amp;$O12)))</f>
        <v>44652</v>
      </c>
      <c r="L12" s="64">
        <f ca="1">IF(SUM(L13:INDIRECT("L"&amp;$O12))=0,"",MAX(L13:INDIRECT("L"&amp;$O12)))</f>
        <v>45042</v>
      </c>
      <c r="M12" s="64">
        <f ca="1">IF(N12,TODAY(),IF(SUM(M13:INDIRECT("M"&amp;$O12))=0,"",MAX(M13:INDIRECT("M"&amp;$O12))))</f>
        <v>45057</v>
      </c>
      <c r="N12" s="64" t="b">
        <f ca="1">OR(N13:INDIRECT("N"&amp;O12))</f>
        <v>0</v>
      </c>
      <c r="O12" s="65">
        <f>ROW()+COUNTA(N13:N15)</f>
        <v>15</v>
      </c>
      <c r="P12" s="66">
        <f>AVERAGE(P13:P15)</f>
        <v>1</v>
      </c>
      <c r="Q12" s="67"/>
      <c r="R12" s="51" t="s">
        <v>2</v>
      </c>
      <c r="S12" s="77" t="s">
        <v>160</v>
      </c>
      <c r="T12" s="78" t="s">
        <v>160</v>
      </c>
      <c r="U12" s="78" t="s">
        <v>160</v>
      </c>
      <c r="V12" s="78" t="s">
        <v>160</v>
      </c>
      <c r="W12" s="69" t="s">
        <v>160</v>
      </c>
      <c r="X12" s="69" t="s">
        <v>160</v>
      </c>
      <c r="Y12" s="69" t="s">
        <v>160</v>
      </c>
      <c r="Z12" s="69" t="s">
        <v>160</v>
      </c>
      <c r="AA12" s="69" t="s">
        <v>160</v>
      </c>
      <c r="AB12" s="69" t="s">
        <v>160</v>
      </c>
      <c r="AC12" s="69" t="s">
        <v>160</v>
      </c>
      <c r="AD12" s="69" t="s">
        <v>160</v>
      </c>
      <c r="AE12" s="69" t="s">
        <v>160</v>
      </c>
      <c r="AF12" s="69" t="s">
        <v>160</v>
      </c>
      <c r="AG12" s="69" t="s">
        <v>160</v>
      </c>
      <c r="AH12" s="69" t="s">
        <v>160</v>
      </c>
      <c r="AI12" s="69" t="s">
        <v>160</v>
      </c>
      <c r="AJ12" s="69" t="s">
        <v>160</v>
      </c>
      <c r="AK12" s="69" t="s">
        <v>160</v>
      </c>
      <c r="AL12" s="69" t="s">
        <v>160</v>
      </c>
      <c r="AM12" s="69" t="s">
        <v>160</v>
      </c>
      <c r="AN12" s="69" t="s">
        <v>160</v>
      </c>
      <c r="AO12" s="69" t="s">
        <v>160</v>
      </c>
      <c r="AP12" s="69" t="s">
        <v>160</v>
      </c>
      <c r="AQ12" s="69" t="s">
        <v>160</v>
      </c>
      <c r="AR12" s="69" t="s">
        <v>160</v>
      </c>
      <c r="AS12" s="69" t="s">
        <v>160</v>
      </c>
      <c r="AT12" s="69" t="s">
        <v>160</v>
      </c>
      <c r="AU12" s="69" t="s">
        <v>160</v>
      </c>
      <c r="AV12" s="69" t="s">
        <v>160</v>
      </c>
      <c r="AW12" s="69" t="s">
        <v>160</v>
      </c>
      <c r="AX12" s="69" t="s">
        <v>160</v>
      </c>
      <c r="AY12" s="69" t="s">
        <v>160</v>
      </c>
      <c r="AZ12" s="69" t="s">
        <v>160</v>
      </c>
      <c r="BA12" s="69" t="s">
        <v>160</v>
      </c>
      <c r="BB12" s="69" t="s">
        <v>160</v>
      </c>
      <c r="BC12" s="69" t="s">
        <v>160</v>
      </c>
      <c r="BD12" s="69" t="s">
        <v>160</v>
      </c>
      <c r="BE12" s="69" t="s">
        <v>160</v>
      </c>
      <c r="BF12" s="69" t="s">
        <v>160</v>
      </c>
      <c r="BG12" s="69" t="s">
        <v>160</v>
      </c>
      <c r="BH12" s="69" t="s">
        <v>160</v>
      </c>
      <c r="BI12" s="69" t="s">
        <v>160</v>
      </c>
      <c r="BJ12" s="69" t="s">
        <v>160</v>
      </c>
      <c r="BK12" s="69" t="s">
        <v>160</v>
      </c>
      <c r="BL12" s="69" t="s">
        <v>160</v>
      </c>
      <c r="BM12" s="69" t="s">
        <v>160</v>
      </c>
      <c r="BN12" s="69" t="s">
        <v>160</v>
      </c>
      <c r="BO12" s="69" t="s">
        <v>160</v>
      </c>
      <c r="BP12" s="69" t="s">
        <v>160</v>
      </c>
      <c r="BQ12" s="69" t="s">
        <v>160</v>
      </c>
      <c r="BR12" s="69" t="s">
        <v>160</v>
      </c>
      <c r="BS12" s="69" t="s">
        <v>160</v>
      </c>
      <c r="BT12" s="69" t="s">
        <v>160</v>
      </c>
      <c r="BU12" s="69" t="s">
        <v>160</v>
      </c>
      <c r="BV12" s="69" t="s">
        <v>160</v>
      </c>
      <c r="BW12" s="69" t="s">
        <v>160</v>
      </c>
      <c r="BX12" s="69" t="s">
        <v>160</v>
      </c>
      <c r="BY12" s="69" t="s">
        <v>160</v>
      </c>
      <c r="BZ12" s="69" t="s">
        <v>160</v>
      </c>
      <c r="CA12" s="69" t="s">
        <v>160</v>
      </c>
      <c r="CB12" s="69" t="s">
        <v>160</v>
      </c>
      <c r="CC12" s="69" t="s">
        <v>160</v>
      </c>
      <c r="CD12" s="69" t="s">
        <v>160</v>
      </c>
      <c r="CE12" s="69" t="s">
        <v>160</v>
      </c>
      <c r="CF12" s="69" t="s">
        <v>160</v>
      </c>
      <c r="CG12" s="69" t="s">
        <v>160</v>
      </c>
      <c r="CH12" s="69" t="s">
        <v>160</v>
      </c>
      <c r="CI12" s="69" t="s">
        <v>160</v>
      </c>
      <c r="CJ12" s="69" t="s">
        <v>160</v>
      </c>
      <c r="CK12" s="69" t="s">
        <v>160</v>
      </c>
      <c r="CL12" s="69" t="s">
        <v>160</v>
      </c>
      <c r="CM12" s="69" t="s">
        <v>160</v>
      </c>
      <c r="CN12" s="69" t="s">
        <v>160</v>
      </c>
      <c r="CO12" s="69" t="s">
        <v>160</v>
      </c>
      <c r="CP12" s="69" t="s">
        <v>160</v>
      </c>
      <c r="CQ12" s="69" t="s">
        <v>160</v>
      </c>
      <c r="CR12" s="69" t="s">
        <v>160</v>
      </c>
      <c r="CS12" s="69" t="s">
        <v>160</v>
      </c>
      <c r="CT12" s="69" t="s">
        <v>160</v>
      </c>
      <c r="CU12" s="69" t="s">
        <v>160</v>
      </c>
      <c r="CV12" s="69" t="s">
        <v>160</v>
      </c>
      <c r="CW12" s="69" t="s">
        <v>160</v>
      </c>
      <c r="CX12" s="69" t="s">
        <v>160</v>
      </c>
      <c r="CY12" s="69" t="s">
        <v>160</v>
      </c>
      <c r="CZ12" s="69" t="s">
        <v>160</v>
      </c>
      <c r="DA12" s="69" t="s">
        <v>160</v>
      </c>
      <c r="DB12" s="69" t="s">
        <v>160</v>
      </c>
      <c r="DC12" s="69" t="s">
        <v>160</v>
      </c>
      <c r="DD12" s="69" t="s">
        <v>160</v>
      </c>
      <c r="DE12" s="69" t="s">
        <v>160</v>
      </c>
      <c r="DF12" s="69" t="s">
        <v>160</v>
      </c>
      <c r="DG12" s="69" t="s">
        <v>160</v>
      </c>
      <c r="DH12" s="69" t="s">
        <v>160</v>
      </c>
      <c r="DI12" s="69" t="s">
        <v>160</v>
      </c>
      <c r="DJ12" s="69" t="s">
        <v>160</v>
      </c>
      <c r="DK12" s="69" t="s">
        <v>160</v>
      </c>
      <c r="DL12" s="69" t="s">
        <v>160</v>
      </c>
      <c r="DM12" s="69" t="s">
        <v>160</v>
      </c>
      <c r="DN12" s="69" t="s">
        <v>160</v>
      </c>
      <c r="DO12" s="69" t="s">
        <v>160</v>
      </c>
      <c r="DP12" s="69" t="s">
        <v>160</v>
      </c>
      <c r="DQ12" s="69" t="s">
        <v>160</v>
      </c>
      <c r="DR12" s="69" t="s">
        <v>160</v>
      </c>
      <c r="DS12" s="69" t="s">
        <v>160</v>
      </c>
      <c r="DT12" s="69" t="s">
        <v>160</v>
      </c>
      <c r="DU12" s="69" t="s">
        <v>160</v>
      </c>
      <c r="DV12" s="69" t="s">
        <v>160</v>
      </c>
      <c r="DW12" s="69" t="s">
        <v>160</v>
      </c>
      <c r="DX12" s="69" t="s">
        <v>160</v>
      </c>
      <c r="DY12" s="69" t="s">
        <v>160</v>
      </c>
      <c r="DZ12" s="69" t="s">
        <v>160</v>
      </c>
      <c r="EA12" s="69" t="s">
        <v>160</v>
      </c>
      <c r="EB12" s="69" t="s">
        <v>160</v>
      </c>
      <c r="EC12" s="69" t="s">
        <v>160</v>
      </c>
      <c r="ED12" s="69" t="s">
        <v>160</v>
      </c>
      <c r="EE12" s="69" t="s">
        <v>160</v>
      </c>
      <c r="EF12" s="69" t="s">
        <v>160</v>
      </c>
      <c r="EG12" s="69" t="s">
        <v>160</v>
      </c>
      <c r="EH12" s="69" t="s">
        <v>160</v>
      </c>
      <c r="EI12" s="69" t="s">
        <v>160</v>
      </c>
      <c r="EJ12" s="69" t="s">
        <v>160</v>
      </c>
      <c r="EK12" s="69" t="s">
        <v>160</v>
      </c>
      <c r="EL12" s="69" t="s">
        <v>160</v>
      </c>
      <c r="EM12" s="69" t="s">
        <v>160</v>
      </c>
      <c r="EN12" s="69" t="s">
        <v>160</v>
      </c>
      <c r="EO12" s="69" t="s">
        <v>160</v>
      </c>
      <c r="EP12" s="69" t="s">
        <v>160</v>
      </c>
      <c r="EQ12" s="69" t="s">
        <v>160</v>
      </c>
      <c r="ER12" s="69" t="s">
        <v>160</v>
      </c>
      <c r="ES12" s="69" t="s">
        <v>160</v>
      </c>
      <c r="ET12" s="69" t="s">
        <v>160</v>
      </c>
      <c r="EU12" s="69" t="s">
        <v>160</v>
      </c>
      <c r="EV12" s="69" t="s">
        <v>160</v>
      </c>
      <c r="EW12" s="69" t="s">
        <v>160</v>
      </c>
      <c r="EX12" s="69" t="s">
        <v>160</v>
      </c>
      <c r="EY12" s="69" t="s">
        <v>160</v>
      </c>
      <c r="EZ12" s="69" t="s">
        <v>160</v>
      </c>
      <c r="FA12" s="69" t="s">
        <v>160</v>
      </c>
      <c r="FB12" s="69" t="s">
        <v>160</v>
      </c>
      <c r="FC12" s="69" t="s">
        <v>160</v>
      </c>
      <c r="FD12" s="69" t="s">
        <v>160</v>
      </c>
    </row>
    <row r="13" spans="1:160">
      <c r="A13" s="103" t="s">
        <v>418</v>
      </c>
      <c r="C13" s="50" t="s">
        <v>167</v>
      </c>
      <c r="G13" s="51" t="str">
        <f t="shared" si="0"/>
        <v>Note : NTU team to work on the stories, identify suitable usecases as well with the provided usecases to design the layout</v>
      </c>
      <c r="H13" s="51" t="s">
        <v>2</v>
      </c>
      <c r="I13" s="64"/>
      <c r="J13" s="64"/>
      <c r="K13" s="64"/>
      <c r="L13" s="64"/>
      <c r="M13" s="64"/>
      <c r="N13" s="64" t="b">
        <f>ISNUMBER(SEARCH("*Waiting*",M13))</f>
        <v>0</v>
      </c>
      <c r="O13" s="64"/>
      <c r="R13" s="51" t="s">
        <v>2</v>
      </c>
      <c r="S13" s="68" t="s">
        <v>160</v>
      </c>
      <c r="T13" s="69" t="s">
        <v>160</v>
      </c>
      <c r="U13" s="69" t="s">
        <v>160</v>
      </c>
      <c r="V13" s="69" t="s">
        <v>160</v>
      </c>
      <c r="W13" s="69" t="s">
        <v>160</v>
      </c>
      <c r="X13" s="69" t="s">
        <v>160</v>
      </c>
      <c r="Y13" s="69" t="s">
        <v>160</v>
      </c>
      <c r="Z13" s="69" t="s">
        <v>160</v>
      </c>
      <c r="AA13" s="69" t="s">
        <v>160</v>
      </c>
      <c r="AB13" s="69" t="s">
        <v>160</v>
      </c>
      <c r="AC13" s="69" t="s">
        <v>160</v>
      </c>
      <c r="AD13" s="69" t="s">
        <v>160</v>
      </c>
      <c r="AE13" s="69" t="s">
        <v>160</v>
      </c>
      <c r="AF13" s="69" t="s">
        <v>160</v>
      </c>
      <c r="AG13" s="69" t="s">
        <v>160</v>
      </c>
      <c r="AH13" s="69" t="s">
        <v>160</v>
      </c>
      <c r="AI13" s="69" t="s">
        <v>160</v>
      </c>
      <c r="AJ13" s="69" t="s">
        <v>160</v>
      </c>
      <c r="AK13" s="69" t="s">
        <v>160</v>
      </c>
      <c r="AL13" s="69" t="s">
        <v>160</v>
      </c>
      <c r="AM13" s="69" t="s">
        <v>160</v>
      </c>
      <c r="AN13" s="69" t="s">
        <v>160</v>
      </c>
      <c r="AO13" s="69" t="s">
        <v>160</v>
      </c>
      <c r="AP13" s="69" t="s">
        <v>160</v>
      </c>
      <c r="AQ13" s="69" t="s">
        <v>160</v>
      </c>
      <c r="AR13" s="69" t="s">
        <v>160</v>
      </c>
      <c r="AS13" s="69" t="s">
        <v>160</v>
      </c>
      <c r="AT13" s="69" t="s">
        <v>160</v>
      </c>
      <c r="AU13" s="69" t="s">
        <v>160</v>
      </c>
      <c r="AV13" s="69" t="s">
        <v>160</v>
      </c>
      <c r="AW13" s="69" t="s">
        <v>160</v>
      </c>
      <c r="AX13" s="69" t="s">
        <v>160</v>
      </c>
      <c r="AY13" s="69" t="s">
        <v>160</v>
      </c>
      <c r="AZ13" s="69" t="s">
        <v>160</v>
      </c>
      <c r="BA13" s="69" t="s">
        <v>160</v>
      </c>
      <c r="BB13" s="69" t="s">
        <v>160</v>
      </c>
      <c r="BC13" s="69" t="s">
        <v>160</v>
      </c>
      <c r="BD13" s="69" t="s">
        <v>160</v>
      </c>
      <c r="BE13" s="69" t="s">
        <v>160</v>
      </c>
      <c r="BF13" s="69" t="s">
        <v>160</v>
      </c>
      <c r="BG13" s="69" t="s">
        <v>160</v>
      </c>
      <c r="BH13" s="69" t="s">
        <v>160</v>
      </c>
      <c r="BI13" s="69" t="s">
        <v>160</v>
      </c>
      <c r="BJ13" s="69" t="s">
        <v>160</v>
      </c>
      <c r="BK13" s="69" t="s">
        <v>160</v>
      </c>
      <c r="BL13" s="69" t="s">
        <v>160</v>
      </c>
      <c r="BM13" s="69" t="s">
        <v>160</v>
      </c>
      <c r="BN13" s="69" t="s">
        <v>160</v>
      </c>
      <c r="BO13" s="69" t="s">
        <v>160</v>
      </c>
      <c r="BP13" s="69" t="s">
        <v>160</v>
      </c>
      <c r="BQ13" s="69" t="s">
        <v>160</v>
      </c>
      <c r="BR13" s="69" t="s">
        <v>160</v>
      </c>
      <c r="BS13" s="69" t="s">
        <v>160</v>
      </c>
      <c r="BT13" s="69" t="s">
        <v>160</v>
      </c>
      <c r="BU13" s="69" t="s">
        <v>160</v>
      </c>
      <c r="BV13" s="69" t="s">
        <v>160</v>
      </c>
      <c r="BW13" s="69" t="s">
        <v>160</v>
      </c>
      <c r="BX13" s="69" t="s">
        <v>160</v>
      </c>
      <c r="BY13" s="69" t="s">
        <v>160</v>
      </c>
      <c r="BZ13" s="69" t="s">
        <v>160</v>
      </c>
      <c r="CA13" s="69" t="s">
        <v>160</v>
      </c>
      <c r="CB13" s="69" t="s">
        <v>160</v>
      </c>
      <c r="CC13" s="69" t="s">
        <v>160</v>
      </c>
      <c r="CD13" s="69" t="s">
        <v>160</v>
      </c>
      <c r="CE13" s="69" t="s">
        <v>160</v>
      </c>
      <c r="CF13" s="69" t="s">
        <v>160</v>
      </c>
      <c r="CG13" s="69" t="s">
        <v>160</v>
      </c>
      <c r="CH13" s="69" t="s">
        <v>160</v>
      </c>
      <c r="CI13" s="69" t="s">
        <v>160</v>
      </c>
      <c r="CJ13" s="69" t="s">
        <v>160</v>
      </c>
      <c r="CK13" s="69" t="s">
        <v>160</v>
      </c>
      <c r="CL13" s="69" t="s">
        <v>160</v>
      </c>
      <c r="CM13" s="69" t="s">
        <v>160</v>
      </c>
      <c r="CN13" s="69" t="s">
        <v>160</v>
      </c>
      <c r="CO13" s="69" t="s">
        <v>160</v>
      </c>
      <c r="CP13" s="69" t="s">
        <v>160</v>
      </c>
      <c r="CQ13" s="69" t="s">
        <v>160</v>
      </c>
      <c r="CR13" s="69" t="s">
        <v>160</v>
      </c>
      <c r="CS13" s="69" t="s">
        <v>160</v>
      </c>
      <c r="CT13" s="69" t="s">
        <v>160</v>
      </c>
      <c r="CU13" s="69" t="s">
        <v>160</v>
      </c>
      <c r="CV13" s="69" t="s">
        <v>160</v>
      </c>
      <c r="CW13" s="69" t="s">
        <v>160</v>
      </c>
      <c r="CX13" s="69" t="s">
        <v>160</v>
      </c>
      <c r="CY13" s="69" t="s">
        <v>160</v>
      </c>
      <c r="CZ13" s="69" t="s">
        <v>160</v>
      </c>
      <c r="DA13" s="69" t="s">
        <v>160</v>
      </c>
      <c r="DB13" s="69" t="s">
        <v>160</v>
      </c>
      <c r="DC13" s="69" t="s">
        <v>160</v>
      </c>
      <c r="DD13" s="69" t="s">
        <v>160</v>
      </c>
      <c r="DE13" s="69" t="s">
        <v>160</v>
      </c>
      <c r="DF13" s="69" t="s">
        <v>160</v>
      </c>
      <c r="DG13" s="69" t="s">
        <v>160</v>
      </c>
      <c r="DH13" s="69" t="s">
        <v>160</v>
      </c>
      <c r="DI13" s="69" t="s">
        <v>160</v>
      </c>
      <c r="DJ13" s="69" t="s">
        <v>160</v>
      </c>
      <c r="DK13" s="69" t="s">
        <v>160</v>
      </c>
      <c r="DL13" s="69" t="s">
        <v>160</v>
      </c>
      <c r="DM13" s="69" t="s">
        <v>160</v>
      </c>
      <c r="DN13" s="69" t="s">
        <v>160</v>
      </c>
      <c r="DO13" s="69" t="s">
        <v>160</v>
      </c>
      <c r="DP13" s="69" t="s">
        <v>160</v>
      </c>
      <c r="DQ13" s="69" t="s">
        <v>160</v>
      </c>
      <c r="DR13" s="69" t="s">
        <v>160</v>
      </c>
      <c r="DS13" s="69" t="s">
        <v>160</v>
      </c>
      <c r="DT13" s="69" t="s">
        <v>160</v>
      </c>
      <c r="DU13" s="69" t="s">
        <v>160</v>
      </c>
      <c r="DV13" s="69" t="s">
        <v>160</v>
      </c>
      <c r="DW13" s="69" t="s">
        <v>160</v>
      </c>
      <c r="DX13" s="69" t="s">
        <v>160</v>
      </c>
      <c r="DY13" s="69" t="s">
        <v>160</v>
      </c>
      <c r="DZ13" s="69" t="s">
        <v>160</v>
      </c>
      <c r="EA13" s="69" t="s">
        <v>160</v>
      </c>
      <c r="EB13" s="69" t="s">
        <v>160</v>
      </c>
      <c r="EC13" s="69" t="s">
        <v>160</v>
      </c>
      <c r="ED13" s="69" t="s">
        <v>160</v>
      </c>
      <c r="EE13" s="69" t="s">
        <v>160</v>
      </c>
      <c r="EF13" s="69" t="s">
        <v>160</v>
      </c>
      <c r="EG13" s="69" t="s">
        <v>160</v>
      </c>
      <c r="EH13" s="69" t="s">
        <v>160</v>
      </c>
      <c r="EI13" s="69" t="s">
        <v>160</v>
      </c>
      <c r="EJ13" s="69" t="s">
        <v>160</v>
      </c>
      <c r="EK13" s="69" t="s">
        <v>160</v>
      </c>
      <c r="EL13" s="69" t="s">
        <v>160</v>
      </c>
      <c r="EM13" s="69" t="s">
        <v>160</v>
      </c>
      <c r="EN13" s="69" t="s">
        <v>160</v>
      </c>
      <c r="EO13" s="69" t="s">
        <v>160</v>
      </c>
      <c r="EP13" s="69" t="s">
        <v>160</v>
      </c>
      <c r="EQ13" s="69" t="s">
        <v>160</v>
      </c>
      <c r="ER13" s="69" t="s">
        <v>160</v>
      </c>
      <c r="ES13" s="69" t="s">
        <v>160</v>
      </c>
      <c r="ET13" s="69" t="s">
        <v>160</v>
      </c>
      <c r="EU13" s="69" t="s">
        <v>160</v>
      </c>
      <c r="EV13" s="69" t="s">
        <v>160</v>
      </c>
      <c r="EW13" s="69" t="s">
        <v>160</v>
      </c>
      <c r="EX13" s="69" t="s">
        <v>160</v>
      </c>
      <c r="EY13" s="69" t="s">
        <v>160</v>
      </c>
      <c r="EZ13" s="69" t="s">
        <v>160</v>
      </c>
      <c r="FA13" s="69" t="s">
        <v>160</v>
      </c>
      <c r="FB13" s="69" t="s">
        <v>160</v>
      </c>
      <c r="FC13" s="69" t="s">
        <v>160</v>
      </c>
      <c r="FD13" s="69" t="s">
        <v>160</v>
      </c>
    </row>
    <row r="14" spans="1:160">
      <c r="A14" s="103" t="s">
        <v>419</v>
      </c>
      <c r="B14" s="20" t="s">
        <v>163</v>
      </c>
      <c r="C14" s="50" t="s">
        <v>168</v>
      </c>
      <c r="G14" s="51" t="str">
        <f t="shared" si="0"/>
        <v>(V1.0) Technical design document of the UI interface for both Web and Mobile (Android) agreeable layout design</v>
      </c>
      <c r="H14" s="51" t="s">
        <v>2</v>
      </c>
      <c r="I14" s="64">
        <v>44652</v>
      </c>
      <c r="J14" s="64">
        <v>44742</v>
      </c>
      <c r="K14" s="64">
        <v>44652</v>
      </c>
      <c r="L14" s="64">
        <v>44965</v>
      </c>
      <c r="M14" s="64">
        <v>44966</v>
      </c>
      <c r="N14" s="64" t="b">
        <f t="shared" ref="N14:N15" si="3">ISNUMBER(SEARCH("*Waiting*",M14))</f>
        <v>0</v>
      </c>
      <c r="O14" s="64"/>
      <c r="P14" s="67">
        <v>1</v>
      </c>
      <c r="Q14" s="67"/>
      <c r="R14" s="51" t="s">
        <v>2</v>
      </c>
      <c r="S14" s="79" t="s">
        <v>160</v>
      </c>
      <c r="T14" s="80" t="s">
        <v>160</v>
      </c>
      <c r="U14" s="69" t="s">
        <v>160</v>
      </c>
      <c r="V14" s="69" t="s">
        <v>160</v>
      </c>
      <c r="W14" s="69" t="s">
        <v>160</v>
      </c>
      <c r="X14" s="69" t="s">
        <v>160</v>
      </c>
      <c r="Y14" s="69" t="s">
        <v>160</v>
      </c>
      <c r="Z14" s="69" t="s">
        <v>160</v>
      </c>
      <c r="AA14" s="69" t="s">
        <v>160</v>
      </c>
      <c r="AB14" s="69" t="s">
        <v>160</v>
      </c>
      <c r="AC14" s="69" t="s">
        <v>160</v>
      </c>
      <c r="AD14" s="69" t="s">
        <v>160</v>
      </c>
      <c r="AE14" s="69" t="s">
        <v>160</v>
      </c>
      <c r="AF14" s="69" t="s">
        <v>160</v>
      </c>
      <c r="AG14" s="69" t="s">
        <v>160</v>
      </c>
      <c r="AH14" s="69" t="s">
        <v>160</v>
      </c>
      <c r="AI14" s="69" t="s">
        <v>160</v>
      </c>
      <c r="AJ14" s="69" t="s">
        <v>160</v>
      </c>
      <c r="AK14" s="69" t="s">
        <v>160</v>
      </c>
      <c r="AL14" s="69" t="s">
        <v>160</v>
      </c>
      <c r="AM14" s="69" t="s">
        <v>160</v>
      </c>
      <c r="AN14" s="69" t="s">
        <v>160</v>
      </c>
      <c r="AO14" s="69" t="s">
        <v>160</v>
      </c>
      <c r="AP14" s="69" t="s">
        <v>160</v>
      </c>
      <c r="AQ14" s="69" t="s">
        <v>160</v>
      </c>
      <c r="AR14" s="69" t="s">
        <v>160</v>
      </c>
      <c r="AS14" s="69" t="s">
        <v>160</v>
      </c>
      <c r="AT14" s="69" t="s">
        <v>160</v>
      </c>
      <c r="AU14" s="69" t="s">
        <v>160</v>
      </c>
      <c r="AV14" s="69" t="s">
        <v>160</v>
      </c>
      <c r="AW14" s="69" t="s">
        <v>160</v>
      </c>
      <c r="AX14" s="69" t="s">
        <v>160</v>
      </c>
      <c r="AY14" s="69" t="s">
        <v>160</v>
      </c>
      <c r="AZ14" s="69" t="s">
        <v>160</v>
      </c>
      <c r="BA14" s="69" t="s">
        <v>160</v>
      </c>
      <c r="BB14" s="69" t="s">
        <v>160</v>
      </c>
      <c r="BC14" s="69" t="s">
        <v>160</v>
      </c>
      <c r="BD14" s="69" t="s">
        <v>160</v>
      </c>
      <c r="BE14" s="69" t="s">
        <v>160</v>
      </c>
      <c r="BF14" s="69" t="s">
        <v>160</v>
      </c>
      <c r="BG14" s="69" t="s">
        <v>160</v>
      </c>
      <c r="BH14" s="69" t="s">
        <v>160</v>
      </c>
      <c r="BI14" s="69" t="s">
        <v>160</v>
      </c>
      <c r="BJ14" s="69" t="s">
        <v>160</v>
      </c>
      <c r="BK14" s="69" t="s">
        <v>160</v>
      </c>
      <c r="BL14" s="69" t="s">
        <v>160</v>
      </c>
      <c r="BM14" s="69" t="s">
        <v>160</v>
      </c>
      <c r="BN14" s="69" t="s">
        <v>160</v>
      </c>
      <c r="BO14" s="69" t="s">
        <v>160</v>
      </c>
      <c r="BP14" s="69" t="s">
        <v>160</v>
      </c>
      <c r="BQ14" s="69" t="s">
        <v>160</v>
      </c>
      <c r="BR14" s="69" t="s">
        <v>160</v>
      </c>
      <c r="BS14" s="69" t="s">
        <v>160</v>
      </c>
      <c r="BT14" s="69" t="s">
        <v>160</v>
      </c>
      <c r="BU14" s="69" t="s">
        <v>160</v>
      </c>
      <c r="BV14" s="69" t="s">
        <v>160</v>
      </c>
      <c r="BW14" s="69" t="s">
        <v>160</v>
      </c>
      <c r="BX14" s="69" t="s">
        <v>160</v>
      </c>
      <c r="BY14" s="69" t="s">
        <v>160</v>
      </c>
      <c r="BZ14" s="69" t="s">
        <v>160</v>
      </c>
      <c r="CA14" s="69" t="s">
        <v>160</v>
      </c>
      <c r="CB14" s="69" t="s">
        <v>160</v>
      </c>
      <c r="CC14" s="69" t="s">
        <v>160</v>
      </c>
      <c r="CD14" s="69" t="s">
        <v>160</v>
      </c>
      <c r="CE14" s="69" t="s">
        <v>160</v>
      </c>
      <c r="CF14" s="69" t="s">
        <v>160</v>
      </c>
      <c r="CG14" s="69" t="s">
        <v>160</v>
      </c>
      <c r="CH14" s="69" t="s">
        <v>160</v>
      </c>
      <c r="CI14" s="69" t="s">
        <v>160</v>
      </c>
      <c r="CJ14" s="69" t="s">
        <v>160</v>
      </c>
      <c r="CK14" s="69" t="s">
        <v>160</v>
      </c>
      <c r="CL14" s="69" t="s">
        <v>160</v>
      </c>
      <c r="CM14" s="69" t="s">
        <v>160</v>
      </c>
      <c r="CN14" s="69" t="s">
        <v>160</v>
      </c>
      <c r="CO14" s="69" t="s">
        <v>160</v>
      </c>
      <c r="CP14" s="69" t="s">
        <v>160</v>
      </c>
      <c r="CQ14" s="69" t="s">
        <v>160</v>
      </c>
      <c r="CR14" s="69" t="s">
        <v>160</v>
      </c>
      <c r="CS14" s="69" t="s">
        <v>160</v>
      </c>
      <c r="CT14" s="69" t="s">
        <v>160</v>
      </c>
      <c r="CU14" s="69" t="s">
        <v>160</v>
      </c>
      <c r="CV14" s="69" t="s">
        <v>160</v>
      </c>
      <c r="CW14" s="69" t="s">
        <v>160</v>
      </c>
      <c r="CX14" s="69" t="s">
        <v>160</v>
      </c>
      <c r="CY14" s="69" t="s">
        <v>160</v>
      </c>
      <c r="CZ14" s="69" t="s">
        <v>160</v>
      </c>
      <c r="DA14" s="69" t="s">
        <v>160</v>
      </c>
      <c r="DB14" s="69" t="s">
        <v>160</v>
      </c>
      <c r="DC14" s="69" t="s">
        <v>160</v>
      </c>
      <c r="DD14" s="69" t="s">
        <v>160</v>
      </c>
      <c r="DE14" s="69" t="s">
        <v>160</v>
      </c>
      <c r="DF14" s="69" t="s">
        <v>160</v>
      </c>
      <c r="DG14" s="69" t="s">
        <v>160</v>
      </c>
      <c r="DH14" s="69" t="s">
        <v>160</v>
      </c>
      <c r="DI14" s="69" t="s">
        <v>160</v>
      </c>
      <c r="DJ14" s="69" t="s">
        <v>160</v>
      </c>
      <c r="DK14" s="69" t="s">
        <v>160</v>
      </c>
      <c r="DL14" s="69" t="s">
        <v>160</v>
      </c>
      <c r="DM14" s="69" t="s">
        <v>160</v>
      </c>
      <c r="DN14" s="69" t="s">
        <v>160</v>
      </c>
      <c r="DO14" s="69" t="s">
        <v>160</v>
      </c>
      <c r="DP14" s="69" t="s">
        <v>160</v>
      </c>
      <c r="DQ14" s="69" t="s">
        <v>160</v>
      </c>
      <c r="DR14" s="69" t="s">
        <v>160</v>
      </c>
      <c r="DS14" s="69" t="s">
        <v>160</v>
      </c>
      <c r="DT14" s="69" t="s">
        <v>160</v>
      </c>
      <c r="DU14" s="69" t="s">
        <v>160</v>
      </c>
      <c r="DV14" s="69" t="s">
        <v>160</v>
      </c>
      <c r="DW14" s="69" t="s">
        <v>160</v>
      </c>
      <c r="DX14" s="69" t="s">
        <v>160</v>
      </c>
      <c r="DY14" s="69" t="s">
        <v>160</v>
      </c>
      <c r="DZ14" s="69" t="s">
        <v>160</v>
      </c>
      <c r="EA14" s="69" t="s">
        <v>160</v>
      </c>
      <c r="EB14" s="69" t="s">
        <v>160</v>
      </c>
      <c r="EC14" s="69" t="s">
        <v>160</v>
      </c>
      <c r="ED14" s="69" t="s">
        <v>160</v>
      </c>
      <c r="EE14" s="69" t="s">
        <v>160</v>
      </c>
      <c r="EF14" s="69" t="s">
        <v>160</v>
      </c>
      <c r="EG14" s="69" t="s">
        <v>160</v>
      </c>
      <c r="EH14" s="69" t="s">
        <v>160</v>
      </c>
      <c r="EI14" s="69" t="s">
        <v>160</v>
      </c>
      <c r="EJ14" s="69" t="s">
        <v>160</v>
      </c>
      <c r="EK14" s="69" t="s">
        <v>160</v>
      </c>
      <c r="EL14" s="69" t="s">
        <v>160</v>
      </c>
      <c r="EM14" s="69" t="s">
        <v>160</v>
      </c>
      <c r="EN14" s="69" t="s">
        <v>160</v>
      </c>
      <c r="EO14" s="69" t="s">
        <v>160</v>
      </c>
      <c r="EP14" s="69" t="s">
        <v>160</v>
      </c>
      <c r="EQ14" s="69" t="s">
        <v>160</v>
      </c>
      <c r="ER14" s="69" t="s">
        <v>160</v>
      </c>
      <c r="ES14" s="69" t="s">
        <v>160</v>
      </c>
      <c r="ET14" s="69" t="s">
        <v>160</v>
      </c>
      <c r="EU14" s="69" t="s">
        <v>160</v>
      </c>
      <c r="EV14" s="69" t="s">
        <v>160</v>
      </c>
      <c r="EW14" s="69" t="s">
        <v>160</v>
      </c>
      <c r="EX14" s="69" t="s">
        <v>160</v>
      </c>
      <c r="EY14" s="69" t="s">
        <v>160</v>
      </c>
      <c r="EZ14" s="69" t="s">
        <v>160</v>
      </c>
      <c r="FA14" s="69" t="s">
        <v>160</v>
      </c>
      <c r="FB14" s="69" t="s">
        <v>160</v>
      </c>
      <c r="FC14" s="69" t="s">
        <v>160</v>
      </c>
      <c r="FD14" s="69" t="s">
        <v>160</v>
      </c>
    </row>
    <row r="15" spans="1:160" s="71" customFormat="1" ht="18.5" thickBot="1">
      <c r="A15" s="104" t="s">
        <v>416</v>
      </c>
      <c r="B15" s="105" t="s">
        <v>163</v>
      </c>
      <c r="C15" s="76" t="s">
        <v>169</v>
      </c>
      <c r="G15" s="71" t="str">
        <f t="shared" si="0"/>
        <v>(V2.0) Technical design document of the UI interface for both Web and Mobile (Android) agreeable layout design</v>
      </c>
      <c r="H15" s="71" t="s">
        <v>2</v>
      </c>
      <c r="I15" s="72">
        <v>44743</v>
      </c>
      <c r="J15" s="72">
        <v>45107</v>
      </c>
      <c r="K15" s="72">
        <v>44743</v>
      </c>
      <c r="L15" s="72">
        <v>45042</v>
      </c>
      <c r="M15" s="72">
        <v>45057</v>
      </c>
      <c r="N15" s="72" t="b">
        <f t="shared" si="3"/>
        <v>0</v>
      </c>
      <c r="O15" s="72"/>
      <c r="P15" s="73">
        <v>1</v>
      </c>
      <c r="Q15" s="73"/>
      <c r="R15" s="71" t="s">
        <v>2</v>
      </c>
      <c r="S15" s="74" t="s">
        <v>160</v>
      </c>
      <c r="T15" s="75" t="s">
        <v>160</v>
      </c>
      <c r="U15" s="81" t="s">
        <v>160</v>
      </c>
      <c r="V15" s="81" t="s">
        <v>160</v>
      </c>
      <c r="W15" s="75" t="s">
        <v>160</v>
      </c>
      <c r="X15" s="75" t="s">
        <v>160</v>
      </c>
      <c r="Y15" s="75" t="s">
        <v>160</v>
      </c>
      <c r="Z15" s="75" t="s">
        <v>160</v>
      </c>
      <c r="AA15" s="75" t="s">
        <v>160</v>
      </c>
      <c r="AB15" s="75" t="s">
        <v>160</v>
      </c>
      <c r="AC15" s="75" t="s">
        <v>160</v>
      </c>
      <c r="AD15" s="75" t="s">
        <v>160</v>
      </c>
      <c r="AE15" s="75" t="s">
        <v>160</v>
      </c>
      <c r="AF15" s="75" t="s">
        <v>160</v>
      </c>
      <c r="AG15" s="75" t="s">
        <v>160</v>
      </c>
      <c r="AH15" s="75" t="s">
        <v>160</v>
      </c>
      <c r="AI15" s="75" t="s">
        <v>160</v>
      </c>
      <c r="AJ15" s="75" t="s">
        <v>160</v>
      </c>
      <c r="AK15" s="75" t="s">
        <v>160</v>
      </c>
      <c r="AL15" s="75" t="s">
        <v>160</v>
      </c>
      <c r="AM15" s="75" t="s">
        <v>160</v>
      </c>
      <c r="AN15" s="75" t="s">
        <v>160</v>
      </c>
      <c r="AO15" s="75" t="s">
        <v>160</v>
      </c>
      <c r="AP15" s="75" t="s">
        <v>160</v>
      </c>
      <c r="AQ15" s="75" t="s">
        <v>160</v>
      </c>
      <c r="AR15" s="75" t="s">
        <v>160</v>
      </c>
      <c r="AS15" s="75" t="s">
        <v>160</v>
      </c>
      <c r="AT15" s="75" t="s">
        <v>160</v>
      </c>
      <c r="AU15" s="75" t="s">
        <v>160</v>
      </c>
      <c r="AV15" s="75" t="s">
        <v>160</v>
      </c>
      <c r="AW15" s="75" t="s">
        <v>160</v>
      </c>
      <c r="AX15" s="75" t="s">
        <v>160</v>
      </c>
      <c r="AY15" s="75" t="s">
        <v>160</v>
      </c>
      <c r="AZ15" s="75" t="s">
        <v>160</v>
      </c>
      <c r="BA15" s="75" t="s">
        <v>160</v>
      </c>
      <c r="BB15" s="75" t="s">
        <v>160</v>
      </c>
      <c r="BC15" s="75" t="s">
        <v>160</v>
      </c>
      <c r="BD15" s="75" t="s">
        <v>160</v>
      </c>
      <c r="BE15" s="75" t="s">
        <v>160</v>
      </c>
      <c r="BF15" s="75" t="s">
        <v>160</v>
      </c>
      <c r="BG15" s="75" t="s">
        <v>160</v>
      </c>
      <c r="BH15" s="75" t="s">
        <v>160</v>
      </c>
      <c r="BI15" s="75" t="s">
        <v>160</v>
      </c>
      <c r="BJ15" s="75" t="s">
        <v>160</v>
      </c>
      <c r="BK15" s="75" t="s">
        <v>160</v>
      </c>
      <c r="BL15" s="75" t="s">
        <v>160</v>
      </c>
      <c r="BM15" s="75" t="s">
        <v>160</v>
      </c>
      <c r="BN15" s="75" t="s">
        <v>160</v>
      </c>
      <c r="BO15" s="75" t="s">
        <v>160</v>
      </c>
      <c r="BP15" s="75" t="s">
        <v>160</v>
      </c>
      <c r="BQ15" s="75" t="s">
        <v>160</v>
      </c>
      <c r="BR15" s="75" t="s">
        <v>160</v>
      </c>
      <c r="BS15" s="75" t="s">
        <v>160</v>
      </c>
      <c r="BT15" s="75" t="s">
        <v>160</v>
      </c>
      <c r="BU15" s="75" t="s">
        <v>160</v>
      </c>
      <c r="BV15" s="75" t="s">
        <v>160</v>
      </c>
      <c r="BW15" s="75" t="s">
        <v>160</v>
      </c>
      <c r="BX15" s="75" t="s">
        <v>160</v>
      </c>
      <c r="BY15" s="75" t="s">
        <v>160</v>
      </c>
      <c r="BZ15" s="75" t="s">
        <v>160</v>
      </c>
      <c r="CA15" s="75" t="s">
        <v>160</v>
      </c>
      <c r="CB15" s="75" t="s">
        <v>160</v>
      </c>
      <c r="CC15" s="75" t="s">
        <v>160</v>
      </c>
      <c r="CD15" s="75" t="s">
        <v>160</v>
      </c>
      <c r="CE15" s="75" t="s">
        <v>160</v>
      </c>
      <c r="CF15" s="75" t="s">
        <v>160</v>
      </c>
      <c r="CG15" s="75" t="s">
        <v>160</v>
      </c>
      <c r="CH15" s="75" t="s">
        <v>160</v>
      </c>
      <c r="CI15" s="75" t="s">
        <v>160</v>
      </c>
      <c r="CJ15" s="75" t="s">
        <v>160</v>
      </c>
      <c r="CK15" s="75" t="s">
        <v>160</v>
      </c>
      <c r="CL15" s="75" t="s">
        <v>160</v>
      </c>
      <c r="CM15" s="75" t="s">
        <v>160</v>
      </c>
      <c r="CN15" s="75" t="s">
        <v>160</v>
      </c>
      <c r="CO15" s="75" t="s">
        <v>160</v>
      </c>
      <c r="CP15" s="75" t="s">
        <v>160</v>
      </c>
      <c r="CQ15" s="75" t="s">
        <v>160</v>
      </c>
      <c r="CR15" s="75" t="s">
        <v>160</v>
      </c>
      <c r="CS15" s="75" t="s">
        <v>160</v>
      </c>
      <c r="CT15" s="75" t="s">
        <v>160</v>
      </c>
      <c r="CU15" s="75" t="s">
        <v>160</v>
      </c>
      <c r="CV15" s="75" t="s">
        <v>160</v>
      </c>
      <c r="CW15" s="75" t="s">
        <v>160</v>
      </c>
      <c r="CX15" s="75" t="s">
        <v>160</v>
      </c>
      <c r="CY15" s="75" t="s">
        <v>160</v>
      </c>
      <c r="CZ15" s="75" t="s">
        <v>160</v>
      </c>
      <c r="DA15" s="75" t="s">
        <v>160</v>
      </c>
      <c r="DB15" s="75" t="s">
        <v>160</v>
      </c>
      <c r="DC15" s="75" t="s">
        <v>160</v>
      </c>
      <c r="DD15" s="75" t="s">
        <v>160</v>
      </c>
      <c r="DE15" s="75" t="s">
        <v>160</v>
      </c>
      <c r="DF15" s="75" t="s">
        <v>160</v>
      </c>
      <c r="DG15" s="75" t="s">
        <v>160</v>
      </c>
      <c r="DH15" s="75" t="s">
        <v>160</v>
      </c>
      <c r="DI15" s="75" t="s">
        <v>160</v>
      </c>
      <c r="DJ15" s="75" t="s">
        <v>160</v>
      </c>
      <c r="DK15" s="75" t="s">
        <v>160</v>
      </c>
      <c r="DL15" s="75" t="s">
        <v>160</v>
      </c>
      <c r="DM15" s="75" t="s">
        <v>160</v>
      </c>
      <c r="DN15" s="75" t="s">
        <v>160</v>
      </c>
      <c r="DO15" s="75" t="s">
        <v>160</v>
      </c>
      <c r="DP15" s="75" t="s">
        <v>160</v>
      </c>
      <c r="DQ15" s="75" t="s">
        <v>160</v>
      </c>
      <c r="DR15" s="75" t="s">
        <v>160</v>
      </c>
      <c r="DS15" s="75" t="s">
        <v>160</v>
      </c>
      <c r="DT15" s="75" t="s">
        <v>160</v>
      </c>
      <c r="DU15" s="75" t="s">
        <v>160</v>
      </c>
      <c r="DV15" s="75" t="s">
        <v>160</v>
      </c>
      <c r="DW15" s="75" t="s">
        <v>160</v>
      </c>
      <c r="DX15" s="75" t="s">
        <v>160</v>
      </c>
      <c r="DY15" s="75" t="s">
        <v>160</v>
      </c>
      <c r="DZ15" s="75" t="s">
        <v>160</v>
      </c>
      <c r="EA15" s="75" t="s">
        <v>160</v>
      </c>
      <c r="EB15" s="75" t="s">
        <v>160</v>
      </c>
      <c r="EC15" s="75" t="s">
        <v>160</v>
      </c>
      <c r="ED15" s="75" t="s">
        <v>160</v>
      </c>
      <c r="EE15" s="75" t="s">
        <v>160</v>
      </c>
      <c r="EF15" s="75" t="s">
        <v>160</v>
      </c>
      <c r="EG15" s="75" t="s">
        <v>160</v>
      </c>
      <c r="EH15" s="75" t="s">
        <v>160</v>
      </c>
      <c r="EI15" s="75" t="s">
        <v>160</v>
      </c>
      <c r="EJ15" s="75" t="s">
        <v>160</v>
      </c>
      <c r="EK15" s="75" t="s">
        <v>160</v>
      </c>
      <c r="EL15" s="75" t="s">
        <v>160</v>
      </c>
      <c r="EM15" s="75" t="s">
        <v>160</v>
      </c>
      <c r="EN15" s="75" t="s">
        <v>160</v>
      </c>
      <c r="EO15" s="75" t="s">
        <v>160</v>
      </c>
      <c r="EP15" s="75" t="s">
        <v>160</v>
      </c>
      <c r="EQ15" s="75" t="s">
        <v>160</v>
      </c>
      <c r="ER15" s="75" t="s">
        <v>160</v>
      </c>
      <c r="ES15" s="75" t="s">
        <v>160</v>
      </c>
      <c r="ET15" s="75" t="s">
        <v>160</v>
      </c>
      <c r="EU15" s="75" t="s">
        <v>160</v>
      </c>
      <c r="EV15" s="75" t="s">
        <v>160</v>
      </c>
      <c r="EW15" s="75" t="s">
        <v>160</v>
      </c>
      <c r="EX15" s="75" t="s">
        <v>160</v>
      </c>
      <c r="EY15" s="75" t="s">
        <v>160</v>
      </c>
      <c r="EZ15" s="75" t="s">
        <v>160</v>
      </c>
      <c r="FA15" s="75" t="s">
        <v>160</v>
      </c>
      <c r="FB15" s="75" t="s">
        <v>160</v>
      </c>
      <c r="FC15" s="75" t="s">
        <v>160</v>
      </c>
      <c r="FD15" s="75" t="s">
        <v>160</v>
      </c>
    </row>
    <row r="16" spans="1:160">
      <c r="A16" s="103" t="s">
        <v>421</v>
      </c>
      <c r="B16" s="22" t="s">
        <v>170</v>
      </c>
      <c r="G16" s="51" t="str">
        <f t="shared" si="0"/>
        <v>M3. Data Acquisition, Ingestion and Data Lake Framework</v>
      </c>
      <c r="H16" s="51" t="s">
        <v>2</v>
      </c>
      <c r="I16" s="64">
        <f ca="1">IF(SUM(I17:INDIRECT("I"&amp;$O16))=0,"",MIN(I17:INDIRECT("I"&amp;$O16)))</f>
        <v>44652</v>
      </c>
      <c r="J16" s="64">
        <f ca="1">IF(SUM(J17:INDIRECT("J"&amp;$O16))=0,"",MAX(J17:INDIRECT("J"&amp;$O16)))</f>
        <v>44773</v>
      </c>
      <c r="K16" s="64">
        <f ca="1">IF(SUM(K17:INDIRECT("K"&amp;$O16))=0,"",MIN(K17:INDIRECT("K"&amp;$O16)))</f>
        <v>44652</v>
      </c>
      <c r="L16" s="64">
        <f ca="1">IF(SUM(L17:INDIRECT("L"&amp;$O16))=0,"",MAX(L17:INDIRECT("L"&amp;$O16)))</f>
        <v>45077</v>
      </c>
      <c r="M16" s="64">
        <f ca="1">IF(N16,TODAY(),IF(SUM(M17:INDIRECT("M"&amp;$O16))=0,"",MAX(M17:INDIRECT("M"&amp;$O16))))</f>
        <v>45096</v>
      </c>
      <c r="N16" s="64" t="b">
        <f ca="1">OR(N17:INDIRECT("N"&amp;O16))</f>
        <v>1</v>
      </c>
      <c r="O16" s="65">
        <f>ROW()+COUNTA(N17:N21)</f>
        <v>21</v>
      </c>
      <c r="P16" s="66">
        <f>AVERAGE(P17:P21)</f>
        <v>0.94000000000000006</v>
      </c>
      <c r="Q16" s="67"/>
      <c r="R16" s="51" t="s">
        <v>2</v>
      </c>
      <c r="S16" s="77" t="s">
        <v>160</v>
      </c>
      <c r="T16" s="78" t="s">
        <v>160</v>
      </c>
      <c r="U16" s="78" t="s">
        <v>160</v>
      </c>
      <c r="V16" s="78" t="s">
        <v>160</v>
      </c>
      <c r="W16" s="69" t="s">
        <v>160</v>
      </c>
      <c r="X16" s="69" t="s">
        <v>160</v>
      </c>
      <c r="Y16" s="69" t="s">
        <v>160</v>
      </c>
      <c r="Z16" s="69" t="s">
        <v>160</v>
      </c>
      <c r="AA16" s="69" t="s">
        <v>160</v>
      </c>
      <c r="AB16" s="69" t="s">
        <v>160</v>
      </c>
      <c r="AC16" s="69" t="s">
        <v>160</v>
      </c>
      <c r="AD16" s="69" t="s">
        <v>160</v>
      </c>
      <c r="AE16" s="69" t="s">
        <v>160</v>
      </c>
      <c r="AF16" s="69" t="s">
        <v>160</v>
      </c>
      <c r="AG16" s="69" t="s">
        <v>160</v>
      </c>
      <c r="AH16" s="69" t="s">
        <v>160</v>
      </c>
      <c r="AI16" s="69" t="s">
        <v>160</v>
      </c>
      <c r="AJ16" s="69" t="s">
        <v>160</v>
      </c>
      <c r="AK16" s="69" t="s">
        <v>160</v>
      </c>
      <c r="AL16" s="69" t="s">
        <v>160</v>
      </c>
      <c r="AM16" s="69" t="s">
        <v>160</v>
      </c>
      <c r="AN16" s="69" t="s">
        <v>160</v>
      </c>
      <c r="AO16" s="69" t="s">
        <v>160</v>
      </c>
      <c r="AP16" s="69" t="s">
        <v>160</v>
      </c>
      <c r="AQ16" s="69" t="s">
        <v>160</v>
      </c>
      <c r="AR16" s="69" t="s">
        <v>160</v>
      </c>
      <c r="AS16" s="69" t="s">
        <v>160</v>
      </c>
      <c r="AT16" s="69" t="s">
        <v>160</v>
      </c>
      <c r="AU16" s="69" t="s">
        <v>160</v>
      </c>
      <c r="AV16" s="69" t="s">
        <v>160</v>
      </c>
      <c r="AW16" s="69" t="s">
        <v>160</v>
      </c>
      <c r="AX16" s="69" t="s">
        <v>160</v>
      </c>
      <c r="AY16" s="69" t="s">
        <v>160</v>
      </c>
      <c r="AZ16" s="69" t="s">
        <v>160</v>
      </c>
      <c r="BA16" s="69" t="s">
        <v>160</v>
      </c>
      <c r="BB16" s="69" t="s">
        <v>160</v>
      </c>
      <c r="BC16" s="69" t="s">
        <v>160</v>
      </c>
      <c r="BD16" s="69" t="s">
        <v>160</v>
      </c>
      <c r="BE16" s="69" t="s">
        <v>160</v>
      </c>
      <c r="BF16" s="69" t="s">
        <v>160</v>
      </c>
      <c r="BG16" s="69" t="s">
        <v>160</v>
      </c>
      <c r="BH16" s="69" t="s">
        <v>160</v>
      </c>
      <c r="BI16" s="69" t="s">
        <v>160</v>
      </c>
      <c r="BJ16" s="69" t="s">
        <v>160</v>
      </c>
      <c r="BK16" s="69" t="s">
        <v>160</v>
      </c>
      <c r="BL16" s="69" t="s">
        <v>160</v>
      </c>
      <c r="BM16" s="69" t="s">
        <v>160</v>
      </c>
      <c r="BN16" s="69" t="s">
        <v>160</v>
      </c>
      <c r="BO16" s="69" t="s">
        <v>160</v>
      </c>
      <c r="BP16" s="69" t="s">
        <v>160</v>
      </c>
      <c r="BQ16" s="69" t="s">
        <v>160</v>
      </c>
      <c r="BR16" s="69" t="s">
        <v>160</v>
      </c>
      <c r="BS16" s="69" t="s">
        <v>160</v>
      </c>
      <c r="BT16" s="69" t="s">
        <v>160</v>
      </c>
      <c r="BU16" s="69" t="s">
        <v>160</v>
      </c>
      <c r="BV16" s="69" t="s">
        <v>160</v>
      </c>
      <c r="BW16" s="69" t="s">
        <v>160</v>
      </c>
      <c r="BX16" s="69" t="s">
        <v>160</v>
      </c>
      <c r="BY16" s="69" t="s">
        <v>160</v>
      </c>
      <c r="BZ16" s="69" t="s">
        <v>160</v>
      </c>
      <c r="CA16" s="69" t="s">
        <v>160</v>
      </c>
      <c r="CB16" s="69" t="s">
        <v>160</v>
      </c>
      <c r="CC16" s="69" t="s">
        <v>160</v>
      </c>
      <c r="CD16" s="69" t="s">
        <v>160</v>
      </c>
      <c r="CE16" s="69" t="s">
        <v>160</v>
      </c>
      <c r="CF16" s="69" t="s">
        <v>160</v>
      </c>
      <c r="CG16" s="69" t="s">
        <v>160</v>
      </c>
      <c r="CH16" s="69" t="s">
        <v>160</v>
      </c>
      <c r="CI16" s="69" t="s">
        <v>160</v>
      </c>
      <c r="CJ16" s="69" t="s">
        <v>160</v>
      </c>
      <c r="CK16" s="69" t="s">
        <v>160</v>
      </c>
      <c r="CL16" s="69" t="s">
        <v>160</v>
      </c>
      <c r="CM16" s="69" t="s">
        <v>160</v>
      </c>
      <c r="CN16" s="69" t="s">
        <v>160</v>
      </c>
      <c r="CO16" s="69" t="s">
        <v>160</v>
      </c>
      <c r="CP16" s="69" t="s">
        <v>160</v>
      </c>
      <c r="CQ16" s="69" t="s">
        <v>160</v>
      </c>
      <c r="CR16" s="69" t="s">
        <v>160</v>
      </c>
      <c r="CS16" s="69" t="s">
        <v>160</v>
      </c>
      <c r="CT16" s="69" t="s">
        <v>160</v>
      </c>
      <c r="CU16" s="69" t="s">
        <v>160</v>
      </c>
      <c r="CV16" s="69" t="s">
        <v>160</v>
      </c>
      <c r="CW16" s="69" t="s">
        <v>160</v>
      </c>
      <c r="CX16" s="69" t="s">
        <v>160</v>
      </c>
      <c r="CY16" s="69" t="s">
        <v>160</v>
      </c>
      <c r="CZ16" s="69" t="s">
        <v>160</v>
      </c>
      <c r="DA16" s="69" t="s">
        <v>160</v>
      </c>
      <c r="DB16" s="69" t="s">
        <v>160</v>
      </c>
      <c r="DC16" s="69" t="s">
        <v>160</v>
      </c>
      <c r="DD16" s="69" t="s">
        <v>160</v>
      </c>
      <c r="DE16" s="69" t="s">
        <v>160</v>
      </c>
      <c r="DF16" s="69" t="s">
        <v>160</v>
      </c>
      <c r="DG16" s="69" t="s">
        <v>160</v>
      </c>
      <c r="DH16" s="69" t="s">
        <v>160</v>
      </c>
      <c r="DI16" s="69" t="s">
        <v>160</v>
      </c>
      <c r="DJ16" s="69" t="s">
        <v>160</v>
      </c>
      <c r="DK16" s="69" t="s">
        <v>160</v>
      </c>
      <c r="DL16" s="69" t="s">
        <v>160</v>
      </c>
      <c r="DM16" s="69" t="s">
        <v>160</v>
      </c>
      <c r="DN16" s="69" t="s">
        <v>160</v>
      </c>
      <c r="DO16" s="69" t="s">
        <v>160</v>
      </c>
      <c r="DP16" s="69" t="s">
        <v>160</v>
      </c>
      <c r="DQ16" s="69" t="s">
        <v>160</v>
      </c>
      <c r="DR16" s="69" t="s">
        <v>160</v>
      </c>
      <c r="DS16" s="69" t="s">
        <v>160</v>
      </c>
      <c r="DT16" s="69" t="s">
        <v>160</v>
      </c>
      <c r="DU16" s="69" t="s">
        <v>160</v>
      </c>
      <c r="DV16" s="69" t="s">
        <v>160</v>
      </c>
      <c r="DW16" s="69" t="s">
        <v>160</v>
      </c>
      <c r="DX16" s="69" t="s">
        <v>160</v>
      </c>
      <c r="DY16" s="69" t="s">
        <v>160</v>
      </c>
      <c r="DZ16" s="69" t="s">
        <v>160</v>
      </c>
      <c r="EA16" s="69" t="s">
        <v>160</v>
      </c>
      <c r="EB16" s="69" t="s">
        <v>160</v>
      </c>
      <c r="EC16" s="69" t="s">
        <v>160</v>
      </c>
      <c r="ED16" s="69" t="s">
        <v>160</v>
      </c>
      <c r="EE16" s="69" t="s">
        <v>160</v>
      </c>
      <c r="EF16" s="69" t="s">
        <v>160</v>
      </c>
      <c r="EG16" s="69" t="s">
        <v>160</v>
      </c>
      <c r="EH16" s="69" t="s">
        <v>160</v>
      </c>
      <c r="EI16" s="69" t="s">
        <v>160</v>
      </c>
      <c r="EJ16" s="69" t="s">
        <v>160</v>
      </c>
      <c r="EK16" s="69" t="s">
        <v>160</v>
      </c>
      <c r="EL16" s="69" t="s">
        <v>160</v>
      </c>
      <c r="EM16" s="69" t="s">
        <v>160</v>
      </c>
      <c r="EN16" s="69" t="s">
        <v>160</v>
      </c>
      <c r="EO16" s="69" t="s">
        <v>160</v>
      </c>
      <c r="EP16" s="69" t="s">
        <v>160</v>
      </c>
      <c r="EQ16" s="69" t="s">
        <v>160</v>
      </c>
      <c r="ER16" s="69" t="s">
        <v>160</v>
      </c>
      <c r="ES16" s="69" t="s">
        <v>160</v>
      </c>
      <c r="ET16" s="69" t="s">
        <v>160</v>
      </c>
      <c r="EU16" s="69" t="s">
        <v>160</v>
      </c>
      <c r="EV16" s="69" t="s">
        <v>160</v>
      </c>
      <c r="EW16" s="69" t="s">
        <v>160</v>
      </c>
      <c r="EX16" s="69" t="s">
        <v>160</v>
      </c>
      <c r="EY16" s="69" t="s">
        <v>160</v>
      </c>
      <c r="EZ16" s="69" t="s">
        <v>160</v>
      </c>
      <c r="FA16" s="69" t="s">
        <v>160</v>
      </c>
      <c r="FB16" s="69" t="s">
        <v>160</v>
      </c>
      <c r="FC16" s="69" t="s">
        <v>160</v>
      </c>
      <c r="FD16" s="69" t="s">
        <v>160</v>
      </c>
    </row>
    <row r="17" spans="1:160">
      <c r="A17" s="103" t="s">
        <v>422</v>
      </c>
      <c r="B17" s="107" t="s">
        <v>163</v>
      </c>
      <c r="C17" s="50" t="s">
        <v>171</v>
      </c>
      <c r="G17" s="51" t="str">
        <f t="shared" si="0"/>
        <v>Technical design document explaining the data schema and algorithm</v>
      </c>
      <c r="H17" s="51" t="s">
        <v>2</v>
      </c>
      <c r="I17" s="64">
        <v>44652</v>
      </c>
      <c r="J17" s="64">
        <v>44773</v>
      </c>
      <c r="K17" s="64">
        <v>44652</v>
      </c>
      <c r="L17" s="64">
        <v>44764</v>
      </c>
      <c r="M17" s="64">
        <v>44823</v>
      </c>
      <c r="N17" s="64" t="b">
        <f>ISNUMBER(SEARCH("*Waiting*",M17))</f>
        <v>0</v>
      </c>
      <c r="O17" s="64"/>
      <c r="P17" s="67">
        <v>1</v>
      </c>
      <c r="Q17" s="67"/>
      <c r="R17" s="51" t="s">
        <v>2</v>
      </c>
      <c r="S17" s="68" t="s">
        <v>160</v>
      </c>
      <c r="T17" s="69" t="s">
        <v>160</v>
      </c>
      <c r="U17" s="69" t="s">
        <v>160</v>
      </c>
      <c r="V17" s="80" t="s">
        <v>160</v>
      </c>
      <c r="W17" s="69" t="s">
        <v>160</v>
      </c>
      <c r="X17" s="69" t="s">
        <v>160</v>
      </c>
      <c r="Y17" s="69" t="s">
        <v>160</v>
      </c>
      <c r="Z17" s="69" t="s">
        <v>160</v>
      </c>
      <c r="AA17" s="69" t="s">
        <v>160</v>
      </c>
      <c r="AB17" s="69" t="s">
        <v>160</v>
      </c>
      <c r="AC17" s="69" t="s">
        <v>160</v>
      </c>
      <c r="AD17" s="69" t="s">
        <v>160</v>
      </c>
      <c r="AE17" s="69" t="s">
        <v>160</v>
      </c>
      <c r="AF17" s="69" t="s">
        <v>160</v>
      </c>
      <c r="AG17" s="69" t="s">
        <v>160</v>
      </c>
      <c r="AH17" s="69" t="s">
        <v>160</v>
      </c>
      <c r="AI17" s="69" t="s">
        <v>160</v>
      </c>
      <c r="AJ17" s="69" t="s">
        <v>160</v>
      </c>
      <c r="AK17" s="69" t="s">
        <v>160</v>
      </c>
      <c r="AL17" s="69" t="s">
        <v>160</v>
      </c>
      <c r="AM17" s="69" t="s">
        <v>160</v>
      </c>
      <c r="AN17" s="69" t="s">
        <v>160</v>
      </c>
      <c r="AO17" s="69" t="s">
        <v>160</v>
      </c>
      <c r="AP17" s="69" t="s">
        <v>160</v>
      </c>
      <c r="AQ17" s="69" t="s">
        <v>160</v>
      </c>
      <c r="AR17" s="69" t="s">
        <v>160</v>
      </c>
      <c r="AS17" s="69" t="s">
        <v>160</v>
      </c>
      <c r="AT17" s="69" t="s">
        <v>160</v>
      </c>
      <c r="AU17" s="69" t="s">
        <v>160</v>
      </c>
      <c r="AV17" s="69" t="s">
        <v>160</v>
      </c>
      <c r="AW17" s="69" t="s">
        <v>160</v>
      </c>
      <c r="AX17" s="69" t="s">
        <v>160</v>
      </c>
      <c r="AY17" s="69" t="s">
        <v>160</v>
      </c>
      <c r="AZ17" s="69" t="s">
        <v>160</v>
      </c>
      <c r="BA17" s="69" t="s">
        <v>160</v>
      </c>
      <c r="BB17" s="69" t="s">
        <v>160</v>
      </c>
      <c r="BC17" s="69" t="s">
        <v>160</v>
      </c>
      <c r="BD17" s="69" t="s">
        <v>160</v>
      </c>
      <c r="BE17" s="69" t="s">
        <v>160</v>
      </c>
      <c r="BF17" s="69" t="s">
        <v>160</v>
      </c>
      <c r="BG17" s="69" t="s">
        <v>160</v>
      </c>
      <c r="BH17" s="69" t="s">
        <v>160</v>
      </c>
      <c r="BI17" s="69" t="s">
        <v>160</v>
      </c>
      <c r="BJ17" s="69" t="s">
        <v>160</v>
      </c>
      <c r="BK17" s="69" t="s">
        <v>160</v>
      </c>
      <c r="BL17" s="69" t="s">
        <v>160</v>
      </c>
      <c r="BM17" s="69" t="s">
        <v>160</v>
      </c>
      <c r="BN17" s="69" t="s">
        <v>160</v>
      </c>
      <c r="BO17" s="69" t="s">
        <v>160</v>
      </c>
      <c r="BP17" s="69" t="s">
        <v>160</v>
      </c>
      <c r="BQ17" s="69" t="s">
        <v>160</v>
      </c>
      <c r="BR17" s="69" t="s">
        <v>160</v>
      </c>
      <c r="BS17" s="69" t="s">
        <v>160</v>
      </c>
      <c r="BT17" s="69" t="s">
        <v>160</v>
      </c>
      <c r="BU17" s="69" t="s">
        <v>160</v>
      </c>
      <c r="BV17" s="69" t="s">
        <v>160</v>
      </c>
      <c r="BW17" s="69" t="s">
        <v>160</v>
      </c>
      <c r="BX17" s="69" t="s">
        <v>160</v>
      </c>
      <c r="BY17" s="69" t="s">
        <v>160</v>
      </c>
      <c r="BZ17" s="69" t="s">
        <v>160</v>
      </c>
      <c r="CA17" s="69" t="s">
        <v>160</v>
      </c>
      <c r="CB17" s="69" t="s">
        <v>160</v>
      </c>
      <c r="CC17" s="69" t="s">
        <v>160</v>
      </c>
      <c r="CD17" s="69" t="s">
        <v>160</v>
      </c>
      <c r="CE17" s="69" t="s">
        <v>160</v>
      </c>
      <c r="CF17" s="69" t="s">
        <v>160</v>
      </c>
      <c r="CG17" s="69" t="s">
        <v>160</v>
      </c>
      <c r="CH17" s="69" t="s">
        <v>160</v>
      </c>
      <c r="CI17" s="69" t="s">
        <v>160</v>
      </c>
      <c r="CJ17" s="69" t="s">
        <v>160</v>
      </c>
      <c r="CK17" s="69" t="s">
        <v>160</v>
      </c>
      <c r="CL17" s="69" t="s">
        <v>160</v>
      </c>
      <c r="CM17" s="69" t="s">
        <v>160</v>
      </c>
      <c r="CN17" s="69" t="s">
        <v>160</v>
      </c>
      <c r="CO17" s="69" t="s">
        <v>160</v>
      </c>
      <c r="CP17" s="69" t="s">
        <v>160</v>
      </c>
      <c r="CQ17" s="69" t="s">
        <v>160</v>
      </c>
      <c r="CR17" s="69" t="s">
        <v>160</v>
      </c>
      <c r="CS17" s="69" t="s">
        <v>160</v>
      </c>
      <c r="CT17" s="69" t="s">
        <v>160</v>
      </c>
      <c r="CU17" s="69" t="s">
        <v>160</v>
      </c>
      <c r="CV17" s="69" t="s">
        <v>160</v>
      </c>
      <c r="CW17" s="69" t="s">
        <v>160</v>
      </c>
      <c r="CX17" s="69" t="s">
        <v>160</v>
      </c>
      <c r="CY17" s="69" t="s">
        <v>160</v>
      </c>
      <c r="CZ17" s="69" t="s">
        <v>160</v>
      </c>
      <c r="DA17" s="69" t="s">
        <v>160</v>
      </c>
      <c r="DB17" s="69" t="s">
        <v>160</v>
      </c>
      <c r="DC17" s="69" t="s">
        <v>160</v>
      </c>
      <c r="DD17" s="69" t="s">
        <v>160</v>
      </c>
      <c r="DE17" s="69" t="s">
        <v>160</v>
      </c>
      <c r="DF17" s="69" t="s">
        <v>160</v>
      </c>
      <c r="DG17" s="69" t="s">
        <v>160</v>
      </c>
      <c r="DH17" s="69" t="s">
        <v>160</v>
      </c>
      <c r="DI17" s="69" t="s">
        <v>160</v>
      </c>
      <c r="DJ17" s="69" t="s">
        <v>160</v>
      </c>
      <c r="DK17" s="69" t="s">
        <v>160</v>
      </c>
      <c r="DL17" s="69" t="s">
        <v>160</v>
      </c>
      <c r="DM17" s="69" t="s">
        <v>160</v>
      </c>
      <c r="DN17" s="69" t="s">
        <v>160</v>
      </c>
      <c r="DO17" s="69" t="s">
        <v>160</v>
      </c>
      <c r="DP17" s="69" t="s">
        <v>160</v>
      </c>
      <c r="DQ17" s="69" t="s">
        <v>160</v>
      </c>
      <c r="DR17" s="69" t="s">
        <v>160</v>
      </c>
      <c r="DS17" s="69" t="s">
        <v>160</v>
      </c>
      <c r="DT17" s="69" t="s">
        <v>160</v>
      </c>
      <c r="DU17" s="69" t="s">
        <v>160</v>
      </c>
      <c r="DV17" s="69" t="s">
        <v>160</v>
      </c>
      <c r="DW17" s="69" t="s">
        <v>160</v>
      </c>
      <c r="DX17" s="69" t="s">
        <v>160</v>
      </c>
      <c r="DY17" s="69" t="s">
        <v>160</v>
      </c>
      <c r="DZ17" s="69" t="s">
        <v>160</v>
      </c>
      <c r="EA17" s="69" t="s">
        <v>160</v>
      </c>
      <c r="EB17" s="69" t="s">
        <v>160</v>
      </c>
      <c r="EC17" s="69" t="s">
        <v>160</v>
      </c>
      <c r="ED17" s="69" t="s">
        <v>160</v>
      </c>
      <c r="EE17" s="69" t="s">
        <v>160</v>
      </c>
      <c r="EF17" s="69" t="s">
        <v>160</v>
      </c>
      <c r="EG17" s="69" t="s">
        <v>160</v>
      </c>
      <c r="EH17" s="69" t="s">
        <v>160</v>
      </c>
      <c r="EI17" s="69" t="s">
        <v>160</v>
      </c>
      <c r="EJ17" s="69" t="s">
        <v>160</v>
      </c>
      <c r="EK17" s="69" t="s">
        <v>160</v>
      </c>
      <c r="EL17" s="69" t="s">
        <v>160</v>
      </c>
      <c r="EM17" s="69" t="s">
        <v>160</v>
      </c>
      <c r="EN17" s="69" t="s">
        <v>160</v>
      </c>
      <c r="EO17" s="69" t="s">
        <v>160</v>
      </c>
      <c r="EP17" s="69" t="s">
        <v>160</v>
      </c>
      <c r="EQ17" s="69" t="s">
        <v>160</v>
      </c>
      <c r="ER17" s="69" t="s">
        <v>160</v>
      </c>
      <c r="ES17" s="69" t="s">
        <v>160</v>
      </c>
      <c r="ET17" s="69" t="s">
        <v>160</v>
      </c>
      <c r="EU17" s="69" t="s">
        <v>160</v>
      </c>
      <c r="EV17" s="69" t="s">
        <v>160</v>
      </c>
      <c r="EW17" s="69" t="s">
        <v>160</v>
      </c>
      <c r="EX17" s="69" t="s">
        <v>160</v>
      </c>
      <c r="EY17" s="69" t="s">
        <v>160</v>
      </c>
      <c r="EZ17" s="69" t="s">
        <v>160</v>
      </c>
      <c r="FA17" s="69" t="s">
        <v>160</v>
      </c>
      <c r="FB17" s="69" t="s">
        <v>160</v>
      </c>
      <c r="FC17" s="69" t="s">
        <v>160</v>
      </c>
      <c r="FD17" s="69" t="s">
        <v>160</v>
      </c>
    </row>
    <row r="18" spans="1:160">
      <c r="A18" s="103" t="s">
        <v>407</v>
      </c>
      <c r="B18" s="20" t="s">
        <v>163</v>
      </c>
      <c r="C18" s="50" t="s">
        <v>172</v>
      </c>
      <c r="G18" s="51" t="str">
        <f t="shared" si="0"/>
        <v>Software Code</v>
      </c>
      <c r="H18" s="51" t="s">
        <v>2</v>
      </c>
      <c r="I18" s="64">
        <v>44652</v>
      </c>
      <c r="J18" s="64">
        <v>44773</v>
      </c>
      <c r="K18" s="64">
        <v>44652</v>
      </c>
      <c r="L18" s="64">
        <v>44764</v>
      </c>
      <c r="M18" s="64">
        <v>44823</v>
      </c>
      <c r="N18" s="64" t="b">
        <f t="shared" ref="N18:N21" si="4">ISNUMBER(SEARCH("*Waiting*",M18))</f>
        <v>0</v>
      </c>
      <c r="O18" s="64"/>
      <c r="P18" s="67">
        <v>1</v>
      </c>
      <c r="Q18" s="67"/>
      <c r="R18" s="51" t="s">
        <v>2</v>
      </c>
      <c r="S18" s="79" t="s">
        <v>160</v>
      </c>
      <c r="T18" s="80" t="s">
        <v>160</v>
      </c>
      <c r="U18" s="80" t="s">
        <v>160</v>
      </c>
      <c r="V18" s="69" t="s">
        <v>160</v>
      </c>
      <c r="W18" s="69" t="s">
        <v>160</v>
      </c>
      <c r="X18" s="69" t="s">
        <v>160</v>
      </c>
      <c r="Y18" s="69" t="s">
        <v>160</v>
      </c>
      <c r="Z18" s="69" t="s">
        <v>160</v>
      </c>
      <c r="AA18" s="69" t="s">
        <v>160</v>
      </c>
      <c r="AB18" s="69" t="s">
        <v>160</v>
      </c>
      <c r="AC18" s="69" t="s">
        <v>160</v>
      </c>
      <c r="AD18" s="69" t="s">
        <v>160</v>
      </c>
      <c r="AE18" s="69" t="s">
        <v>160</v>
      </c>
      <c r="AF18" s="69" t="s">
        <v>160</v>
      </c>
      <c r="AG18" s="69" t="s">
        <v>160</v>
      </c>
      <c r="AH18" s="69" t="s">
        <v>160</v>
      </c>
      <c r="AI18" s="69" t="s">
        <v>160</v>
      </c>
      <c r="AJ18" s="69" t="s">
        <v>160</v>
      </c>
      <c r="AK18" s="69" t="s">
        <v>160</v>
      </c>
      <c r="AL18" s="69" t="s">
        <v>160</v>
      </c>
      <c r="AM18" s="69" t="s">
        <v>160</v>
      </c>
      <c r="AN18" s="69" t="s">
        <v>160</v>
      </c>
      <c r="AO18" s="69" t="s">
        <v>160</v>
      </c>
      <c r="AP18" s="69" t="s">
        <v>160</v>
      </c>
      <c r="AQ18" s="69" t="s">
        <v>160</v>
      </c>
      <c r="AR18" s="69" t="s">
        <v>160</v>
      </c>
      <c r="AS18" s="69" t="s">
        <v>160</v>
      </c>
      <c r="AT18" s="69" t="s">
        <v>160</v>
      </c>
      <c r="AU18" s="69" t="s">
        <v>160</v>
      </c>
      <c r="AV18" s="69" t="s">
        <v>160</v>
      </c>
      <c r="AW18" s="69" t="s">
        <v>160</v>
      </c>
      <c r="AX18" s="69" t="s">
        <v>160</v>
      </c>
      <c r="AY18" s="69" t="s">
        <v>160</v>
      </c>
      <c r="AZ18" s="69" t="s">
        <v>160</v>
      </c>
      <c r="BA18" s="69" t="s">
        <v>160</v>
      </c>
      <c r="BB18" s="69" t="s">
        <v>160</v>
      </c>
      <c r="BC18" s="69" t="s">
        <v>160</v>
      </c>
      <c r="BD18" s="69" t="s">
        <v>160</v>
      </c>
      <c r="BE18" s="69" t="s">
        <v>160</v>
      </c>
      <c r="BF18" s="69" t="s">
        <v>160</v>
      </c>
      <c r="BG18" s="69" t="s">
        <v>160</v>
      </c>
      <c r="BH18" s="69" t="s">
        <v>160</v>
      </c>
      <c r="BI18" s="69" t="s">
        <v>160</v>
      </c>
      <c r="BJ18" s="69" t="s">
        <v>160</v>
      </c>
      <c r="BK18" s="69" t="s">
        <v>160</v>
      </c>
      <c r="BL18" s="69" t="s">
        <v>160</v>
      </c>
      <c r="BM18" s="69" t="s">
        <v>160</v>
      </c>
      <c r="BN18" s="69" t="s">
        <v>160</v>
      </c>
      <c r="BO18" s="69" t="s">
        <v>160</v>
      </c>
      <c r="BP18" s="69" t="s">
        <v>160</v>
      </c>
      <c r="BQ18" s="69" t="s">
        <v>160</v>
      </c>
      <c r="BR18" s="69" t="s">
        <v>160</v>
      </c>
      <c r="BS18" s="69" t="s">
        <v>160</v>
      </c>
      <c r="BT18" s="69" t="s">
        <v>160</v>
      </c>
      <c r="BU18" s="69" t="s">
        <v>160</v>
      </c>
      <c r="BV18" s="69" t="s">
        <v>160</v>
      </c>
      <c r="BW18" s="69" t="s">
        <v>160</v>
      </c>
      <c r="BX18" s="69" t="s">
        <v>160</v>
      </c>
      <c r="BY18" s="69" t="s">
        <v>160</v>
      </c>
      <c r="BZ18" s="69" t="s">
        <v>160</v>
      </c>
      <c r="CA18" s="69" t="s">
        <v>160</v>
      </c>
      <c r="CB18" s="69" t="s">
        <v>160</v>
      </c>
      <c r="CC18" s="69" t="s">
        <v>160</v>
      </c>
      <c r="CD18" s="69" t="s">
        <v>160</v>
      </c>
      <c r="CE18" s="69" t="s">
        <v>160</v>
      </c>
      <c r="CF18" s="69" t="s">
        <v>160</v>
      </c>
      <c r="CG18" s="69" t="s">
        <v>160</v>
      </c>
      <c r="CH18" s="69" t="s">
        <v>160</v>
      </c>
      <c r="CI18" s="69" t="s">
        <v>160</v>
      </c>
      <c r="CJ18" s="69" t="s">
        <v>160</v>
      </c>
      <c r="CK18" s="69" t="s">
        <v>160</v>
      </c>
      <c r="CL18" s="69" t="s">
        <v>160</v>
      </c>
      <c r="CM18" s="69" t="s">
        <v>160</v>
      </c>
      <c r="CN18" s="69" t="s">
        <v>160</v>
      </c>
      <c r="CO18" s="69" t="s">
        <v>160</v>
      </c>
      <c r="CP18" s="69" t="s">
        <v>160</v>
      </c>
      <c r="CQ18" s="69" t="s">
        <v>160</v>
      </c>
      <c r="CR18" s="69" t="s">
        <v>160</v>
      </c>
      <c r="CS18" s="69" t="s">
        <v>160</v>
      </c>
      <c r="CT18" s="69" t="s">
        <v>160</v>
      </c>
      <c r="CU18" s="69" t="s">
        <v>160</v>
      </c>
      <c r="CV18" s="69" t="s">
        <v>160</v>
      </c>
      <c r="CW18" s="69" t="s">
        <v>160</v>
      </c>
      <c r="CX18" s="69" t="s">
        <v>160</v>
      </c>
      <c r="CY18" s="69" t="s">
        <v>160</v>
      </c>
      <c r="CZ18" s="69" t="s">
        <v>160</v>
      </c>
      <c r="DA18" s="69" t="s">
        <v>160</v>
      </c>
      <c r="DB18" s="69" t="s">
        <v>160</v>
      </c>
      <c r="DC18" s="69" t="s">
        <v>160</v>
      </c>
      <c r="DD18" s="69" t="s">
        <v>160</v>
      </c>
      <c r="DE18" s="69" t="s">
        <v>160</v>
      </c>
      <c r="DF18" s="69" t="s">
        <v>160</v>
      </c>
      <c r="DG18" s="69" t="s">
        <v>160</v>
      </c>
      <c r="DH18" s="69" t="s">
        <v>160</v>
      </c>
      <c r="DI18" s="69" t="s">
        <v>160</v>
      </c>
      <c r="DJ18" s="69" t="s">
        <v>160</v>
      </c>
      <c r="DK18" s="69" t="s">
        <v>160</v>
      </c>
      <c r="DL18" s="69" t="s">
        <v>160</v>
      </c>
      <c r="DM18" s="69" t="s">
        <v>160</v>
      </c>
      <c r="DN18" s="69" t="s">
        <v>160</v>
      </c>
      <c r="DO18" s="69" t="s">
        <v>160</v>
      </c>
      <c r="DP18" s="69" t="s">
        <v>160</v>
      </c>
      <c r="DQ18" s="69" t="s">
        <v>160</v>
      </c>
      <c r="DR18" s="69" t="s">
        <v>160</v>
      </c>
      <c r="DS18" s="69" t="s">
        <v>160</v>
      </c>
      <c r="DT18" s="69" t="s">
        <v>160</v>
      </c>
      <c r="DU18" s="69" t="s">
        <v>160</v>
      </c>
      <c r="DV18" s="69" t="s">
        <v>160</v>
      </c>
      <c r="DW18" s="69" t="s">
        <v>160</v>
      </c>
      <c r="DX18" s="69" t="s">
        <v>160</v>
      </c>
      <c r="DY18" s="69" t="s">
        <v>160</v>
      </c>
      <c r="DZ18" s="69" t="s">
        <v>160</v>
      </c>
      <c r="EA18" s="69" t="s">
        <v>160</v>
      </c>
      <c r="EB18" s="69" t="s">
        <v>160</v>
      </c>
      <c r="EC18" s="69" t="s">
        <v>160</v>
      </c>
      <c r="ED18" s="69" t="s">
        <v>160</v>
      </c>
      <c r="EE18" s="69" t="s">
        <v>160</v>
      </c>
      <c r="EF18" s="69" t="s">
        <v>160</v>
      </c>
      <c r="EG18" s="69" t="s">
        <v>160</v>
      </c>
      <c r="EH18" s="69" t="s">
        <v>160</v>
      </c>
      <c r="EI18" s="69" t="s">
        <v>160</v>
      </c>
      <c r="EJ18" s="69" t="s">
        <v>160</v>
      </c>
      <c r="EK18" s="69" t="s">
        <v>160</v>
      </c>
      <c r="EL18" s="69" t="s">
        <v>160</v>
      </c>
      <c r="EM18" s="69" t="s">
        <v>160</v>
      </c>
      <c r="EN18" s="69" t="s">
        <v>160</v>
      </c>
      <c r="EO18" s="69" t="s">
        <v>160</v>
      </c>
      <c r="EP18" s="69" t="s">
        <v>160</v>
      </c>
      <c r="EQ18" s="69" t="s">
        <v>160</v>
      </c>
      <c r="ER18" s="69" t="s">
        <v>160</v>
      </c>
      <c r="ES18" s="69" t="s">
        <v>160</v>
      </c>
      <c r="ET18" s="69" t="s">
        <v>160</v>
      </c>
      <c r="EU18" s="69" t="s">
        <v>160</v>
      </c>
      <c r="EV18" s="69" t="s">
        <v>160</v>
      </c>
      <c r="EW18" s="69" t="s">
        <v>160</v>
      </c>
      <c r="EX18" s="69" t="s">
        <v>160</v>
      </c>
      <c r="EY18" s="69" t="s">
        <v>160</v>
      </c>
      <c r="EZ18" s="69" t="s">
        <v>160</v>
      </c>
      <c r="FA18" s="69" t="s">
        <v>160</v>
      </c>
      <c r="FB18" s="69" t="s">
        <v>160</v>
      </c>
      <c r="FC18" s="69" t="s">
        <v>160</v>
      </c>
      <c r="FD18" s="69" t="s">
        <v>160</v>
      </c>
    </row>
    <row r="19" spans="1:160">
      <c r="A19" s="103" t="s">
        <v>420</v>
      </c>
      <c r="B19" s="107" t="s">
        <v>163</v>
      </c>
      <c r="C19" s="50" t="s">
        <v>173</v>
      </c>
      <c r="G19" s="51" t="str">
        <f t="shared" si="0"/>
        <v>Deployment Procedure of the code</v>
      </c>
      <c r="H19" s="51" t="s">
        <v>2</v>
      </c>
      <c r="I19" s="64">
        <v>44652</v>
      </c>
      <c r="J19" s="64">
        <v>44773</v>
      </c>
      <c r="K19" s="64">
        <v>44652</v>
      </c>
      <c r="L19" s="64">
        <v>45077</v>
      </c>
      <c r="M19" s="64" t="s">
        <v>174</v>
      </c>
      <c r="N19" s="64" t="b">
        <f t="shared" si="4"/>
        <v>1</v>
      </c>
      <c r="O19" s="64"/>
      <c r="P19" s="67">
        <v>0.9</v>
      </c>
      <c r="Q19" s="67"/>
      <c r="R19" s="51" t="s">
        <v>2</v>
      </c>
      <c r="S19" s="68" t="s">
        <v>160</v>
      </c>
      <c r="T19" s="69" t="s">
        <v>160</v>
      </c>
      <c r="U19" s="69" t="s">
        <v>160</v>
      </c>
      <c r="V19" s="80" t="s">
        <v>160</v>
      </c>
      <c r="W19" s="69" t="s">
        <v>160</v>
      </c>
      <c r="X19" s="69" t="s">
        <v>160</v>
      </c>
      <c r="Y19" s="69" t="s">
        <v>160</v>
      </c>
      <c r="Z19" s="69" t="s">
        <v>160</v>
      </c>
      <c r="AA19" s="69" t="s">
        <v>160</v>
      </c>
      <c r="AB19" s="69" t="s">
        <v>160</v>
      </c>
      <c r="AC19" s="69" t="s">
        <v>160</v>
      </c>
      <c r="AD19" s="69" t="s">
        <v>160</v>
      </c>
      <c r="AE19" s="69" t="s">
        <v>160</v>
      </c>
      <c r="AF19" s="69" t="s">
        <v>160</v>
      </c>
      <c r="AG19" s="69" t="s">
        <v>160</v>
      </c>
      <c r="AH19" s="69" t="s">
        <v>160</v>
      </c>
      <c r="AI19" s="69" t="s">
        <v>160</v>
      </c>
      <c r="AJ19" s="69" t="s">
        <v>160</v>
      </c>
      <c r="AK19" s="69" t="s">
        <v>160</v>
      </c>
      <c r="AL19" s="69" t="s">
        <v>160</v>
      </c>
      <c r="AM19" s="69" t="s">
        <v>160</v>
      </c>
      <c r="AN19" s="69" t="s">
        <v>160</v>
      </c>
      <c r="AO19" s="69" t="s">
        <v>160</v>
      </c>
      <c r="AP19" s="69" t="s">
        <v>160</v>
      </c>
      <c r="AQ19" s="69" t="s">
        <v>160</v>
      </c>
      <c r="AR19" s="69" t="s">
        <v>160</v>
      </c>
      <c r="AS19" s="69" t="s">
        <v>160</v>
      </c>
      <c r="AT19" s="69" t="s">
        <v>160</v>
      </c>
      <c r="AU19" s="69" t="s">
        <v>160</v>
      </c>
      <c r="AV19" s="69" t="s">
        <v>160</v>
      </c>
      <c r="AW19" s="69" t="s">
        <v>160</v>
      </c>
      <c r="AX19" s="69" t="s">
        <v>160</v>
      </c>
      <c r="AY19" s="69" t="s">
        <v>160</v>
      </c>
      <c r="AZ19" s="69" t="s">
        <v>160</v>
      </c>
      <c r="BA19" s="69" t="s">
        <v>160</v>
      </c>
      <c r="BB19" s="69" t="s">
        <v>160</v>
      </c>
      <c r="BC19" s="69" t="s">
        <v>160</v>
      </c>
      <c r="BD19" s="69" t="s">
        <v>160</v>
      </c>
      <c r="BE19" s="69" t="s">
        <v>160</v>
      </c>
      <c r="BF19" s="69" t="s">
        <v>160</v>
      </c>
      <c r="BG19" s="69" t="s">
        <v>160</v>
      </c>
      <c r="BH19" s="69" t="s">
        <v>160</v>
      </c>
      <c r="BI19" s="69" t="s">
        <v>160</v>
      </c>
      <c r="BJ19" s="69" t="s">
        <v>160</v>
      </c>
      <c r="BK19" s="69" t="s">
        <v>160</v>
      </c>
      <c r="BL19" s="69" t="s">
        <v>160</v>
      </c>
      <c r="BM19" s="69" t="s">
        <v>160</v>
      </c>
      <c r="BN19" s="69" t="s">
        <v>160</v>
      </c>
      <c r="BO19" s="69" t="s">
        <v>160</v>
      </c>
      <c r="BP19" s="69" t="s">
        <v>160</v>
      </c>
      <c r="BQ19" s="69" t="s">
        <v>160</v>
      </c>
      <c r="BR19" s="69" t="s">
        <v>160</v>
      </c>
      <c r="BS19" s="69" t="s">
        <v>160</v>
      </c>
      <c r="BT19" s="69" t="s">
        <v>160</v>
      </c>
      <c r="BU19" s="69" t="s">
        <v>160</v>
      </c>
      <c r="BV19" s="69" t="s">
        <v>160</v>
      </c>
      <c r="BW19" s="69" t="s">
        <v>160</v>
      </c>
      <c r="BX19" s="69" t="s">
        <v>160</v>
      </c>
      <c r="BY19" s="69" t="s">
        <v>160</v>
      </c>
      <c r="BZ19" s="69" t="s">
        <v>160</v>
      </c>
      <c r="CA19" s="69" t="s">
        <v>160</v>
      </c>
      <c r="CB19" s="69" t="s">
        <v>160</v>
      </c>
      <c r="CC19" s="69" t="s">
        <v>160</v>
      </c>
      <c r="CD19" s="69" t="s">
        <v>160</v>
      </c>
      <c r="CE19" s="69" t="s">
        <v>160</v>
      </c>
      <c r="CF19" s="69" t="s">
        <v>160</v>
      </c>
      <c r="CG19" s="69" t="s">
        <v>160</v>
      </c>
      <c r="CH19" s="69" t="s">
        <v>160</v>
      </c>
      <c r="CI19" s="69" t="s">
        <v>160</v>
      </c>
      <c r="CJ19" s="69" t="s">
        <v>160</v>
      </c>
      <c r="CK19" s="69" t="s">
        <v>160</v>
      </c>
      <c r="CL19" s="69" t="s">
        <v>160</v>
      </c>
      <c r="CM19" s="69" t="s">
        <v>160</v>
      </c>
      <c r="CN19" s="69" t="s">
        <v>160</v>
      </c>
      <c r="CO19" s="69" t="s">
        <v>160</v>
      </c>
      <c r="CP19" s="69" t="s">
        <v>160</v>
      </c>
      <c r="CQ19" s="69" t="s">
        <v>160</v>
      </c>
      <c r="CR19" s="69" t="s">
        <v>160</v>
      </c>
      <c r="CS19" s="69" t="s">
        <v>160</v>
      </c>
      <c r="CT19" s="69" t="s">
        <v>160</v>
      </c>
      <c r="CU19" s="69" t="s">
        <v>160</v>
      </c>
      <c r="CV19" s="69" t="s">
        <v>160</v>
      </c>
      <c r="CW19" s="69" t="s">
        <v>160</v>
      </c>
      <c r="CX19" s="69" t="s">
        <v>160</v>
      </c>
      <c r="CY19" s="69" t="s">
        <v>160</v>
      </c>
      <c r="CZ19" s="69" t="s">
        <v>160</v>
      </c>
      <c r="DA19" s="69" t="s">
        <v>160</v>
      </c>
      <c r="DB19" s="69" t="s">
        <v>160</v>
      </c>
      <c r="DC19" s="69" t="s">
        <v>160</v>
      </c>
      <c r="DD19" s="69" t="s">
        <v>160</v>
      </c>
      <c r="DE19" s="69" t="s">
        <v>160</v>
      </c>
      <c r="DF19" s="69" t="s">
        <v>160</v>
      </c>
      <c r="DG19" s="69" t="s">
        <v>160</v>
      </c>
      <c r="DH19" s="69" t="s">
        <v>160</v>
      </c>
      <c r="DI19" s="69" t="s">
        <v>160</v>
      </c>
      <c r="DJ19" s="69" t="s">
        <v>160</v>
      </c>
      <c r="DK19" s="69" t="s">
        <v>160</v>
      </c>
      <c r="DL19" s="69" t="s">
        <v>160</v>
      </c>
      <c r="DM19" s="69" t="s">
        <v>160</v>
      </c>
      <c r="DN19" s="69" t="s">
        <v>160</v>
      </c>
      <c r="DO19" s="69" t="s">
        <v>160</v>
      </c>
      <c r="DP19" s="69" t="s">
        <v>160</v>
      </c>
      <c r="DQ19" s="69" t="s">
        <v>160</v>
      </c>
      <c r="DR19" s="69" t="s">
        <v>160</v>
      </c>
      <c r="DS19" s="69" t="s">
        <v>160</v>
      </c>
      <c r="DT19" s="69" t="s">
        <v>160</v>
      </c>
      <c r="DU19" s="69" t="s">
        <v>160</v>
      </c>
      <c r="DV19" s="69" t="s">
        <v>160</v>
      </c>
      <c r="DW19" s="69" t="s">
        <v>160</v>
      </c>
      <c r="DX19" s="69" t="s">
        <v>160</v>
      </c>
      <c r="DY19" s="69" t="s">
        <v>160</v>
      </c>
      <c r="DZ19" s="69" t="s">
        <v>160</v>
      </c>
      <c r="EA19" s="69" t="s">
        <v>160</v>
      </c>
      <c r="EB19" s="69" t="s">
        <v>160</v>
      </c>
      <c r="EC19" s="69" t="s">
        <v>160</v>
      </c>
      <c r="ED19" s="69" t="s">
        <v>160</v>
      </c>
      <c r="EE19" s="69" t="s">
        <v>160</v>
      </c>
      <c r="EF19" s="69" t="s">
        <v>160</v>
      </c>
      <c r="EG19" s="69" t="s">
        <v>160</v>
      </c>
      <c r="EH19" s="69" t="s">
        <v>160</v>
      </c>
      <c r="EI19" s="69" t="s">
        <v>160</v>
      </c>
      <c r="EJ19" s="69" t="s">
        <v>160</v>
      </c>
      <c r="EK19" s="69" t="s">
        <v>160</v>
      </c>
      <c r="EL19" s="69" t="s">
        <v>160</v>
      </c>
      <c r="EM19" s="69" t="s">
        <v>160</v>
      </c>
      <c r="EN19" s="69" t="s">
        <v>160</v>
      </c>
      <c r="EO19" s="69" t="s">
        <v>160</v>
      </c>
      <c r="EP19" s="69" t="s">
        <v>160</v>
      </c>
      <c r="EQ19" s="69" t="s">
        <v>160</v>
      </c>
      <c r="ER19" s="69" t="s">
        <v>160</v>
      </c>
      <c r="ES19" s="69" t="s">
        <v>160</v>
      </c>
      <c r="ET19" s="69" t="s">
        <v>160</v>
      </c>
      <c r="EU19" s="69" t="s">
        <v>160</v>
      </c>
      <c r="EV19" s="69" t="s">
        <v>160</v>
      </c>
      <c r="EW19" s="69" t="s">
        <v>160</v>
      </c>
      <c r="EX19" s="69" t="s">
        <v>160</v>
      </c>
      <c r="EY19" s="69" t="s">
        <v>160</v>
      </c>
      <c r="EZ19" s="69" t="s">
        <v>160</v>
      </c>
      <c r="FA19" s="69" t="s">
        <v>160</v>
      </c>
      <c r="FB19" s="69" t="s">
        <v>160</v>
      </c>
      <c r="FC19" s="69" t="s">
        <v>160</v>
      </c>
      <c r="FD19" s="69" t="s">
        <v>160</v>
      </c>
    </row>
    <row r="20" spans="1:160">
      <c r="A20" s="103" t="s">
        <v>423</v>
      </c>
      <c r="B20" s="107" t="s">
        <v>163</v>
      </c>
      <c r="C20" s="50" t="s">
        <v>175</v>
      </c>
      <c r="G20" s="51" t="str">
        <f t="shared" si="0"/>
        <v>Product usage guide with examples for all the functional usecases</v>
      </c>
      <c r="H20" s="51" t="s">
        <v>2</v>
      </c>
      <c r="I20" s="64">
        <v>44652</v>
      </c>
      <c r="J20" s="64">
        <v>44773</v>
      </c>
      <c r="K20" s="64">
        <v>44652</v>
      </c>
      <c r="L20" s="64">
        <v>45041</v>
      </c>
      <c r="M20" s="64" t="s">
        <v>174</v>
      </c>
      <c r="N20" s="64" t="b">
        <f t="shared" si="4"/>
        <v>1</v>
      </c>
      <c r="O20" s="64"/>
      <c r="P20" s="67">
        <v>0.9</v>
      </c>
      <c r="Q20" s="67"/>
      <c r="R20" s="51" t="s">
        <v>2</v>
      </c>
      <c r="S20" s="68" t="s">
        <v>160</v>
      </c>
      <c r="T20" s="69" t="s">
        <v>160</v>
      </c>
      <c r="U20" s="69" t="s">
        <v>160</v>
      </c>
      <c r="V20" s="80" t="s">
        <v>160</v>
      </c>
      <c r="W20" s="69" t="s">
        <v>160</v>
      </c>
      <c r="X20" s="69" t="s">
        <v>160</v>
      </c>
      <c r="Y20" s="69" t="s">
        <v>160</v>
      </c>
      <c r="Z20" s="69" t="s">
        <v>160</v>
      </c>
      <c r="AA20" s="69" t="s">
        <v>160</v>
      </c>
      <c r="AB20" s="69" t="s">
        <v>160</v>
      </c>
      <c r="AC20" s="69" t="s">
        <v>160</v>
      </c>
      <c r="AD20" s="69" t="s">
        <v>160</v>
      </c>
      <c r="AE20" s="69" t="s">
        <v>160</v>
      </c>
      <c r="AF20" s="69" t="s">
        <v>160</v>
      </c>
      <c r="AG20" s="69" t="s">
        <v>160</v>
      </c>
      <c r="AH20" s="69" t="s">
        <v>160</v>
      </c>
      <c r="AI20" s="69" t="s">
        <v>160</v>
      </c>
      <c r="AJ20" s="69" t="s">
        <v>160</v>
      </c>
      <c r="AK20" s="69" t="s">
        <v>160</v>
      </c>
      <c r="AL20" s="69" t="s">
        <v>160</v>
      </c>
      <c r="AM20" s="69" t="s">
        <v>160</v>
      </c>
      <c r="AN20" s="69" t="s">
        <v>160</v>
      </c>
      <c r="AO20" s="69" t="s">
        <v>160</v>
      </c>
      <c r="AP20" s="69" t="s">
        <v>160</v>
      </c>
      <c r="AQ20" s="69" t="s">
        <v>160</v>
      </c>
      <c r="AR20" s="69" t="s">
        <v>160</v>
      </c>
      <c r="AS20" s="69" t="s">
        <v>160</v>
      </c>
      <c r="AT20" s="69" t="s">
        <v>160</v>
      </c>
      <c r="AU20" s="69" t="s">
        <v>160</v>
      </c>
      <c r="AV20" s="69" t="s">
        <v>160</v>
      </c>
      <c r="AW20" s="69" t="s">
        <v>160</v>
      </c>
      <c r="AX20" s="69" t="s">
        <v>160</v>
      </c>
      <c r="AY20" s="69" t="s">
        <v>160</v>
      </c>
      <c r="AZ20" s="69" t="s">
        <v>160</v>
      </c>
      <c r="BA20" s="69" t="s">
        <v>160</v>
      </c>
      <c r="BB20" s="69" t="s">
        <v>160</v>
      </c>
      <c r="BC20" s="69" t="s">
        <v>160</v>
      </c>
      <c r="BD20" s="69" t="s">
        <v>160</v>
      </c>
      <c r="BE20" s="69" t="s">
        <v>160</v>
      </c>
      <c r="BF20" s="69" t="s">
        <v>160</v>
      </c>
      <c r="BG20" s="69" t="s">
        <v>160</v>
      </c>
      <c r="BH20" s="69" t="s">
        <v>160</v>
      </c>
      <c r="BI20" s="69" t="s">
        <v>160</v>
      </c>
      <c r="BJ20" s="69" t="s">
        <v>160</v>
      </c>
      <c r="BK20" s="69" t="s">
        <v>160</v>
      </c>
      <c r="BL20" s="69" t="s">
        <v>160</v>
      </c>
      <c r="BM20" s="69" t="s">
        <v>160</v>
      </c>
      <c r="BN20" s="69" t="s">
        <v>160</v>
      </c>
      <c r="BO20" s="69" t="s">
        <v>160</v>
      </c>
      <c r="BP20" s="69" t="s">
        <v>160</v>
      </c>
      <c r="BQ20" s="69" t="s">
        <v>160</v>
      </c>
      <c r="BR20" s="69" t="s">
        <v>160</v>
      </c>
      <c r="BS20" s="69" t="s">
        <v>160</v>
      </c>
      <c r="BT20" s="69" t="s">
        <v>160</v>
      </c>
      <c r="BU20" s="69" t="s">
        <v>160</v>
      </c>
      <c r="BV20" s="69" t="s">
        <v>160</v>
      </c>
      <c r="BW20" s="69" t="s">
        <v>160</v>
      </c>
      <c r="BX20" s="69" t="s">
        <v>160</v>
      </c>
      <c r="BY20" s="69" t="s">
        <v>160</v>
      </c>
      <c r="BZ20" s="69" t="s">
        <v>160</v>
      </c>
      <c r="CA20" s="69" t="s">
        <v>160</v>
      </c>
      <c r="CB20" s="69" t="s">
        <v>160</v>
      </c>
      <c r="CC20" s="69" t="s">
        <v>160</v>
      </c>
      <c r="CD20" s="69" t="s">
        <v>160</v>
      </c>
      <c r="CE20" s="69" t="s">
        <v>160</v>
      </c>
      <c r="CF20" s="69" t="s">
        <v>160</v>
      </c>
      <c r="CG20" s="69" t="s">
        <v>160</v>
      </c>
      <c r="CH20" s="69" t="s">
        <v>160</v>
      </c>
      <c r="CI20" s="69" t="s">
        <v>160</v>
      </c>
      <c r="CJ20" s="69" t="s">
        <v>160</v>
      </c>
      <c r="CK20" s="69" t="s">
        <v>160</v>
      </c>
      <c r="CL20" s="69" t="s">
        <v>160</v>
      </c>
      <c r="CM20" s="69" t="s">
        <v>160</v>
      </c>
      <c r="CN20" s="69" t="s">
        <v>160</v>
      </c>
      <c r="CO20" s="69" t="s">
        <v>160</v>
      </c>
      <c r="CP20" s="69" t="s">
        <v>160</v>
      </c>
      <c r="CQ20" s="69" t="s">
        <v>160</v>
      </c>
      <c r="CR20" s="69" t="s">
        <v>160</v>
      </c>
      <c r="CS20" s="69" t="s">
        <v>160</v>
      </c>
      <c r="CT20" s="69" t="s">
        <v>160</v>
      </c>
      <c r="CU20" s="69" t="s">
        <v>160</v>
      </c>
      <c r="CV20" s="69" t="s">
        <v>160</v>
      </c>
      <c r="CW20" s="69" t="s">
        <v>160</v>
      </c>
      <c r="CX20" s="69" t="s">
        <v>160</v>
      </c>
      <c r="CY20" s="69" t="s">
        <v>160</v>
      </c>
      <c r="CZ20" s="69" t="s">
        <v>160</v>
      </c>
      <c r="DA20" s="69" t="s">
        <v>160</v>
      </c>
      <c r="DB20" s="69" t="s">
        <v>160</v>
      </c>
      <c r="DC20" s="69" t="s">
        <v>160</v>
      </c>
      <c r="DD20" s="69" t="s">
        <v>160</v>
      </c>
      <c r="DE20" s="69" t="s">
        <v>160</v>
      </c>
      <c r="DF20" s="69" t="s">
        <v>160</v>
      </c>
      <c r="DG20" s="69" t="s">
        <v>160</v>
      </c>
      <c r="DH20" s="69" t="s">
        <v>160</v>
      </c>
      <c r="DI20" s="69" t="s">
        <v>160</v>
      </c>
      <c r="DJ20" s="69" t="s">
        <v>160</v>
      </c>
      <c r="DK20" s="69" t="s">
        <v>160</v>
      </c>
      <c r="DL20" s="69" t="s">
        <v>160</v>
      </c>
      <c r="DM20" s="69" t="s">
        <v>160</v>
      </c>
      <c r="DN20" s="69" t="s">
        <v>160</v>
      </c>
      <c r="DO20" s="69" t="s">
        <v>160</v>
      </c>
      <c r="DP20" s="69" t="s">
        <v>160</v>
      </c>
      <c r="DQ20" s="69" t="s">
        <v>160</v>
      </c>
      <c r="DR20" s="69" t="s">
        <v>160</v>
      </c>
      <c r="DS20" s="69" t="s">
        <v>160</v>
      </c>
      <c r="DT20" s="69" t="s">
        <v>160</v>
      </c>
      <c r="DU20" s="69" t="s">
        <v>160</v>
      </c>
      <c r="DV20" s="69" t="s">
        <v>160</v>
      </c>
      <c r="DW20" s="69" t="s">
        <v>160</v>
      </c>
      <c r="DX20" s="69" t="s">
        <v>160</v>
      </c>
      <c r="DY20" s="69" t="s">
        <v>160</v>
      </c>
      <c r="DZ20" s="69" t="s">
        <v>160</v>
      </c>
      <c r="EA20" s="69" t="s">
        <v>160</v>
      </c>
      <c r="EB20" s="69" t="s">
        <v>160</v>
      </c>
      <c r="EC20" s="69" t="s">
        <v>160</v>
      </c>
      <c r="ED20" s="69" t="s">
        <v>160</v>
      </c>
      <c r="EE20" s="69" t="s">
        <v>160</v>
      </c>
      <c r="EF20" s="69" t="s">
        <v>160</v>
      </c>
      <c r="EG20" s="69" t="s">
        <v>160</v>
      </c>
      <c r="EH20" s="69" t="s">
        <v>160</v>
      </c>
      <c r="EI20" s="69" t="s">
        <v>160</v>
      </c>
      <c r="EJ20" s="69" t="s">
        <v>160</v>
      </c>
      <c r="EK20" s="69" t="s">
        <v>160</v>
      </c>
      <c r="EL20" s="69" t="s">
        <v>160</v>
      </c>
      <c r="EM20" s="69" t="s">
        <v>160</v>
      </c>
      <c r="EN20" s="69" t="s">
        <v>160</v>
      </c>
      <c r="EO20" s="69" t="s">
        <v>160</v>
      </c>
      <c r="EP20" s="69" t="s">
        <v>160</v>
      </c>
      <c r="EQ20" s="69" t="s">
        <v>160</v>
      </c>
      <c r="ER20" s="69" t="s">
        <v>160</v>
      </c>
      <c r="ES20" s="69" t="s">
        <v>160</v>
      </c>
      <c r="ET20" s="69" t="s">
        <v>160</v>
      </c>
      <c r="EU20" s="69" t="s">
        <v>160</v>
      </c>
      <c r="EV20" s="69" t="s">
        <v>160</v>
      </c>
      <c r="EW20" s="69" t="s">
        <v>160</v>
      </c>
      <c r="EX20" s="69" t="s">
        <v>160</v>
      </c>
      <c r="EY20" s="69" t="s">
        <v>160</v>
      </c>
      <c r="EZ20" s="69" t="s">
        <v>160</v>
      </c>
      <c r="FA20" s="69" t="s">
        <v>160</v>
      </c>
      <c r="FB20" s="69" t="s">
        <v>160</v>
      </c>
      <c r="FC20" s="69" t="s">
        <v>160</v>
      </c>
      <c r="FD20" s="69" t="s">
        <v>160</v>
      </c>
    </row>
    <row r="21" spans="1:160" s="71" customFormat="1" ht="18.5" thickBot="1">
      <c r="A21" s="104" t="s">
        <v>424</v>
      </c>
      <c r="B21" s="105" t="s">
        <v>163</v>
      </c>
      <c r="C21" s="82" t="s">
        <v>176</v>
      </c>
      <c r="G21" s="71" t="str">
        <f t="shared" si="0"/>
        <v xml:space="preserve">Test report </v>
      </c>
      <c r="H21" s="71" t="s">
        <v>2</v>
      </c>
      <c r="I21" s="72">
        <v>44652</v>
      </c>
      <c r="J21" s="72">
        <v>44773</v>
      </c>
      <c r="K21" s="72">
        <v>44652</v>
      </c>
      <c r="L21" s="72">
        <v>45061</v>
      </c>
      <c r="M21" s="72" t="s">
        <v>174</v>
      </c>
      <c r="N21" s="72" t="b">
        <f t="shared" si="4"/>
        <v>1</v>
      </c>
      <c r="O21" s="72"/>
      <c r="P21" s="73">
        <v>0.9</v>
      </c>
      <c r="Q21" s="73"/>
      <c r="R21" s="71" t="s">
        <v>2</v>
      </c>
      <c r="S21" s="74" t="s">
        <v>160</v>
      </c>
      <c r="T21" s="75" t="s">
        <v>160</v>
      </c>
      <c r="U21" s="75" t="s">
        <v>160</v>
      </c>
      <c r="V21" s="81" t="s">
        <v>160</v>
      </c>
      <c r="W21" s="75" t="s">
        <v>160</v>
      </c>
      <c r="X21" s="75" t="s">
        <v>160</v>
      </c>
      <c r="Y21" s="75" t="s">
        <v>160</v>
      </c>
      <c r="Z21" s="75" t="s">
        <v>160</v>
      </c>
      <c r="AA21" s="75" t="s">
        <v>160</v>
      </c>
      <c r="AB21" s="75" t="s">
        <v>160</v>
      </c>
      <c r="AC21" s="75" t="s">
        <v>160</v>
      </c>
      <c r="AD21" s="75" t="s">
        <v>160</v>
      </c>
      <c r="AE21" s="75" t="s">
        <v>160</v>
      </c>
      <c r="AF21" s="75" t="s">
        <v>160</v>
      </c>
      <c r="AG21" s="75" t="s">
        <v>160</v>
      </c>
      <c r="AH21" s="75" t="s">
        <v>160</v>
      </c>
      <c r="AI21" s="75" t="s">
        <v>160</v>
      </c>
      <c r="AJ21" s="75" t="s">
        <v>160</v>
      </c>
      <c r="AK21" s="75" t="s">
        <v>160</v>
      </c>
      <c r="AL21" s="75" t="s">
        <v>160</v>
      </c>
      <c r="AM21" s="75" t="s">
        <v>160</v>
      </c>
      <c r="AN21" s="75" t="s">
        <v>160</v>
      </c>
      <c r="AO21" s="75" t="s">
        <v>160</v>
      </c>
      <c r="AP21" s="75" t="s">
        <v>160</v>
      </c>
      <c r="AQ21" s="75" t="s">
        <v>160</v>
      </c>
      <c r="AR21" s="75" t="s">
        <v>160</v>
      </c>
      <c r="AS21" s="75" t="s">
        <v>160</v>
      </c>
      <c r="AT21" s="75" t="s">
        <v>160</v>
      </c>
      <c r="AU21" s="75" t="s">
        <v>160</v>
      </c>
      <c r="AV21" s="75" t="s">
        <v>160</v>
      </c>
      <c r="AW21" s="75" t="s">
        <v>160</v>
      </c>
      <c r="AX21" s="75" t="s">
        <v>160</v>
      </c>
      <c r="AY21" s="75" t="s">
        <v>160</v>
      </c>
      <c r="AZ21" s="75" t="s">
        <v>160</v>
      </c>
      <c r="BA21" s="75" t="s">
        <v>160</v>
      </c>
      <c r="BB21" s="75" t="s">
        <v>160</v>
      </c>
      <c r="BC21" s="75" t="s">
        <v>160</v>
      </c>
      <c r="BD21" s="75" t="s">
        <v>160</v>
      </c>
      <c r="BE21" s="75" t="s">
        <v>160</v>
      </c>
      <c r="BF21" s="75" t="s">
        <v>160</v>
      </c>
      <c r="BG21" s="75" t="s">
        <v>160</v>
      </c>
      <c r="BH21" s="75" t="s">
        <v>160</v>
      </c>
      <c r="BI21" s="75" t="s">
        <v>160</v>
      </c>
      <c r="BJ21" s="75" t="s">
        <v>160</v>
      </c>
      <c r="BK21" s="75" t="s">
        <v>160</v>
      </c>
      <c r="BL21" s="75" t="s">
        <v>160</v>
      </c>
      <c r="BM21" s="75" t="s">
        <v>160</v>
      </c>
      <c r="BN21" s="75" t="s">
        <v>160</v>
      </c>
      <c r="BO21" s="75" t="s">
        <v>160</v>
      </c>
      <c r="BP21" s="75" t="s">
        <v>160</v>
      </c>
      <c r="BQ21" s="75" t="s">
        <v>160</v>
      </c>
      <c r="BR21" s="75" t="s">
        <v>160</v>
      </c>
      <c r="BS21" s="75" t="s">
        <v>160</v>
      </c>
      <c r="BT21" s="75" t="s">
        <v>160</v>
      </c>
      <c r="BU21" s="75" t="s">
        <v>160</v>
      </c>
      <c r="BV21" s="75" t="s">
        <v>160</v>
      </c>
      <c r="BW21" s="75" t="s">
        <v>160</v>
      </c>
      <c r="BX21" s="75" t="s">
        <v>160</v>
      </c>
      <c r="BY21" s="75" t="s">
        <v>160</v>
      </c>
      <c r="BZ21" s="75" t="s">
        <v>160</v>
      </c>
      <c r="CA21" s="75" t="s">
        <v>160</v>
      </c>
      <c r="CB21" s="75" t="s">
        <v>160</v>
      </c>
      <c r="CC21" s="75" t="s">
        <v>160</v>
      </c>
      <c r="CD21" s="75" t="s">
        <v>160</v>
      </c>
      <c r="CE21" s="75" t="s">
        <v>160</v>
      </c>
      <c r="CF21" s="75" t="s">
        <v>160</v>
      </c>
      <c r="CG21" s="75" t="s">
        <v>160</v>
      </c>
      <c r="CH21" s="75" t="s">
        <v>160</v>
      </c>
      <c r="CI21" s="75" t="s">
        <v>160</v>
      </c>
      <c r="CJ21" s="75" t="s">
        <v>160</v>
      </c>
      <c r="CK21" s="75" t="s">
        <v>160</v>
      </c>
      <c r="CL21" s="75" t="s">
        <v>160</v>
      </c>
      <c r="CM21" s="75" t="s">
        <v>160</v>
      </c>
      <c r="CN21" s="75" t="s">
        <v>160</v>
      </c>
      <c r="CO21" s="75" t="s">
        <v>160</v>
      </c>
      <c r="CP21" s="75" t="s">
        <v>160</v>
      </c>
      <c r="CQ21" s="75" t="s">
        <v>160</v>
      </c>
      <c r="CR21" s="75" t="s">
        <v>160</v>
      </c>
      <c r="CS21" s="75" t="s">
        <v>160</v>
      </c>
      <c r="CT21" s="75" t="s">
        <v>160</v>
      </c>
      <c r="CU21" s="75" t="s">
        <v>160</v>
      </c>
      <c r="CV21" s="75" t="s">
        <v>160</v>
      </c>
      <c r="CW21" s="75" t="s">
        <v>160</v>
      </c>
      <c r="CX21" s="75" t="s">
        <v>160</v>
      </c>
      <c r="CY21" s="75" t="s">
        <v>160</v>
      </c>
      <c r="CZ21" s="75" t="s">
        <v>160</v>
      </c>
      <c r="DA21" s="75" t="s">
        <v>160</v>
      </c>
      <c r="DB21" s="75" t="s">
        <v>160</v>
      </c>
      <c r="DC21" s="75" t="s">
        <v>160</v>
      </c>
      <c r="DD21" s="75" t="s">
        <v>160</v>
      </c>
      <c r="DE21" s="75" t="s">
        <v>160</v>
      </c>
      <c r="DF21" s="75" t="s">
        <v>160</v>
      </c>
      <c r="DG21" s="75" t="s">
        <v>160</v>
      </c>
      <c r="DH21" s="75" t="s">
        <v>160</v>
      </c>
      <c r="DI21" s="75" t="s">
        <v>160</v>
      </c>
      <c r="DJ21" s="75" t="s">
        <v>160</v>
      </c>
      <c r="DK21" s="75" t="s">
        <v>160</v>
      </c>
      <c r="DL21" s="75" t="s">
        <v>160</v>
      </c>
      <c r="DM21" s="75" t="s">
        <v>160</v>
      </c>
      <c r="DN21" s="75" t="s">
        <v>160</v>
      </c>
      <c r="DO21" s="75" t="s">
        <v>160</v>
      </c>
      <c r="DP21" s="75" t="s">
        <v>160</v>
      </c>
      <c r="DQ21" s="75" t="s">
        <v>160</v>
      </c>
      <c r="DR21" s="75" t="s">
        <v>160</v>
      </c>
      <c r="DS21" s="75" t="s">
        <v>160</v>
      </c>
      <c r="DT21" s="75" t="s">
        <v>160</v>
      </c>
      <c r="DU21" s="75" t="s">
        <v>160</v>
      </c>
      <c r="DV21" s="75" t="s">
        <v>160</v>
      </c>
      <c r="DW21" s="75" t="s">
        <v>160</v>
      </c>
      <c r="DX21" s="75" t="s">
        <v>160</v>
      </c>
      <c r="DY21" s="75" t="s">
        <v>160</v>
      </c>
      <c r="DZ21" s="75" t="s">
        <v>160</v>
      </c>
      <c r="EA21" s="75" t="s">
        <v>160</v>
      </c>
      <c r="EB21" s="75" t="s">
        <v>160</v>
      </c>
      <c r="EC21" s="75" t="s">
        <v>160</v>
      </c>
      <c r="ED21" s="75" t="s">
        <v>160</v>
      </c>
      <c r="EE21" s="75" t="s">
        <v>160</v>
      </c>
      <c r="EF21" s="75" t="s">
        <v>160</v>
      </c>
      <c r="EG21" s="75" t="s">
        <v>160</v>
      </c>
      <c r="EH21" s="75" t="s">
        <v>160</v>
      </c>
      <c r="EI21" s="75" t="s">
        <v>160</v>
      </c>
      <c r="EJ21" s="75" t="s">
        <v>160</v>
      </c>
      <c r="EK21" s="75" t="s">
        <v>160</v>
      </c>
      <c r="EL21" s="75" t="s">
        <v>160</v>
      </c>
      <c r="EM21" s="75" t="s">
        <v>160</v>
      </c>
      <c r="EN21" s="75" t="s">
        <v>160</v>
      </c>
      <c r="EO21" s="75" t="s">
        <v>160</v>
      </c>
      <c r="EP21" s="75" t="s">
        <v>160</v>
      </c>
      <c r="EQ21" s="75" t="s">
        <v>160</v>
      </c>
      <c r="ER21" s="75" t="s">
        <v>160</v>
      </c>
      <c r="ES21" s="75" t="s">
        <v>160</v>
      </c>
      <c r="ET21" s="75" t="s">
        <v>160</v>
      </c>
      <c r="EU21" s="75" t="s">
        <v>160</v>
      </c>
      <c r="EV21" s="75" t="s">
        <v>160</v>
      </c>
      <c r="EW21" s="75" t="s">
        <v>160</v>
      </c>
      <c r="EX21" s="75" t="s">
        <v>160</v>
      </c>
      <c r="EY21" s="75" t="s">
        <v>160</v>
      </c>
      <c r="EZ21" s="75" t="s">
        <v>160</v>
      </c>
      <c r="FA21" s="75" t="s">
        <v>160</v>
      </c>
      <c r="FB21" s="75" t="s">
        <v>160</v>
      </c>
      <c r="FC21" s="75" t="s">
        <v>160</v>
      </c>
      <c r="FD21" s="75" t="s">
        <v>160</v>
      </c>
    </row>
    <row r="22" spans="1:160">
      <c r="A22" s="103" t="s">
        <v>426</v>
      </c>
      <c r="B22" s="22" t="s">
        <v>177</v>
      </c>
      <c r="G22" s="51" t="str">
        <f t="shared" si="0"/>
        <v>M4. Data Fusion Engine Framework and integration</v>
      </c>
      <c r="H22" s="51" t="s">
        <v>2</v>
      </c>
      <c r="I22" s="64">
        <f ca="1">IF(SUM(I23:INDIRECT("I"&amp;$O22))=0,"",MIN(I23:INDIRECT("I"&amp;$O22)))</f>
        <v>44652</v>
      </c>
      <c r="J22" s="64">
        <f ca="1">IF(SUM(J23:INDIRECT("J"&amp;$O22))=0,"",MAX(J23:INDIRECT("J"&amp;$O22)))</f>
        <v>44924</v>
      </c>
      <c r="K22" s="64">
        <f ca="1">IF(SUM(K23:INDIRECT("K"&amp;$O22))=0,"",MIN(K23:INDIRECT("K"&amp;$O22)))</f>
        <v>44652</v>
      </c>
      <c r="L22" s="64">
        <f ca="1">IF(SUM(L23:INDIRECT("L"&amp;$O22))=0,"",MAX(L23:INDIRECT("L"&amp;$O22)))</f>
        <v>45077</v>
      </c>
      <c r="M22" s="64">
        <f ca="1">IF(N22,TODAY(),IF(SUM(M23:INDIRECT("M"&amp;$O22))=0,"",MAX(M23:INDIRECT("M"&amp;$O22))))</f>
        <v>45096</v>
      </c>
      <c r="N22" s="64" t="b">
        <f ca="1">OR(N23:INDIRECT("N"&amp;O22))</f>
        <v>1</v>
      </c>
      <c r="O22" s="65">
        <f>ROW()+COUNTA(N23:N29)</f>
        <v>29</v>
      </c>
      <c r="P22" s="66">
        <f>AVERAGE(P23:P29)</f>
        <v>0.92857142857142871</v>
      </c>
      <c r="Q22" s="67"/>
      <c r="R22" s="51" t="s">
        <v>2</v>
      </c>
      <c r="S22" s="77" t="s">
        <v>160</v>
      </c>
      <c r="T22" s="78" t="s">
        <v>160</v>
      </c>
      <c r="U22" s="78" t="s">
        <v>160</v>
      </c>
      <c r="V22" s="78" t="s">
        <v>160</v>
      </c>
      <c r="W22" s="69" t="s">
        <v>160</v>
      </c>
      <c r="X22" s="69" t="s">
        <v>160</v>
      </c>
      <c r="Y22" s="69" t="s">
        <v>160</v>
      </c>
      <c r="Z22" s="69" t="s">
        <v>160</v>
      </c>
      <c r="AA22" s="69" t="s">
        <v>160</v>
      </c>
      <c r="AB22" s="69" t="s">
        <v>160</v>
      </c>
      <c r="AC22" s="69" t="s">
        <v>160</v>
      </c>
      <c r="AD22" s="69" t="s">
        <v>160</v>
      </c>
      <c r="AE22" s="69" t="s">
        <v>160</v>
      </c>
      <c r="AF22" s="69" t="s">
        <v>160</v>
      </c>
      <c r="AG22" s="69" t="s">
        <v>160</v>
      </c>
      <c r="AH22" s="69" t="s">
        <v>160</v>
      </c>
      <c r="AI22" s="69" t="s">
        <v>160</v>
      </c>
      <c r="AJ22" s="69" t="s">
        <v>160</v>
      </c>
      <c r="AK22" s="69" t="s">
        <v>160</v>
      </c>
      <c r="AL22" s="69" t="s">
        <v>160</v>
      </c>
      <c r="AM22" s="69" t="s">
        <v>160</v>
      </c>
      <c r="AN22" s="69" t="s">
        <v>160</v>
      </c>
      <c r="AO22" s="69" t="s">
        <v>160</v>
      </c>
      <c r="AP22" s="69" t="s">
        <v>160</v>
      </c>
      <c r="AQ22" s="69" t="s">
        <v>160</v>
      </c>
      <c r="AR22" s="69" t="s">
        <v>160</v>
      </c>
      <c r="AS22" s="69" t="s">
        <v>160</v>
      </c>
      <c r="AT22" s="69" t="s">
        <v>160</v>
      </c>
      <c r="AU22" s="69" t="s">
        <v>160</v>
      </c>
      <c r="AV22" s="69" t="s">
        <v>160</v>
      </c>
      <c r="AW22" s="69" t="s">
        <v>160</v>
      </c>
      <c r="AX22" s="69" t="s">
        <v>160</v>
      </c>
      <c r="AY22" s="69" t="s">
        <v>160</v>
      </c>
      <c r="AZ22" s="69" t="s">
        <v>160</v>
      </c>
      <c r="BA22" s="69" t="s">
        <v>160</v>
      </c>
      <c r="BB22" s="69" t="s">
        <v>160</v>
      </c>
      <c r="BC22" s="69" t="s">
        <v>160</v>
      </c>
      <c r="BD22" s="69" t="s">
        <v>160</v>
      </c>
      <c r="BE22" s="69" t="s">
        <v>160</v>
      </c>
      <c r="BF22" s="69" t="s">
        <v>160</v>
      </c>
      <c r="BG22" s="69" t="s">
        <v>160</v>
      </c>
      <c r="BH22" s="69" t="s">
        <v>160</v>
      </c>
      <c r="BI22" s="69" t="s">
        <v>160</v>
      </c>
      <c r="BJ22" s="69" t="s">
        <v>160</v>
      </c>
      <c r="BK22" s="69" t="s">
        <v>160</v>
      </c>
      <c r="BL22" s="69" t="s">
        <v>160</v>
      </c>
      <c r="BM22" s="69" t="s">
        <v>160</v>
      </c>
      <c r="BN22" s="69" t="s">
        <v>160</v>
      </c>
      <c r="BO22" s="69" t="s">
        <v>160</v>
      </c>
      <c r="BP22" s="69" t="s">
        <v>160</v>
      </c>
      <c r="BQ22" s="69" t="s">
        <v>160</v>
      </c>
      <c r="BR22" s="69" t="s">
        <v>160</v>
      </c>
      <c r="BS22" s="69" t="s">
        <v>160</v>
      </c>
      <c r="BT22" s="69" t="s">
        <v>160</v>
      </c>
      <c r="BU22" s="69" t="s">
        <v>160</v>
      </c>
      <c r="BV22" s="69" t="s">
        <v>160</v>
      </c>
      <c r="BW22" s="69" t="s">
        <v>160</v>
      </c>
      <c r="BX22" s="69" t="s">
        <v>160</v>
      </c>
      <c r="BY22" s="69" t="s">
        <v>160</v>
      </c>
      <c r="BZ22" s="69" t="s">
        <v>160</v>
      </c>
      <c r="CA22" s="69" t="s">
        <v>160</v>
      </c>
      <c r="CB22" s="69" t="s">
        <v>160</v>
      </c>
      <c r="CC22" s="69" t="s">
        <v>160</v>
      </c>
      <c r="CD22" s="69" t="s">
        <v>160</v>
      </c>
      <c r="CE22" s="69" t="s">
        <v>160</v>
      </c>
      <c r="CF22" s="69" t="s">
        <v>160</v>
      </c>
      <c r="CG22" s="69" t="s">
        <v>160</v>
      </c>
      <c r="CH22" s="69" t="s">
        <v>160</v>
      </c>
      <c r="CI22" s="69" t="s">
        <v>160</v>
      </c>
      <c r="CJ22" s="69" t="s">
        <v>160</v>
      </c>
      <c r="CK22" s="69" t="s">
        <v>160</v>
      </c>
      <c r="CL22" s="69" t="s">
        <v>160</v>
      </c>
      <c r="CM22" s="69" t="s">
        <v>160</v>
      </c>
      <c r="CN22" s="69" t="s">
        <v>160</v>
      </c>
      <c r="CO22" s="69" t="s">
        <v>160</v>
      </c>
      <c r="CP22" s="69" t="s">
        <v>160</v>
      </c>
      <c r="CQ22" s="69" t="s">
        <v>160</v>
      </c>
      <c r="CR22" s="69" t="s">
        <v>160</v>
      </c>
      <c r="CS22" s="69" t="s">
        <v>160</v>
      </c>
      <c r="CT22" s="69" t="s">
        <v>160</v>
      </c>
      <c r="CU22" s="69" t="s">
        <v>160</v>
      </c>
      <c r="CV22" s="69" t="s">
        <v>160</v>
      </c>
      <c r="CW22" s="69" t="s">
        <v>160</v>
      </c>
      <c r="CX22" s="69" t="s">
        <v>160</v>
      </c>
      <c r="CY22" s="69" t="s">
        <v>160</v>
      </c>
      <c r="CZ22" s="69" t="s">
        <v>160</v>
      </c>
      <c r="DA22" s="69" t="s">
        <v>160</v>
      </c>
      <c r="DB22" s="69" t="s">
        <v>160</v>
      </c>
      <c r="DC22" s="69" t="s">
        <v>160</v>
      </c>
      <c r="DD22" s="69" t="s">
        <v>160</v>
      </c>
      <c r="DE22" s="69" t="s">
        <v>160</v>
      </c>
      <c r="DF22" s="69" t="s">
        <v>160</v>
      </c>
      <c r="DG22" s="69" t="s">
        <v>160</v>
      </c>
      <c r="DH22" s="69" t="s">
        <v>160</v>
      </c>
      <c r="DI22" s="69" t="s">
        <v>160</v>
      </c>
      <c r="DJ22" s="69" t="s">
        <v>160</v>
      </c>
      <c r="DK22" s="69" t="s">
        <v>160</v>
      </c>
      <c r="DL22" s="69" t="s">
        <v>160</v>
      </c>
      <c r="DM22" s="69" t="s">
        <v>160</v>
      </c>
      <c r="DN22" s="69" t="s">
        <v>160</v>
      </c>
      <c r="DO22" s="69" t="s">
        <v>160</v>
      </c>
      <c r="DP22" s="69" t="s">
        <v>160</v>
      </c>
      <c r="DQ22" s="69" t="s">
        <v>160</v>
      </c>
      <c r="DR22" s="69" t="s">
        <v>160</v>
      </c>
      <c r="DS22" s="69" t="s">
        <v>160</v>
      </c>
      <c r="DT22" s="69" t="s">
        <v>160</v>
      </c>
      <c r="DU22" s="69" t="s">
        <v>160</v>
      </c>
      <c r="DV22" s="69" t="s">
        <v>160</v>
      </c>
      <c r="DW22" s="69" t="s">
        <v>160</v>
      </c>
      <c r="DX22" s="69" t="s">
        <v>160</v>
      </c>
      <c r="DY22" s="69" t="s">
        <v>160</v>
      </c>
      <c r="DZ22" s="69" t="s">
        <v>160</v>
      </c>
      <c r="EA22" s="69" t="s">
        <v>160</v>
      </c>
      <c r="EB22" s="69" t="s">
        <v>160</v>
      </c>
      <c r="EC22" s="69" t="s">
        <v>160</v>
      </c>
      <c r="ED22" s="69" t="s">
        <v>160</v>
      </c>
      <c r="EE22" s="69" t="s">
        <v>160</v>
      </c>
      <c r="EF22" s="69" t="s">
        <v>160</v>
      </c>
      <c r="EG22" s="69" t="s">
        <v>160</v>
      </c>
      <c r="EH22" s="69" t="s">
        <v>160</v>
      </c>
      <c r="EI22" s="69" t="s">
        <v>160</v>
      </c>
      <c r="EJ22" s="69" t="s">
        <v>160</v>
      </c>
      <c r="EK22" s="69" t="s">
        <v>160</v>
      </c>
      <c r="EL22" s="69" t="s">
        <v>160</v>
      </c>
      <c r="EM22" s="69" t="s">
        <v>160</v>
      </c>
      <c r="EN22" s="69" t="s">
        <v>160</v>
      </c>
      <c r="EO22" s="69" t="s">
        <v>160</v>
      </c>
      <c r="EP22" s="69" t="s">
        <v>160</v>
      </c>
      <c r="EQ22" s="69" t="s">
        <v>160</v>
      </c>
      <c r="ER22" s="69" t="s">
        <v>160</v>
      </c>
      <c r="ES22" s="69" t="s">
        <v>160</v>
      </c>
      <c r="ET22" s="69" t="s">
        <v>160</v>
      </c>
      <c r="EU22" s="69" t="s">
        <v>160</v>
      </c>
      <c r="EV22" s="69" t="s">
        <v>160</v>
      </c>
      <c r="EW22" s="69" t="s">
        <v>160</v>
      </c>
      <c r="EX22" s="69" t="s">
        <v>160</v>
      </c>
      <c r="EY22" s="69" t="s">
        <v>160</v>
      </c>
      <c r="EZ22" s="69" t="s">
        <v>160</v>
      </c>
      <c r="FA22" s="69" t="s">
        <v>160</v>
      </c>
      <c r="FB22" s="69" t="s">
        <v>160</v>
      </c>
      <c r="FC22" s="69" t="s">
        <v>160</v>
      </c>
      <c r="FD22" s="69" t="s">
        <v>160</v>
      </c>
    </row>
    <row r="23" spans="1:160">
      <c r="A23" s="103" t="s">
        <v>427</v>
      </c>
      <c r="B23" s="107" t="s">
        <v>163</v>
      </c>
      <c r="C23" s="50" t="s">
        <v>398</v>
      </c>
      <c r="G23" s="51" t="str">
        <f t="shared" si="0"/>
        <v>(V1) Technical design document explaining the data schema and algorithm</v>
      </c>
      <c r="H23" s="51" t="s">
        <v>2</v>
      </c>
      <c r="I23" s="64">
        <v>44652</v>
      </c>
      <c r="J23" s="64">
        <v>44924</v>
      </c>
      <c r="K23" s="64">
        <v>44652</v>
      </c>
      <c r="L23" s="83">
        <v>44958</v>
      </c>
      <c r="M23" s="64">
        <v>45041</v>
      </c>
      <c r="N23" s="64" t="b">
        <f>ISNUMBER(SEARCH("*Waiting*",M23))</f>
        <v>0</v>
      </c>
      <c r="O23" s="64"/>
      <c r="P23" s="67">
        <v>1</v>
      </c>
      <c r="Q23" s="67"/>
      <c r="R23" s="51" t="s">
        <v>2</v>
      </c>
      <c r="S23" s="68" t="s">
        <v>160</v>
      </c>
      <c r="T23" s="69" t="s">
        <v>160</v>
      </c>
      <c r="U23" s="69" t="s">
        <v>160</v>
      </c>
      <c r="V23" s="80" t="s">
        <v>160</v>
      </c>
      <c r="W23" s="69" t="s">
        <v>160</v>
      </c>
      <c r="X23" s="69" t="s">
        <v>160</v>
      </c>
      <c r="Y23" s="69" t="s">
        <v>160</v>
      </c>
      <c r="Z23" s="69" t="s">
        <v>160</v>
      </c>
      <c r="AA23" s="69" t="s">
        <v>160</v>
      </c>
      <c r="AB23" s="69" t="s">
        <v>160</v>
      </c>
      <c r="AC23" s="69" t="s">
        <v>160</v>
      </c>
      <c r="AD23" s="69" t="s">
        <v>160</v>
      </c>
      <c r="AE23" s="69" t="s">
        <v>160</v>
      </c>
      <c r="AF23" s="69" t="s">
        <v>160</v>
      </c>
      <c r="AG23" s="69" t="s">
        <v>160</v>
      </c>
      <c r="AH23" s="69" t="s">
        <v>160</v>
      </c>
      <c r="AI23" s="69" t="s">
        <v>160</v>
      </c>
      <c r="AJ23" s="69" t="s">
        <v>160</v>
      </c>
      <c r="AK23" s="69" t="s">
        <v>160</v>
      </c>
      <c r="AL23" s="69" t="s">
        <v>160</v>
      </c>
      <c r="AM23" s="69" t="s">
        <v>160</v>
      </c>
      <c r="AN23" s="69" t="s">
        <v>160</v>
      </c>
      <c r="AO23" s="69" t="s">
        <v>160</v>
      </c>
      <c r="AP23" s="69" t="s">
        <v>160</v>
      </c>
      <c r="AQ23" s="69" t="s">
        <v>160</v>
      </c>
      <c r="AR23" s="69" t="s">
        <v>160</v>
      </c>
      <c r="AS23" s="69" t="s">
        <v>160</v>
      </c>
      <c r="AT23" s="69" t="s">
        <v>160</v>
      </c>
      <c r="AU23" s="69" t="s">
        <v>160</v>
      </c>
      <c r="AV23" s="69" t="s">
        <v>160</v>
      </c>
      <c r="AW23" s="69" t="s">
        <v>160</v>
      </c>
      <c r="AX23" s="69" t="s">
        <v>160</v>
      </c>
      <c r="AY23" s="69" t="s">
        <v>160</v>
      </c>
      <c r="AZ23" s="69" t="s">
        <v>160</v>
      </c>
      <c r="BA23" s="69" t="s">
        <v>160</v>
      </c>
      <c r="BB23" s="69" t="s">
        <v>160</v>
      </c>
      <c r="BC23" s="69" t="s">
        <v>160</v>
      </c>
      <c r="BD23" s="69" t="s">
        <v>160</v>
      </c>
      <c r="BE23" s="69" t="s">
        <v>160</v>
      </c>
      <c r="BF23" s="69" t="s">
        <v>160</v>
      </c>
      <c r="BG23" s="69" t="s">
        <v>160</v>
      </c>
      <c r="BH23" s="69" t="s">
        <v>160</v>
      </c>
      <c r="BI23" s="69" t="s">
        <v>160</v>
      </c>
      <c r="BJ23" s="69" t="s">
        <v>160</v>
      </c>
      <c r="BK23" s="69" t="s">
        <v>160</v>
      </c>
      <c r="BL23" s="69" t="s">
        <v>160</v>
      </c>
      <c r="BM23" s="69" t="s">
        <v>160</v>
      </c>
      <c r="BN23" s="69" t="s">
        <v>160</v>
      </c>
      <c r="BO23" s="69" t="s">
        <v>160</v>
      </c>
      <c r="BP23" s="69" t="s">
        <v>160</v>
      </c>
      <c r="BQ23" s="69" t="s">
        <v>160</v>
      </c>
      <c r="BR23" s="69" t="s">
        <v>160</v>
      </c>
      <c r="BS23" s="69" t="s">
        <v>160</v>
      </c>
      <c r="BT23" s="69" t="s">
        <v>160</v>
      </c>
      <c r="BU23" s="69" t="s">
        <v>160</v>
      </c>
      <c r="BV23" s="69" t="s">
        <v>160</v>
      </c>
      <c r="BW23" s="69" t="s">
        <v>160</v>
      </c>
      <c r="BX23" s="69" t="s">
        <v>160</v>
      </c>
      <c r="BY23" s="69" t="s">
        <v>160</v>
      </c>
      <c r="BZ23" s="69" t="s">
        <v>160</v>
      </c>
      <c r="CA23" s="69" t="s">
        <v>160</v>
      </c>
      <c r="CB23" s="69" t="s">
        <v>160</v>
      </c>
      <c r="CC23" s="69" t="s">
        <v>160</v>
      </c>
      <c r="CD23" s="69" t="s">
        <v>160</v>
      </c>
      <c r="CE23" s="69" t="s">
        <v>160</v>
      </c>
      <c r="CF23" s="69" t="s">
        <v>160</v>
      </c>
      <c r="CG23" s="69" t="s">
        <v>160</v>
      </c>
      <c r="CH23" s="69" t="s">
        <v>160</v>
      </c>
      <c r="CI23" s="69" t="s">
        <v>160</v>
      </c>
      <c r="CJ23" s="69" t="s">
        <v>160</v>
      </c>
      <c r="CK23" s="69" t="s">
        <v>160</v>
      </c>
      <c r="CL23" s="69" t="s">
        <v>160</v>
      </c>
      <c r="CM23" s="69" t="s">
        <v>160</v>
      </c>
      <c r="CN23" s="69" t="s">
        <v>160</v>
      </c>
      <c r="CO23" s="69" t="s">
        <v>160</v>
      </c>
      <c r="CP23" s="69" t="s">
        <v>160</v>
      </c>
      <c r="CQ23" s="69" t="s">
        <v>160</v>
      </c>
      <c r="CR23" s="69" t="s">
        <v>160</v>
      </c>
      <c r="CS23" s="69" t="s">
        <v>160</v>
      </c>
      <c r="CT23" s="69" t="s">
        <v>160</v>
      </c>
      <c r="CU23" s="69" t="s">
        <v>160</v>
      </c>
      <c r="CV23" s="69" t="s">
        <v>160</v>
      </c>
      <c r="CW23" s="69" t="s">
        <v>160</v>
      </c>
      <c r="CX23" s="69" t="s">
        <v>160</v>
      </c>
      <c r="CY23" s="69" t="s">
        <v>160</v>
      </c>
      <c r="CZ23" s="69" t="s">
        <v>160</v>
      </c>
      <c r="DA23" s="69" t="s">
        <v>160</v>
      </c>
      <c r="DB23" s="69" t="s">
        <v>160</v>
      </c>
      <c r="DC23" s="69" t="s">
        <v>160</v>
      </c>
      <c r="DD23" s="69" t="s">
        <v>160</v>
      </c>
      <c r="DE23" s="69" t="s">
        <v>160</v>
      </c>
      <c r="DF23" s="69" t="s">
        <v>160</v>
      </c>
      <c r="DG23" s="69" t="s">
        <v>160</v>
      </c>
      <c r="DH23" s="69" t="s">
        <v>160</v>
      </c>
      <c r="DI23" s="69" t="s">
        <v>160</v>
      </c>
      <c r="DJ23" s="69" t="s">
        <v>160</v>
      </c>
      <c r="DK23" s="69" t="s">
        <v>160</v>
      </c>
      <c r="DL23" s="69" t="s">
        <v>160</v>
      </c>
      <c r="DM23" s="69" t="s">
        <v>160</v>
      </c>
      <c r="DN23" s="69" t="s">
        <v>160</v>
      </c>
      <c r="DO23" s="69" t="s">
        <v>160</v>
      </c>
      <c r="DP23" s="69" t="s">
        <v>160</v>
      </c>
      <c r="DQ23" s="69" t="s">
        <v>160</v>
      </c>
      <c r="DR23" s="69" t="s">
        <v>160</v>
      </c>
      <c r="DS23" s="69" t="s">
        <v>160</v>
      </c>
      <c r="DT23" s="69" t="s">
        <v>160</v>
      </c>
      <c r="DU23" s="69" t="s">
        <v>160</v>
      </c>
      <c r="DV23" s="69" t="s">
        <v>160</v>
      </c>
      <c r="DW23" s="69" t="s">
        <v>160</v>
      </c>
      <c r="DX23" s="69" t="s">
        <v>160</v>
      </c>
      <c r="DY23" s="69" t="s">
        <v>160</v>
      </c>
      <c r="DZ23" s="69" t="s">
        <v>160</v>
      </c>
      <c r="EA23" s="69" t="s">
        <v>160</v>
      </c>
      <c r="EB23" s="69" t="s">
        <v>160</v>
      </c>
      <c r="EC23" s="69" t="s">
        <v>160</v>
      </c>
      <c r="ED23" s="69" t="s">
        <v>160</v>
      </c>
      <c r="EE23" s="69" t="s">
        <v>160</v>
      </c>
      <c r="EF23" s="69" t="s">
        <v>160</v>
      </c>
      <c r="EG23" s="69" t="s">
        <v>160</v>
      </c>
      <c r="EH23" s="69" t="s">
        <v>160</v>
      </c>
      <c r="EI23" s="69" t="s">
        <v>160</v>
      </c>
      <c r="EJ23" s="69" t="s">
        <v>160</v>
      </c>
      <c r="EK23" s="69" t="s">
        <v>160</v>
      </c>
      <c r="EL23" s="69" t="s">
        <v>160</v>
      </c>
      <c r="EM23" s="69" t="s">
        <v>160</v>
      </c>
      <c r="EN23" s="69" t="s">
        <v>160</v>
      </c>
      <c r="EO23" s="69" t="s">
        <v>160</v>
      </c>
      <c r="EP23" s="69" t="s">
        <v>160</v>
      </c>
      <c r="EQ23" s="69" t="s">
        <v>160</v>
      </c>
      <c r="ER23" s="69" t="s">
        <v>160</v>
      </c>
      <c r="ES23" s="69" t="s">
        <v>160</v>
      </c>
      <c r="ET23" s="69" t="s">
        <v>160</v>
      </c>
      <c r="EU23" s="69" t="s">
        <v>160</v>
      </c>
      <c r="EV23" s="69" t="s">
        <v>160</v>
      </c>
      <c r="EW23" s="69" t="s">
        <v>160</v>
      </c>
      <c r="EX23" s="69" t="s">
        <v>160</v>
      </c>
      <c r="EY23" s="69" t="s">
        <v>160</v>
      </c>
      <c r="EZ23" s="69" t="s">
        <v>160</v>
      </c>
      <c r="FA23" s="69" t="s">
        <v>160</v>
      </c>
      <c r="FB23" s="69" t="s">
        <v>160</v>
      </c>
      <c r="FC23" s="69" t="s">
        <v>160</v>
      </c>
      <c r="FD23" s="69" t="s">
        <v>160</v>
      </c>
    </row>
    <row r="24" spans="1:160">
      <c r="A24" s="103" t="s">
        <v>428</v>
      </c>
      <c r="B24" s="20" t="s">
        <v>163</v>
      </c>
      <c r="C24" s="50" t="s">
        <v>399</v>
      </c>
      <c r="G24" s="51" t="str">
        <f t="shared" si="0"/>
        <v>(V2) Technical design document explaining the data schema and algorithm</v>
      </c>
      <c r="H24" s="51" t="s">
        <v>2</v>
      </c>
      <c r="I24" s="64">
        <v>44652</v>
      </c>
      <c r="J24" s="64">
        <v>44924</v>
      </c>
      <c r="K24" s="64">
        <v>44652</v>
      </c>
      <c r="L24" s="64">
        <v>45041</v>
      </c>
      <c r="M24" s="64" t="s">
        <v>178</v>
      </c>
      <c r="N24" s="64" t="b">
        <f t="shared" ref="N24:N29" si="5">ISNUMBER(SEARCH("*Waiting*",M24))</f>
        <v>1</v>
      </c>
      <c r="O24" s="64"/>
      <c r="P24" s="67">
        <v>0.9</v>
      </c>
      <c r="Q24" s="67"/>
      <c r="S24" s="68"/>
      <c r="T24" s="69"/>
      <c r="U24" s="69"/>
      <c r="V24" s="80"/>
      <c r="W24" s="69"/>
      <c r="X24" s="69"/>
      <c r="Y24" s="69"/>
      <c r="Z24" s="69"/>
      <c r="AA24" s="69"/>
      <c r="AB24" s="69"/>
      <c r="AC24" s="69"/>
      <c r="AD24" s="69"/>
      <c r="AE24" s="69"/>
      <c r="AF24" s="69"/>
      <c r="AG24" s="69"/>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W24" s="69"/>
      <c r="BX24" s="69"/>
      <c r="BY24" s="69"/>
      <c r="BZ24" s="69"/>
      <c r="CA24" s="69"/>
      <c r="CB24" s="69"/>
      <c r="CC24" s="69"/>
      <c r="CD24" s="69"/>
      <c r="CE24" s="69"/>
      <c r="CF24" s="69"/>
      <c r="CG24" s="69"/>
      <c r="CH24" s="69"/>
      <c r="CI24" s="69"/>
      <c r="CJ24" s="69"/>
      <c r="CK24" s="69"/>
      <c r="CL24" s="69"/>
      <c r="CM24" s="69"/>
      <c r="CN24" s="69"/>
      <c r="CO24" s="69"/>
      <c r="CP24" s="69"/>
      <c r="CQ24" s="69"/>
      <c r="CR24" s="69"/>
      <c r="CS24" s="69"/>
      <c r="CT24" s="69"/>
      <c r="CU24" s="69"/>
      <c r="CV24" s="69"/>
      <c r="CW24" s="69"/>
      <c r="CX24" s="69"/>
      <c r="CY24" s="69"/>
      <c r="CZ24" s="69"/>
      <c r="DA24" s="69"/>
      <c r="DB24" s="69"/>
      <c r="DC24" s="69"/>
      <c r="DD24" s="69"/>
      <c r="DE24" s="69"/>
      <c r="DF24" s="69"/>
      <c r="DG24" s="69"/>
      <c r="DH24" s="69"/>
      <c r="DI24" s="69"/>
      <c r="DJ24" s="69"/>
      <c r="DK24" s="69"/>
      <c r="DL24" s="69"/>
      <c r="DM24" s="69"/>
      <c r="DN24" s="69"/>
      <c r="DO24" s="69"/>
      <c r="DP24" s="69"/>
      <c r="DQ24" s="69"/>
      <c r="DR24" s="69"/>
      <c r="DS24" s="69"/>
      <c r="DT24" s="69"/>
      <c r="DU24" s="69"/>
      <c r="DV24" s="69"/>
      <c r="DW24" s="69"/>
      <c r="DX24" s="69"/>
      <c r="DY24" s="69"/>
      <c r="DZ24" s="69"/>
      <c r="EA24" s="69"/>
      <c r="EB24" s="69"/>
      <c r="EC24" s="69"/>
      <c r="ED24" s="69"/>
      <c r="EE24" s="69"/>
      <c r="EF24" s="69"/>
      <c r="EG24" s="69"/>
      <c r="EH24" s="69"/>
      <c r="EI24" s="69"/>
      <c r="EJ24" s="69"/>
      <c r="EK24" s="69"/>
      <c r="EL24" s="69"/>
      <c r="EM24" s="69"/>
      <c r="EN24" s="69"/>
      <c r="EO24" s="69"/>
      <c r="EP24" s="69"/>
      <c r="EQ24" s="69"/>
      <c r="ER24" s="69"/>
      <c r="ES24" s="69"/>
      <c r="ET24" s="69"/>
      <c r="EU24" s="69"/>
      <c r="EV24" s="69"/>
      <c r="EW24" s="69"/>
      <c r="EX24" s="69"/>
      <c r="EY24" s="69"/>
      <c r="EZ24" s="69"/>
      <c r="FA24" s="69"/>
      <c r="FB24" s="69"/>
      <c r="FC24" s="69"/>
      <c r="FD24" s="69"/>
    </row>
    <row r="25" spans="1:160">
      <c r="A25" s="103" t="s">
        <v>429</v>
      </c>
      <c r="B25" s="20" t="s">
        <v>163</v>
      </c>
      <c r="C25" s="50" t="s">
        <v>400</v>
      </c>
      <c r="G25" s="51" t="str">
        <f t="shared" si="0"/>
        <v>(V1) Software Code</v>
      </c>
      <c r="H25" s="51" t="s">
        <v>2</v>
      </c>
      <c r="I25" s="64">
        <v>44652</v>
      </c>
      <c r="J25" s="64">
        <v>44924</v>
      </c>
      <c r="K25" s="64">
        <v>44652</v>
      </c>
      <c r="L25" s="64">
        <v>44958</v>
      </c>
      <c r="M25" s="64">
        <v>45041</v>
      </c>
      <c r="N25" s="64" t="b">
        <f t="shared" si="5"/>
        <v>0</v>
      </c>
      <c r="O25" s="64"/>
      <c r="P25" s="67">
        <v>1</v>
      </c>
      <c r="Q25" s="67"/>
      <c r="R25" s="51" t="s">
        <v>2</v>
      </c>
      <c r="S25" s="79" t="s">
        <v>160</v>
      </c>
      <c r="T25" s="80" t="s">
        <v>160</v>
      </c>
      <c r="U25" s="80" t="s">
        <v>160</v>
      </c>
      <c r="V25" s="69" t="s">
        <v>160</v>
      </c>
      <c r="W25" s="69" t="s">
        <v>160</v>
      </c>
      <c r="X25" s="69" t="s">
        <v>160</v>
      </c>
      <c r="Y25" s="69" t="s">
        <v>160</v>
      </c>
      <c r="Z25" s="69" t="s">
        <v>160</v>
      </c>
      <c r="AA25" s="69" t="s">
        <v>160</v>
      </c>
      <c r="AB25" s="69" t="s">
        <v>160</v>
      </c>
      <c r="AC25" s="69" t="s">
        <v>160</v>
      </c>
      <c r="AD25" s="69" t="s">
        <v>160</v>
      </c>
      <c r="AE25" s="69" t="s">
        <v>160</v>
      </c>
      <c r="AF25" s="69" t="s">
        <v>160</v>
      </c>
      <c r="AG25" s="69" t="s">
        <v>160</v>
      </c>
      <c r="AH25" s="69" t="s">
        <v>160</v>
      </c>
      <c r="AI25" s="69" t="s">
        <v>160</v>
      </c>
      <c r="AJ25" s="69" t="s">
        <v>160</v>
      </c>
      <c r="AK25" s="69" t="s">
        <v>160</v>
      </c>
      <c r="AL25" s="69" t="s">
        <v>160</v>
      </c>
      <c r="AM25" s="69" t="s">
        <v>160</v>
      </c>
      <c r="AN25" s="69" t="s">
        <v>160</v>
      </c>
      <c r="AO25" s="69" t="s">
        <v>160</v>
      </c>
      <c r="AP25" s="69" t="s">
        <v>160</v>
      </c>
      <c r="AQ25" s="69" t="s">
        <v>160</v>
      </c>
      <c r="AR25" s="69" t="s">
        <v>160</v>
      </c>
      <c r="AS25" s="69" t="s">
        <v>160</v>
      </c>
      <c r="AT25" s="69" t="s">
        <v>160</v>
      </c>
      <c r="AU25" s="69" t="s">
        <v>160</v>
      </c>
      <c r="AV25" s="69" t="s">
        <v>160</v>
      </c>
      <c r="AW25" s="69" t="s">
        <v>160</v>
      </c>
      <c r="AX25" s="69" t="s">
        <v>160</v>
      </c>
      <c r="AY25" s="69" t="s">
        <v>160</v>
      </c>
      <c r="AZ25" s="69" t="s">
        <v>160</v>
      </c>
      <c r="BA25" s="69" t="s">
        <v>160</v>
      </c>
      <c r="BB25" s="69" t="s">
        <v>160</v>
      </c>
      <c r="BC25" s="69" t="s">
        <v>160</v>
      </c>
      <c r="BD25" s="69" t="s">
        <v>160</v>
      </c>
      <c r="BE25" s="69" t="s">
        <v>160</v>
      </c>
      <c r="BF25" s="69" t="s">
        <v>160</v>
      </c>
      <c r="BG25" s="69" t="s">
        <v>160</v>
      </c>
      <c r="BH25" s="69" t="s">
        <v>160</v>
      </c>
      <c r="BI25" s="69" t="s">
        <v>160</v>
      </c>
      <c r="BJ25" s="69" t="s">
        <v>160</v>
      </c>
      <c r="BK25" s="69" t="s">
        <v>160</v>
      </c>
      <c r="BL25" s="69" t="s">
        <v>160</v>
      </c>
      <c r="BM25" s="69" t="s">
        <v>160</v>
      </c>
      <c r="BN25" s="69" t="s">
        <v>160</v>
      </c>
      <c r="BO25" s="69" t="s">
        <v>160</v>
      </c>
      <c r="BP25" s="69" t="s">
        <v>160</v>
      </c>
      <c r="BQ25" s="69" t="s">
        <v>160</v>
      </c>
      <c r="BR25" s="69" t="s">
        <v>160</v>
      </c>
      <c r="BS25" s="69" t="s">
        <v>160</v>
      </c>
      <c r="BT25" s="69" t="s">
        <v>160</v>
      </c>
      <c r="BU25" s="69" t="s">
        <v>160</v>
      </c>
      <c r="BV25" s="69" t="s">
        <v>160</v>
      </c>
      <c r="BW25" s="69" t="s">
        <v>160</v>
      </c>
      <c r="BX25" s="69" t="s">
        <v>160</v>
      </c>
      <c r="BY25" s="69" t="s">
        <v>160</v>
      </c>
      <c r="BZ25" s="69" t="s">
        <v>160</v>
      </c>
      <c r="CA25" s="69" t="s">
        <v>160</v>
      </c>
      <c r="CB25" s="69" t="s">
        <v>160</v>
      </c>
      <c r="CC25" s="69" t="s">
        <v>160</v>
      </c>
      <c r="CD25" s="69" t="s">
        <v>160</v>
      </c>
      <c r="CE25" s="69" t="s">
        <v>160</v>
      </c>
      <c r="CF25" s="69" t="s">
        <v>160</v>
      </c>
      <c r="CG25" s="69" t="s">
        <v>160</v>
      </c>
      <c r="CH25" s="69" t="s">
        <v>160</v>
      </c>
      <c r="CI25" s="69" t="s">
        <v>160</v>
      </c>
      <c r="CJ25" s="69" t="s">
        <v>160</v>
      </c>
      <c r="CK25" s="69" t="s">
        <v>160</v>
      </c>
      <c r="CL25" s="69" t="s">
        <v>160</v>
      </c>
      <c r="CM25" s="69" t="s">
        <v>160</v>
      </c>
      <c r="CN25" s="69" t="s">
        <v>160</v>
      </c>
      <c r="CO25" s="69" t="s">
        <v>160</v>
      </c>
      <c r="CP25" s="69" t="s">
        <v>160</v>
      </c>
      <c r="CQ25" s="69" t="s">
        <v>160</v>
      </c>
      <c r="CR25" s="69" t="s">
        <v>160</v>
      </c>
      <c r="CS25" s="69" t="s">
        <v>160</v>
      </c>
      <c r="CT25" s="69" t="s">
        <v>160</v>
      </c>
      <c r="CU25" s="69" t="s">
        <v>160</v>
      </c>
      <c r="CV25" s="69" t="s">
        <v>160</v>
      </c>
      <c r="CW25" s="69" t="s">
        <v>160</v>
      </c>
      <c r="CX25" s="69" t="s">
        <v>160</v>
      </c>
      <c r="CY25" s="69" t="s">
        <v>160</v>
      </c>
      <c r="CZ25" s="69" t="s">
        <v>160</v>
      </c>
      <c r="DA25" s="69" t="s">
        <v>160</v>
      </c>
      <c r="DB25" s="69" t="s">
        <v>160</v>
      </c>
      <c r="DC25" s="69" t="s">
        <v>160</v>
      </c>
      <c r="DD25" s="69" t="s">
        <v>160</v>
      </c>
      <c r="DE25" s="69" t="s">
        <v>160</v>
      </c>
      <c r="DF25" s="69" t="s">
        <v>160</v>
      </c>
      <c r="DG25" s="69" t="s">
        <v>160</v>
      </c>
      <c r="DH25" s="69" t="s">
        <v>160</v>
      </c>
      <c r="DI25" s="69" t="s">
        <v>160</v>
      </c>
      <c r="DJ25" s="69" t="s">
        <v>160</v>
      </c>
      <c r="DK25" s="69" t="s">
        <v>160</v>
      </c>
      <c r="DL25" s="69" t="s">
        <v>160</v>
      </c>
      <c r="DM25" s="69" t="s">
        <v>160</v>
      </c>
      <c r="DN25" s="69" t="s">
        <v>160</v>
      </c>
      <c r="DO25" s="69" t="s">
        <v>160</v>
      </c>
      <c r="DP25" s="69" t="s">
        <v>160</v>
      </c>
      <c r="DQ25" s="69" t="s">
        <v>160</v>
      </c>
      <c r="DR25" s="69" t="s">
        <v>160</v>
      </c>
      <c r="DS25" s="69" t="s">
        <v>160</v>
      </c>
      <c r="DT25" s="69" t="s">
        <v>160</v>
      </c>
      <c r="DU25" s="69" t="s">
        <v>160</v>
      </c>
      <c r="DV25" s="69" t="s">
        <v>160</v>
      </c>
      <c r="DW25" s="69" t="s">
        <v>160</v>
      </c>
      <c r="DX25" s="69" t="s">
        <v>160</v>
      </c>
      <c r="DY25" s="69" t="s">
        <v>160</v>
      </c>
      <c r="DZ25" s="69" t="s">
        <v>160</v>
      </c>
      <c r="EA25" s="69" t="s">
        <v>160</v>
      </c>
      <c r="EB25" s="69" t="s">
        <v>160</v>
      </c>
      <c r="EC25" s="69" t="s">
        <v>160</v>
      </c>
      <c r="ED25" s="69" t="s">
        <v>160</v>
      </c>
      <c r="EE25" s="69" t="s">
        <v>160</v>
      </c>
      <c r="EF25" s="69" t="s">
        <v>160</v>
      </c>
      <c r="EG25" s="69" t="s">
        <v>160</v>
      </c>
      <c r="EH25" s="69" t="s">
        <v>160</v>
      </c>
      <c r="EI25" s="69" t="s">
        <v>160</v>
      </c>
      <c r="EJ25" s="69" t="s">
        <v>160</v>
      </c>
      <c r="EK25" s="69" t="s">
        <v>160</v>
      </c>
      <c r="EL25" s="69" t="s">
        <v>160</v>
      </c>
      <c r="EM25" s="69" t="s">
        <v>160</v>
      </c>
      <c r="EN25" s="69" t="s">
        <v>160</v>
      </c>
      <c r="EO25" s="69" t="s">
        <v>160</v>
      </c>
      <c r="EP25" s="69" t="s">
        <v>160</v>
      </c>
      <c r="EQ25" s="69" t="s">
        <v>160</v>
      </c>
      <c r="ER25" s="69" t="s">
        <v>160</v>
      </c>
      <c r="ES25" s="69" t="s">
        <v>160</v>
      </c>
      <c r="ET25" s="69" t="s">
        <v>160</v>
      </c>
      <c r="EU25" s="69" t="s">
        <v>160</v>
      </c>
      <c r="EV25" s="69" t="s">
        <v>160</v>
      </c>
      <c r="EW25" s="69" t="s">
        <v>160</v>
      </c>
      <c r="EX25" s="69" t="s">
        <v>160</v>
      </c>
      <c r="EY25" s="69" t="s">
        <v>160</v>
      </c>
      <c r="EZ25" s="69" t="s">
        <v>160</v>
      </c>
      <c r="FA25" s="69" t="s">
        <v>160</v>
      </c>
      <c r="FB25" s="69" t="s">
        <v>160</v>
      </c>
      <c r="FC25" s="69" t="s">
        <v>160</v>
      </c>
      <c r="FD25" s="69" t="s">
        <v>160</v>
      </c>
    </row>
    <row r="26" spans="1:160">
      <c r="A26" s="103" t="s">
        <v>430</v>
      </c>
      <c r="B26" s="20" t="s">
        <v>163</v>
      </c>
      <c r="C26" s="50" t="s">
        <v>401</v>
      </c>
      <c r="G26" s="51" t="str">
        <f t="shared" si="0"/>
        <v>(V2) Software Code</v>
      </c>
      <c r="H26" s="51" t="s">
        <v>2</v>
      </c>
      <c r="I26" s="64">
        <v>44652</v>
      </c>
      <c r="J26" s="64">
        <v>44924</v>
      </c>
      <c r="K26" s="64">
        <v>44652</v>
      </c>
      <c r="L26" s="64">
        <v>45041</v>
      </c>
      <c r="M26" s="64" t="s">
        <v>178</v>
      </c>
      <c r="N26" s="64" t="b">
        <f t="shared" si="5"/>
        <v>1</v>
      </c>
      <c r="O26" s="64"/>
      <c r="P26" s="67">
        <v>0.9</v>
      </c>
      <c r="Q26" s="67"/>
      <c r="S26" s="79"/>
      <c r="T26" s="80"/>
      <c r="U26" s="80"/>
      <c r="V26" s="69"/>
      <c r="W26" s="69"/>
      <c r="X26" s="69"/>
      <c r="Y26" s="69"/>
      <c r="Z26" s="69"/>
      <c r="AA26" s="69"/>
      <c r="AB26" s="69"/>
      <c r="AC26" s="69"/>
      <c r="AD26" s="69"/>
      <c r="AE26" s="69"/>
      <c r="AF26" s="69"/>
      <c r="AG26" s="69"/>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69"/>
      <c r="BH26" s="69"/>
      <c r="BI26" s="69"/>
      <c r="BJ26" s="69"/>
      <c r="BK26" s="69"/>
      <c r="BL26" s="69"/>
      <c r="BM26" s="69"/>
      <c r="BN26" s="69"/>
      <c r="BO26" s="69"/>
      <c r="BP26" s="69"/>
      <c r="BQ26" s="69"/>
      <c r="BR26" s="69"/>
      <c r="BS26" s="69"/>
      <c r="BT26" s="69"/>
      <c r="BU26" s="69"/>
      <c r="BV26" s="69"/>
      <c r="BW26" s="69"/>
      <c r="BX26" s="69"/>
      <c r="BY26" s="69"/>
      <c r="BZ26" s="69"/>
      <c r="CA26" s="69"/>
      <c r="CB26" s="69"/>
      <c r="CC26" s="69"/>
      <c r="CD26" s="69"/>
      <c r="CE26" s="69"/>
      <c r="CF26" s="69"/>
      <c r="CG26" s="69"/>
      <c r="CH26" s="69"/>
      <c r="CI26" s="69"/>
      <c r="CJ26" s="69"/>
      <c r="CK26" s="69"/>
      <c r="CL26" s="69"/>
      <c r="CM26" s="69"/>
      <c r="CN26" s="69"/>
      <c r="CO26" s="69"/>
      <c r="CP26" s="69"/>
      <c r="CQ26" s="69"/>
      <c r="CR26" s="69"/>
      <c r="CS26" s="69"/>
      <c r="CT26" s="69"/>
      <c r="CU26" s="69"/>
      <c r="CV26" s="69"/>
      <c r="CW26" s="69"/>
      <c r="CX26" s="69"/>
      <c r="CY26" s="69"/>
      <c r="CZ26" s="69"/>
      <c r="DA26" s="69"/>
      <c r="DB26" s="69"/>
      <c r="DC26" s="69"/>
      <c r="DD26" s="69"/>
      <c r="DE26" s="69"/>
      <c r="DF26" s="69"/>
      <c r="DG26" s="69"/>
      <c r="DH26" s="69"/>
      <c r="DI26" s="69"/>
      <c r="DJ26" s="69"/>
      <c r="DK26" s="69"/>
      <c r="DL26" s="69"/>
      <c r="DM26" s="69"/>
      <c r="DN26" s="69"/>
      <c r="DO26" s="69"/>
      <c r="DP26" s="69"/>
      <c r="DQ26" s="69"/>
      <c r="DR26" s="69"/>
      <c r="DS26" s="69"/>
      <c r="DT26" s="69"/>
      <c r="DU26" s="69"/>
      <c r="DV26" s="69"/>
      <c r="DW26" s="69"/>
      <c r="DX26" s="69"/>
      <c r="DY26" s="69"/>
      <c r="DZ26" s="69"/>
      <c r="EA26" s="69"/>
      <c r="EB26" s="69"/>
      <c r="EC26" s="69"/>
      <c r="ED26" s="69"/>
      <c r="EE26" s="69"/>
      <c r="EF26" s="69"/>
      <c r="EG26" s="69"/>
      <c r="EH26" s="69"/>
      <c r="EI26" s="69"/>
      <c r="EJ26" s="69"/>
      <c r="EK26" s="69"/>
      <c r="EL26" s="69"/>
      <c r="EM26" s="69"/>
      <c r="EN26" s="69"/>
      <c r="EO26" s="69"/>
      <c r="EP26" s="69"/>
      <c r="EQ26" s="69"/>
      <c r="ER26" s="69"/>
      <c r="ES26" s="69"/>
      <c r="ET26" s="69"/>
      <c r="EU26" s="69"/>
      <c r="EV26" s="69"/>
      <c r="EW26" s="69"/>
      <c r="EX26" s="69"/>
      <c r="EY26" s="69"/>
      <c r="EZ26" s="69"/>
      <c r="FA26" s="69"/>
      <c r="FB26" s="69"/>
      <c r="FC26" s="69"/>
      <c r="FD26" s="69"/>
    </row>
    <row r="27" spans="1:160">
      <c r="A27" s="103" t="s">
        <v>425</v>
      </c>
      <c r="B27" s="107" t="s">
        <v>163</v>
      </c>
      <c r="C27" s="50" t="s">
        <v>173</v>
      </c>
      <c r="G27" s="51" t="str">
        <f t="shared" si="0"/>
        <v>Deployment Procedure of the code</v>
      </c>
      <c r="H27" s="51" t="s">
        <v>2</v>
      </c>
      <c r="I27" s="64">
        <v>44652</v>
      </c>
      <c r="J27" s="64">
        <v>44924</v>
      </c>
      <c r="K27" s="64">
        <v>44652</v>
      </c>
      <c r="L27" s="64">
        <v>45077</v>
      </c>
      <c r="M27" s="64" t="s">
        <v>174</v>
      </c>
      <c r="N27" s="64" t="b">
        <f t="shared" si="5"/>
        <v>1</v>
      </c>
      <c r="O27" s="64"/>
      <c r="P27" s="67">
        <v>0.9</v>
      </c>
      <c r="Q27" s="67"/>
      <c r="R27" s="51" t="s">
        <v>2</v>
      </c>
      <c r="S27" s="68" t="s">
        <v>160</v>
      </c>
      <c r="T27" s="69" t="s">
        <v>160</v>
      </c>
      <c r="U27" s="69" t="s">
        <v>160</v>
      </c>
      <c r="V27" s="80" t="s">
        <v>160</v>
      </c>
      <c r="W27" s="69" t="s">
        <v>160</v>
      </c>
      <c r="X27" s="69" t="s">
        <v>160</v>
      </c>
      <c r="Y27" s="69" t="s">
        <v>160</v>
      </c>
      <c r="Z27" s="69" t="s">
        <v>160</v>
      </c>
      <c r="AA27" s="69" t="s">
        <v>160</v>
      </c>
      <c r="AB27" s="69" t="s">
        <v>160</v>
      </c>
      <c r="AC27" s="69" t="s">
        <v>160</v>
      </c>
      <c r="AD27" s="69" t="s">
        <v>160</v>
      </c>
      <c r="AE27" s="69" t="s">
        <v>160</v>
      </c>
      <c r="AF27" s="69" t="s">
        <v>160</v>
      </c>
      <c r="AG27" s="69" t="s">
        <v>160</v>
      </c>
      <c r="AH27" s="69" t="s">
        <v>160</v>
      </c>
      <c r="AI27" s="69" t="s">
        <v>160</v>
      </c>
      <c r="AJ27" s="69" t="s">
        <v>160</v>
      </c>
      <c r="AK27" s="69" t="s">
        <v>160</v>
      </c>
      <c r="AL27" s="69" t="s">
        <v>160</v>
      </c>
      <c r="AM27" s="69" t="s">
        <v>160</v>
      </c>
      <c r="AN27" s="69" t="s">
        <v>160</v>
      </c>
      <c r="AO27" s="69" t="s">
        <v>160</v>
      </c>
      <c r="AP27" s="69" t="s">
        <v>160</v>
      </c>
      <c r="AQ27" s="69" t="s">
        <v>160</v>
      </c>
      <c r="AR27" s="69" t="s">
        <v>160</v>
      </c>
      <c r="AS27" s="69" t="s">
        <v>160</v>
      </c>
      <c r="AT27" s="69" t="s">
        <v>160</v>
      </c>
      <c r="AU27" s="69" t="s">
        <v>160</v>
      </c>
      <c r="AV27" s="69" t="s">
        <v>160</v>
      </c>
      <c r="AW27" s="69" t="s">
        <v>160</v>
      </c>
      <c r="AX27" s="69" t="s">
        <v>160</v>
      </c>
      <c r="AY27" s="69" t="s">
        <v>160</v>
      </c>
      <c r="AZ27" s="69" t="s">
        <v>160</v>
      </c>
      <c r="BA27" s="69" t="s">
        <v>160</v>
      </c>
      <c r="BB27" s="69" t="s">
        <v>160</v>
      </c>
      <c r="BC27" s="69" t="s">
        <v>160</v>
      </c>
      <c r="BD27" s="69" t="s">
        <v>160</v>
      </c>
      <c r="BE27" s="69" t="s">
        <v>160</v>
      </c>
      <c r="BF27" s="69" t="s">
        <v>160</v>
      </c>
      <c r="BG27" s="69" t="s">
        <v>160</v>
      </c>
      <c r="BH27" s="69" t="s">
        <v>160</v>
      </c>
      <c r="BI27" s="69" t="s">
        <v>160</v>
      </c>
      <c r="BJ27" s="69" t="s">
        <v>160</v>
      </c>
      <c r="BK27" s="69" t="s">
        <v>160</v>
      </c>
      <c r="BL27" s="69" t="s">
        <v>160</v>
      </c>
      <c r="BM27" s="69" t="s">
        <v>160</v>
      </c>
      <c r="BN27" s="69" t="s">
        <v>160</v>
      </c>
      <c r="BO27" s="69" t="s">
        <v>160</v>
      </c>
      <c r="BP27" s="69" t="s">
        <v>160</v>
      </c>
      <c r="BQ27" s="69" t="s">
        <v>160</v>
      </c>
      <c r="BR27" s="69" t="s">
        <v>160</v>
      </c>
      <c r="BS27" s="69" t="s">
        <v>160</v>
      </c>
      <c r="BT27" s="69" t="s">
        <v>160</v>
      </c>
      <c r="BU27" s="69" t="s">
        <v>160</v>
      </c>
      <c r="BV27" s="69" t="s">
        <v>160</v>
      </c>
      <c r="BW27" s="69" t="s">
        <v>160</v>
      </c>
      <c r="BX27" s="69" t="s">
        <v>160</v>
      </c>
      <c r="BY27" s="69" t="s">
        <v>160</v>
      </c>
      <c r="BZ27" s="69" t="s">
        <v>160</v>
      </c>
      <c r="CA27" s="69" t="s">
        <v>160</v>
      </c>
      <c r="CB27" s="69" t="s">
        <v>160</v>
      </c>
      <c r="CC27" s="69" t="s">
        <v>160</v>
      </c>
      <c r="CD27" s="69" t="s">
        <v>160</v>
      </c>
      <c r="CE27" s="69" t="s">
        <v>160</v>
      </c>
      <c r="CF27" s="69" t="s">
        <v>160</v>
      </c>
      <c r="CG27" s="69" t="s">
        <v>160</v>
      </c>
      <c r="CH27" s="69" t="s">
        <v>160</v>
      </c>
      <c r="CI27" s="69" t="s">
        <v>160</v>
      </c>
      <c r="CJ27" s="69" t="s">
        <v>160</v>
      </c>
      <c r="CK27" s="69" t="s">
        <v>160</v>
      </c>
      <c r="CL27" s="69" t="s">
        <v>160</v>
      </c>
      <c r="CM27" s="69" t="s">
        <v>160</v>
      </c>
      <c r="CN27" s="69" t="s">
        <v>160</v>
      </c>
      <c r="CO27" s="69" t="s">
        <v>160</v>
      </c>
      <c r="CP27" s="69" t="s">
        <v>160</v>
      </c>
      <c r="CQ27" s="69" t="s">
        <v>160</v>
      </c>
      <c r="CR27" s="69" t="s">
        <v>160</v>
      </c>
      <c r="CS27" s="69" t="s">
        <v>160</v>
      </c>
      <c r="CT27" s="69" t="s">
        <v>160</v>
      </c>
      <c r="CU27" s="69" t="s">
        <v>160</v>
      </c>
      <c r="CV27" s="69" t="s">
        <v>160</v>
      </c>
      <c r="CW27" s="69" t="s">
        <v>160</v>
      </c>
      <c r="CX27" s="69" t="s">
        <v>160</v>
      </c>
      <c r="CY27" s="69" t="s">
        <v>160</v>
      </c>
      <c r="CZ27" s="69" t="s">
        <v>160</v>
      </c>
      <c r="DA27" s="69" t="s">
        <v>160</v>
      </c>
      <c r="DB27" s="69" t="s">
        <v>160</v>
      </c>
      <c r="DC27" s="69" t="s">
        <v>160</v>
      </c>
      <c r="DD27" s="69" t="s">
        <v>160</v>
      </c>
      <c r="DE27" s="69" t="s">
        <v>160</v>
      </c>
      <c r="DF27" s="69" t="s">
        <v>160</v>
      </c>
      <c r="DG27" s="69" t="s">
        <v>160</v>
      </c>
      <c r="DH27" s="69" t="s">
        <v>160</v>
      </c>
      <c r="DI27" s="69" t="s">
        <v>160</v>
      </c>
      <c r="DJ27" s="69" t="s">
        <v>160</v>
      </c>
      <c r="DK27" s="69" t="s">
        <v>160</v>
      </c>
      <c r="DL27" s="69" t="s">
        <v>160</v>
      </c>
      <c r="DM27" s="69" t="s">
        <v>160</v>
      </c>
      <c r="DN27" s="69" t="s">
        <v>160</v>
      </c>
      <c r="DO27" s="69" t="s">
        <v>160</v>
      </c>
      <c r="DP27" s="69" t="s">
        <v>160</v>
      </c>
      <c r="DQ27" s="69" t="s">
        <v>160</v>
      </c>
      <c r="DR27" s="69" t="s">
        <v>160</v>
      </c>
      <c r="DS27" s="69" t="s">
        <v>160</v>
      </c>
      <c r="DT27" s="69" t="s">
        <v>160</v>
      </c>
      <c r="DU27" s="69" t="s">
        <v>160</v>
      </c>
      <c r="DV27" s="69" t="s">
        <v>160</v>
      </c>
      <c r="DW27" s="69" t="s">
        <v>160</v>
      </c>
      <c r="DX27" s="69" t="s">
        <v>160</v>
      </c>
      <c r="DY27" s="69" t="s">
        <v>160</v>
      </c>
      <c r="DZ27" s="69" t="s">
        <v>160</v>
      </c>
      <c r="EA27" s="69" t="s">
        <v>160</v>
      </c>
      <c r="EB27" s="69" t="s">
        <v>160</v>
      </c>
      <c r="EC27" s="69" t="s">
        <v>160</v>
      </c>
      <c r="ED27" s="69" t="s">
        <v>160</v>
      </c>
      <c r="EE27" s="69" t="s">
        <v>160</v>
      </c>
      <c r="EF27" s="69" t="s">
        <v>160</v>
      </c>
      <c r="EG27" s="69" t="s">
        <v>160</v>
      </c>
      <c r="EH27" s="69" t="s">
        <v>160</v>
      </c>
      <c r="EI27" s="69" t="s">
        <v>160</v>
      </c>
      <c r="EJ27" s="69" t="s">
        <v>160</v>
      </c>
      <c r="EK27" s="69" t="s">
        <v>160</v>
      </c>
      <c r="EL27" s="69" t="s">
        <v>160</v>
      </c>
      <c r="EM27" s="69" t="s">
        <v>160</v>
      </c>
      <c r="EN27" s="69" t="s">
        <v>160</v>
      </c>
      <c r="EO27" s="69" t="s">
        <v>160</v>
      </c>
      <c r="EP27" s="69" t="s">
        <v>160</v>
      </c>
      <c r="EQ27" s="69" t="s">
        <v>160</v>
      </c>
      <c r="ER27" s="69" t="s">
        <v>160</v>
      </c>
      <c r="ES27" s="69" t="s">
        <v>160</v>
      </c>
      <c r="ET27" s="69" t="s">
        <v>160</v>
      </c>
      <c r="EU27" s="69" t="s">
        <v>160</v>
      </c>
      <c r="EV27" s="69" t="s">
        <v>160</v>
      </c>
      <c r="EW27" s="69" t="s">
        <v>160</v>
      </c>
      <c r="EX27" s="69" t="s">
        <v>160</v>
      </c>
      <c r="EY27" s="69" t="s">
        <v>160</v>
      </c>
      <c r="EZ27" s="69" t="s">
        <v>160</v>
      </c>
      <c r="FA27" s="69" t="s">
        <v>160</v>
      </c>
      <c r="FB27" s="69" t="s">
        <v>160</v>
      </c>
      <c r="FC27" s="69" t="s">
        <v>160</v>
      </c>
      <c r="FD27" s="69" t="s">
        <v>160</v>
      </c>
    </row>
    <row r="28" spans="1:160">
      <c r="A28" s="103" t="s">
        <v>431</v>
      </c>
      <c r="B28" s="107" t="s">
        <v>163</v>
      </c>
      <c r="C28" s="50" t="s">
        <v>175</v>
      </c>
      <c r="G28" s="51" t="str">
        <f t="shared" si="0"/>
        <v>Product usage guide with examples for all the functional usecases</v>
      </c>
      <c r="H28" s="51" t="s">
        <v>2</v>
      </c>
      <c r="I28" s="64">
        <v>44652</v>
      </c>
      <c r="J28" s="64">
        <v>44924</v>
      </c>
      <c r="K28" s="64">
        <v>44652</v>
      </c>
      <c r="L28" s="64">
        <v>45041</v>
      </c>
      <c r="M28" s="64" t="s">
        <v>174</v>
      </c>
      <c r="N28" s="64" t="b">
        <f t="shared" si="5"/>
        <v>1</v>
      </c>
      <c r="O28" s="64"/>
      <c r="P28" s="67">
        <v>0.9</v>
      </c>
      <c r="Q28" s="67"/>
      <c r="R28" s="51" t="s">
        <v>2</v>
      </c>
      <c r="S28" s="68" t="s">
        <v>160</v>
      </c>
      <c r="T28" s="69" t="s">
        <v>160</v>
      </c>
      <c r="U28" s="69" t="s">
        <v>160</v>
      </c>
      <c r="V28" s="80" t="s">
        <v>160</v>
      </c>
      <c r="W28" s="69" t="s">
        <v>160</v>
      </c>
      <c r="X28" s="69" t="s">
        <v>160</v>
      </c>
      <c r="Y28" s="69" t="s">
        <v>160</v>
      </c>
      <c r="Z28" s="69" t="s">
        <v>160</v>
      </c>
      <c r="AA28" s="69" t="s">
        <v>160</v>
      </c>
      <c r="AB28" s="69" t="s">
        <v>160</v>
      </c>
      <c r="AC28" s="69" t="s">
        <v>160</v>
      </c>
      <c r="AD28" s="69" t="s">
        <v>160</v>
      </c>
      <c r="AE28" s="69" t="s">
        <v>160</v>
      </c>
      <c r="AF28" s="69" t="s">
        <v>160</v>
      </c>
      <c r="AG28" s="69" t="s">
        <v>160</v>
      </c>
      <c r="AH28" s="69" t="s">
        <v>160</v>
      </c>
      <c r="AI28" s="69" t="s">
        <v>160</v>
      </c>
      <c r="AJ28" s="69" t="s">
        <v>160</v>
      </c>
      <c r="AK28" s="69" t="s">
        <v>160</v>
      </c>
      <c r="AL28" s="69" t="s">
        <v>160</v>
      </c>
      <c r="AM28" s="69" t="s">
        <v>160</v>
      </c>
      <c r="AN28" s="69" t="s">
        <v>160</v>
      </c>
      <c r="AO28" s="69" t="s">
        <v>160</v>
      </c>
      <c r="AP28" s="69" t="s">
        <v>160</v>
      </c>
      <c r="AQ28" s="69" t="s">
        <v>160</v>
      </c>
      <c r="AR28" s="69" t="s">
        <v>160</v>
      </c>
      <c r="AS28" s="69" t="s">
        <v>160</v>
      </c>
      <c r="AT28" s="69" t="s">
        <v>160</v>
      </c>
      <c r="AU28" s="69" t="s">
        <v>160</v>
      </c>
      <c r="AV28" s="69" t="s">
        <v>160</v>
      </c>
      <c r="AW28" s="69" t="s">
        <v>160</v>
      </c>
      <c r="AX28" s="69" t="s">
        <v>160</v>
      </c>
      <c r="AY28" s="69" t="s">
        <v>160</v>
      </c>
      <c r="AZ28" s="69" t="s">
        <v>160</v>
      </c>
      <c r="BA28" s="69" t="s">
        <v>160</v>
      </c>
      <c r="BB28" s="69" t="s">
        <v>160</v>
      </c>
      <c r="BC28" s="69" t="s">
        <v>160</v>
      </c>
      <c r="BD28" s="69" t="s">
        <v>160</v>
      </c>
      <c r="BE28" s="69" t="s">
        <v>160</v>
      </c>
      <c r="BF28" s="69" t="s">
        <v>160</v>
      </c>
      <c r="BG28" s="69" t="s">
        <v>160</v>
      </c>
      <c r="BH28" s="69" t="s">
        <v>160</v>
      </c>
      <c r="BI28" s="69" t="s">
        <v>160</v>
      </c>
      <c r="BJ28" s="69" t="s">
        <v>160</v>
      </c>
      <c r="BK28" s="69" t="s">
        <v>160</v>
      </c>
      <c r="BL28" s="69" t="s">
        <v>160</v>
      </c>
      <c r="BM28" s="69" t="s">
        <v>160</v>
      </c>
      <c r="BN28" s="69" t="s">
        <v>160</v>
      </c>
      <c r="BO28" s="69" t="s">
        <v>160</v>
      </c>
      <c r="BP28" s="69" t="s">
        <v>160</v>
      </c>
      <c r="BQ28" s="69" t="s">
        <v>160</v>
      </c>
      <c r="BR28" s="69" t="s">
        <v>160</v>
      </c>
      <c r="BS28" s="69" t="s">
        <v>160</v>
      </c>
      <c r="BT28" s="69" t="s">
        <v>160</v>
      </c>
      <c r="BU28" s="69" t="s">
        <v>160</v>
      </c>
      <c r="BV28" s="69" t="s">
        <v>160</v>
      </c>
      <c r="BW28" s="69" t="s">
        <v>160</v>
      </c>
      <c r="BX28" s="69" t="s">
        <v>160</v>
      </c>
      <c r="BY28" s="69" t="s">
        <v>160</v>
      </c>
      <c r="BZ28" s="69" t="s">
        <v>160</v>
      </c>
      <c r="CA28" s="69" t="s">
        <v>160</v>
      </c>
      <c r="CB28" s="69" t="s">
        <v>160</v>
      </c>
      <c r="CC28" s="69" t="s">
        <v>160</v>
      </c>
      <c r="CD28" s="69" t="s">
        <v>160</v>
      </c>
      <c r="CE28" s="69" t="s">
        <v>160</v>
      </c>
      <c r="CF28" s="69" t="s">
        <v>160</v>
      </c>
      <c r="CG28" s="69" t="s">
        <v>160</v>
      </c>
      <c r="CH28" s="69" t="s">
        <v>160</v>
      </c>
      <c r="CI28" s="69" t="s">
        <v>160</v>
      </c>
      <c r="CJ28" s="69" t="s">
        <v>160</v>
      </c>
      <c r="CK28" s="69" t="s">
        <v>160</v>
      </c>
      <c r="CL28" s="69" t="s">
        <v>160</v>
      </c>
      <c r="CM28" s="69" t="s">
        <v>160</v>
      </c>
      <c r="CN28" s="69" t="s">
        <v>160</v>
      </c>
      <c r="CO28" s="69" t="s">
        <v>160</v>
      </c>
      <c r="CP28" s="69" t="s">
        <v>160</v>
      </c>
      <c r="CQ28" s="69" t="s">
        <v>160</v>
      </c>
      <c r="CR28" s="69" t="s">
        <v>160</v>
      </c>
      <c r="CS28" s="69" t="s">
        <v>160</v>
      </c>
      <c r="CT28" s="69" t="s">
        <v>160</v>
      </c>
      <c r="CU28" s="69" t="s">
        <v>160</v>
      </c>
      <c r="CV28" s="69" t="s">
        <v>160</v>
      </c>
      <c r="CW28" s="69" t="s">
        <v>160</v>
      </c>
      <c r="CX28" s="69" t="s">
        <v>160</v>
      </c>
      <c r="CY28" s="69" t="s">
        <v>160</v>
      </c>
      <c r="CZ28" s="69" t="s">
        <v>160</v>
      </c>
      <c r="DA28" s="69" t="s">
        <v>160</v>
      </c>
      <c r="DB28" s="69" t="s">
        <v>160</v>
      </c>
      <c r="DC28" s="69" t="s">
        <v>160</v>
      </c>
      <c r="DD28" s="69" t="s">
        <v>160</v>
      </c>
      <c r="DE28" s="69" t="s">
        <v>160</v>
      </c>
      <c r="DF28" s="69" t="s">
        <v>160</v>
      </c>
      <c r="DG28" s="69" t="s">
        <v>160</v>
      </c>
      <c r="DH28" s="69" t="s">
        <v>160</v>
      </c>
      <c r="DI28" s="69" t="s">
        <v>160</v>
      </c>
      <c r="DJ28" s="69" t="s">
        <v>160</v>
      </c>
      <c r="DK28" s="69" t="s">
        <v>160</v>
      </c>
      <c r="DL28" s="69" t="s">
        <v>160</v>
      </c>
      <c r="DM28" s="69" t="s">
        <v>160</v>
      </c>
      <c r="DN28" s="69" t="s">
        <v>160</v>
      </c>
      <c r="DO28" s="69" t="s">
        <v>160</v>
      </c>
      <c r="DP28" s="69" t="s">
        <v>160</v>
      </c>
      <c r="DQ28" s="69" t="s">
        <v>160</v>
      </c>
      <c r="DR28" s="69" t="s">
        <v>160</v>
      </c>
      <c r="DS28" s="69" t="s">
        <v>160</v>
      </c>
      <c r="DT28" s="69" t="s">
        <v>160</v>
      </c>
      <c r="DU28" s="69" t="s">
        <v>160</v>
      </c>
      <c r="DV28" s="69" t="s">
        <v>160</v>
      </c>
      <c r="DW28" s="69" t="s">
        <v>160</v>
      </c>
      <c r="DX28" s="69" t="s">
        <v>160</v>
      </c>
      <c r="DY28" s="69" t="s">
        <v>160</v>
      </c>
      <c r="DZ28" s="69" t="s">
        <v>160</v>
      </c>
      <c r="EA28" s="69" t="s">
        <v>160</v>
      </c>
      <c r="EB28" s="69" t="s">
        <v>160</v>
      </c>
      <c r="EC28" s="69" t="s">
        <v>160</v>
      </c>
      <c r="ED28" s="69" t="s">
        <v>160</v>
      </c>
      <c r="EE28" s="69" t="s">
        <v>160</v>
      </c>
      <c r="EF28" s="69" t="s">
        <v>160</v>
      </c>
      <c r="EG28" s="69" t="s">
        <v>160</v>
      </c>
      <c r="EH28" s="69" t="s">
        <v>160</v>
      </c>
      <c r="EI28" s="69" t="s">
        <v>160</v>
      </c>
      <c r="EJ28" s="69" t="s">
        <v>160</v>
      </c>
      <c r="EK28" s="69" t="s">
        <v>160</v>
      </c>
      <c r="EL28" s="69" t="s">
        <v>160</v>
      </c>
      <c r="EM28" s="69" t="s">
        <v>160</v>
      </c>
      <c r="EN28" s="69" t="s">
        <v>160</v>
      </c>
      <c r="EO28" s="69" t="s">
        <v>160</v>
      </c>
      <c r="EP28" s="69" t="s">
        <v>160</v>
      </c>
      <c r="EQ28" s="69" t="s">
        <v>160</v>
      </c>
      <c r="ER28" s="69" t="s">
        <v>160</v>
      </c>
      <c r="ES28" s="69" t="s">
        <v>160</v>
      </c>
      <c r="ET28" s="69" t="s">
        <v>160</v>
      </c>
      <c r="EU28" s="69" t="s">
        <v>160</v>
      </c>
      <c r="EV28" s="69" t="s">
        <v>160</v>
      </c>
      <c r="EW28" s="69" t="s">
        <v>160</v>
      </c>
      <c r="EX28" s="69" t="s">
        <v>160</v>
      </c>
      <c r="EY28" s="69" t="s">
        <v>160</v>
      </c>
      <c r="EZ28" s="69" t="s">
        <v>160</v>
      </c>
      <c r="FA28" s="69" t="s">
        <v>160</v>
      </c>
      <c r="FB28" s="69" t="s">
        <v>160</v>
      </c>
      <c r="FC28" s="69" t="s">
        <v>160</v>
      </c>
      <c r="FD28" s="69" t="s">
        <v>160</v>
      </c>
    </row>
    <row r="29" spans="1:160" s="71" customFormat="1" ht="18.5" thickBot="1">
      <c r="A29" s="104" t="s">
        <v>432</v>
      </c>
      <c r="B29" s="105" t="s">
        <v>163</v>
      </c>
      <c r="C29" s="82" t="s">
        <v>176</v>
      </c>
      <c r="G29" s="71" t="str">
        <f t="shared" si="0"/>
        <v xml:space="preserve">Test report </v>
      </c>
      <c r="H29" s="71" t="s">
        <v>2</v>
      </c>
      <c r="I29" s="72">
        <v>44652</v>
      </c>
      <c r="J29" s="72">
        <v>44924</v>
      </c>
      <c r="K29" s="72">
        <v>44652</v>
      </c>
      <c r="L29" s="72">
        <v>45061</v>
      </c>
      <c r="M29" s="72" t="s">
        <v>174</v>
      </c>
      <c r="N29" s="72" t="b">
        <f t="shared" si="5"/>
        <v>1</v>
      </c>
      <c r="O29" s="72"/>
      <c r="P29" s="73">
        <v>0.9</v>
      </c>
      <c r="Q29" s="73"/>
      <c r="R29" s="71" t="s">
        <v>2</v>
      </c>
      <c r="S29" s="74" t="s">
        <v>160</v>
      </c>
      <c r="T29" s="75" t="s">
        <v>160</v>
      </c>
      <c r="U29" s="75" t="s">
        <v>160</v>
      </c>
      <c r="V29" s="81" t="s">
        <v>160</v>
      </c>
      <c r="W29" s="75" t="s">
        <v>160</v>
      </c>
      <c r="X29" s="75" t="s">
        <v>160</v>
      </c>
      <c r="Y29" s="75" t="s">
        <v>160</v>
      </c>
      <c r="Z29" s="75" t="s">
        <v>160</v>
      </c>
      <c r="AA29" s="75" t="s">
        <v>160</v>
      </c>
      <c r="AB29" s="75" t="s">
        <v>160</v>
      </c>
      <c r="AC29" s="75" t="s">
        <v>160</v>
      </c>
      <c r="AD29" s="75" t="s">
        <v>160</v>
      </c>
      <c r="AE29" s="75" t="s">
        <v>160</v>
      </c>
      <c r="AF29" s="75" t="s">
        <v>160</v>
      </c>
      <c r="AG29" s="75" t="s">
        <v>160</v>
      </c>
      <c r="AH29" s="75" t="s">
        <v>160</v>
      </c>
      <c r="AI29" s="75" t="s">
        <v>160</v>
      </c>
      <c r="AJ29" s="75" t="s">
        <v>160</v>
      </c>
      <c r="AK29" s="75" t="s">
        <v>160</v>
      </c>
      <c r="AL29" s="75" t="s">
        <v>160</v>
      </c>
      <c r="AM29" s="75" t="s">
        <v>160</v>
      </c>
      <c r="AN29" s="75" t="s">
        <v>160</v>
      </c>
      <c r="AO29" s="75" t="s">
        <v>160</v>
      </c>
      <c r="AP29" s="75" t="s">
        <v>160</v>
      </c>
      <c r="AQ29" s="75" t="s">
        <v>160</v>
      </c>
      <c r="AR29" s="75" t="s">
        <v>160</v>
      </c>
      <c r="AS29" s="75" t="s">
        <v>160</v>
      </c>
      <c r="AT29" s="75" t="s">
        <v>160</v>
      </c>
      <c r="AU29" s="75" t="s">
        <v>160</v>
      </c>
      <c r="AV29" s="75" t="s">
        <v>160</v>
      </c>
      <c r="AW29" s="75" t="s">
        <v>160</v>
      </c>
      <c r="AX29" s="75" t="s">
        <v>160</v>
      </c>
      <c r="AY29" s="75" t="s">
        <v>160</v>
      </c>
      <c r="AZ29" s="75" t="s">
        <v>160</v>
      </c>
      <c r="BA29" s="75" t="s">
        <v>160</v>
      </c>
      <c r="BB29" s="75" t="s">
        <v>160</v>
      </c>
      <c r="BC29" s="75" t="s">
        <v>160</v>
      </c>
      <c r="BD29" s="75" t="s">
        <v>160</v>
      </c>
      <c r="BE29" s="75" t="s">
        <v>160</v>
      </c>
      <c r="BF29" s="75" t="s">
        <v>160</v>
      </c>
      <c r="BG29" s="75" t="s">
        <v>160</v>
      </c>
      <c r="BH29" s="75" t="s">
        <v>160</v>
      </c>
      <c r="BI29" s="75" t="s">
        <v>160</v>
      </c>
      <c r="BJ29" s="75" t="s">
        <v>160</v>
      </c>
      <c r="BK29" s="75" t="s">
        <v>160</v>
      </c>
      <c r="BL29" s="75" t="s">
        <v>160</v>
      </c>
      <c r="BM29" s="75" t="s">
        <v>160</v>
      </c>
      <c r="BN29" s="75" t="s">
        <v>160</v>
      </c>
      <c r="BO29" s="75" t="s">
        <v>160</v>
      </c>
      <c r="BP29" s="75" t="s">
        <v>160</v>
      </c>
      <c r="BQ29" s="75" t="s">
        <v>160</v>
      </c>
      <c r="BR29" s="75" t="s">
        <v>160</v>
      </c>
      <c r="BS29" s="75" t="s">
        <v>160</v>
      </c>
      <c r="BT29" s="75" t="s">
        <v>160</v>
      </c>
      <c r="BU29" s="75" t="s">
        <v>160</v>
      </c>
      <c r="BV29" s="75" t="s">
        <v>160</v>
      </c>
      <c r="BW29" s="75" t="s">
        <v>160</v>
      </c>
      <c r="BX29" s="75" t="s">
        <v>160</v>
      </c>
      <c r="BY29" s="75" t="s">
        <v>160</v>
      </c>
      <c r="BZ29" s="75" t="s">
        <v>160</v>
      </c>
      <c r="CA29" s="75" t="s">
        <v>160</v>
      </c>
      <c r="CB29" s="75" t="s">
        <v>160</v>
      </c>
      <c r="CC29" s="75" t="s">
        <v>160</v>
      </c>
      <c r="CD29" s="75" t="s">
        <v>160</v>
      </c>
      <c r="CE29" s="75" t="s">
        <v>160</v>
      </c>
      <c r="CF29" s="75" t="s">
        <v>160</v>
      </c>
      <c r="CG29" s="75" t="s">
        <v>160</v>
      </c>
      <c r="CH29" s="75" t="s">
        <v>160</v>
      </c>
      <c r="CI29" s="75" t="s">
        <v>160</v>
      </c>
      <c r="CJ29" s="75" t="s">
        <v>160</v>
      </c>
      <c r="CK29" s="75" t="s">
        <v>160</v>
      </c>
      <c r="CL29" s="75" t="s">
        <v>160</v>
      </c>
      <c r="CM29" s="75" t="s">
        <v>160</v>
      </c>
      <c r="CN29" s="75" t="s">
        <v>160</v>
      </c>
      <c r="CO29" s="75" t="s">
        <v>160</v>
      </c>
      <c r="CP29" s="75" t="s">
        <v>160</v>
      </c>
      <c r="CQ29" s="75" t="s">
        <v>160</v>
      </c>
      <c r="CR29" s="75" t="s">
        <v>160</v>
      </c>
      <c r="CS29" s="75" t="s">
        <v>160</v>
      </c>
      <c r="CT29" s="75" t="s">
        <v>160</v>
      </c>
      <c r="CU29" s="75" t="s">
        <v>160</v>
      </c>
      <c r="CV29" s="75" t="s">
        <v>160</v>
      </c>
      <c r="CW29" s="75" t="s">
        <v>160</v>
      </c>
      <c r="CX29" s="75" t="s">
        <v>160</v>
      </c>
      <c r="CY29" s="75" t="s">
        <v>160</v>
      </c>
      <c r="CZ29" s="75" t="s">
        <v>160</v>
      </c>
      <c r="DA29" s="75" t="s">
        <v>160</v>
      </c>
      <c r="DB29" s="75" t="s">
        <v>160</v>
      </c>
      <c r="DC29" s="75" t="s">
        <v>160</v>
      </c>
      <c r="DD29" s="75" t="s">
        <v>160</v>
      </c>
      <c r="DE29" s="75" t="s">
        <v>160</v>
      </c>
      <c r="DF29" s="75" t="s">
        <v>160</v>
      </c>
      <c r="DG29" s="75" t="s">
        <v>160</v>
      </c>
      <c r="DH29" s="75" t="s">
        <v>160</v>
      </c>
      <c r="DI29" s="75" t="s">
        <v>160</v>
      </c>
      <c r="DJ29" s="75" t="s">
        <v>160</v>
      </c>
      <c r="DK29" s="75" t="s">
        <v>160</v>
      </c>
      <c r="DL29" s="75" t="s">
        <v>160</v>
      </c>
      <c r="DM29" s="75" t="s">
        <v>160</v>
      </c>
      <c r="DN29" s="75" t="s">
        <v>160</v>
      </c>
      <c r="DO29" s="75" t="s">
        <v>160</v>
      </c>
      <c r="DP29" s="75" t="s">
        <v>160</v>
      </c>
      <c r="DQ29" s="75" t="s">
        <v>160</v>
      </c>
      <c r="DR29" s="75" t="s">
        <v>160</v>
      </c>
      <c r="DS29" s="75" t="s">
        <v>160</v>
      </c>
      <c r="DT29" s="75" t="s">
        <v>160</v>
      </c>
      <c r="DU29" s="75" t="s">
        <v>160</v>
      </c>
      <c r="DV29" s="75" t="s">
        <v>160</v>
      </c>
      <c r="DW29" s="75" t="s">
        <v>160</v>
      </c>
      <c r="DX29" s="75" t="s">
        <v>160</v>
      </c>
      <c r="DY29" s="75" t="s">
        <v>160</v>
      </c>
      <c r="DZ29" s="75" t="s">
        <v>160</v>
      </c>
      <c r="EA29" s="75" t="s">
        <v>160</v>
      </c>
      <c r="EB29" s="75" t="s">
        <v>160</v>
      </c>
      <c r="EC29" s="75" t="s">
        <v>160</v>
      </c>
      <c r="ED29" s="75" t="s">
        <v>160</v>
      </c>
      <c r="EE29" s="75" t="s">
        <v>160</v>
      </c>
      <c r="EF29" s="75" t="s">
        <v>160</v>
      </c>
      <c r="EG29" s="75" t="s">
        <v>160</v>
      </c>
      <c r="EH29" s="75" t="s">
        <v>160</v>
      </c>
      <c r="EI29" s="75" t="s">
        <v>160</v>
      </c>
      <c r="EJ29" s="75" t="s">
        <v>160</v>
      </c>
      <c r="EK29" s="75" t="s">
        <v>160</v>
      </c>
      <c r="EL29" s="75" t="s">
        <v>160</v>
      </c>
      <c r="EM29" s="75" t="s">
        <v>160</v>
      </c>
      <c r="EN29" s="75" t="s">
        <v>160</v>
      </c>
      <c r="EO29" s="75" t="s">
        <v>160</v>
      </c>
      <c r="EP29" s="75" t="s">
        <v>160</v>
      </c>
      <c r="EQ29" s="75" t="s">
        <v>160</v>
      </c>
      <c r="ER29" s="75" t="s">
        <v>160</v>
      </c>
      <c r="ES29" s="75" t="s">
        <v>160</v>
      </c>
      <c r="ET29" s="75" t="s">
        <v>160</v>
      </c>
      <c r="EU29" s="75" t="s">
        <v>160</v>
      </c>
      <c r="EV29" s="75" t="s">
        <v>160</v>
      </c>
      <c r="EW29" s="75" t="s">
        <v>160</v>
      </c>
      <c r="EX29" s="75" t="s">
        <v>160</v>
      </c>
      <c r="EY29" s="75" t="s">
        <v>160</v>
      </c>
      <c r="EZ29" s="75" t="s">
        <v>160</v>
      </c>
      <c r="FA29" s="75" t="s">
        <v>160</v>
      </c>
      <c r="FB29" s="75" t="s">
        <v>160</v>
      </c>
      <c r="FC29" s="75" t="s">
        <v>160</v>
      </c>
      <c r="FD29" s="75" t="s">
        <v>160</v>
      </c>
    </row>
    <row r="30" spans="1:160">
      <c r="A30" s="103" t="s">
        <v>434</v>
      </c>
      <c r="B30" s="22" t="s">
        <v>179</v>
      </c>
      <c r="G30" s="51" t="str">
        <f t="shared" si="0"/>
        <v>M5. Decision and Prediction Engine AI/ML models - Prediction &amp; Energy  Optimization</v>
      </c>
      <c r="H30" s="51" t="s">
        <v>2</v>
      </c>
      <c r="I30" s="64">
        <f ca="1">IF(SUM(I31:INDIRECT("I"&amp;$O30))=0,"",MIN(I31:INDIRECT("I"&amp;$O30)))</f>
        <v>44743</v>
      </c>
      <c r="J30" s="64">
        <f ca="1">IF(SUM(J31:INDIRECT("J"&amp;$O30))=0,"",MAX(J31:INDIRECT("J"&amp;$O30)))</f>
        <v>45107</v>
      </c>
      <c r="K30" s="64">
        <f ca="1">IF(SUM(K31:INDIRECT("K"&amp;$O30))=0,"",MIN(K31:INDIRECT("K"&amp;$O30)))</f>
        <v>44743</v>
      </c>
      <c r="L30" s="64">
        <f ca="1">IF(SUM(L31:INDIRECT("L"&amp;$O30))=0,"",MAX(L31:INDIRECT("L"&amp;$O30)))</f>
        <v>45077</v>
      </c>
      <c r="M30" s="64">
        <f ca="1">IF(N30,TODAY(),IF(SUM(M31:INDIRECT("M"&amp;$O30))=0,"",MAX(M31:INDIRECT("M"&amp;$O30))))</f>
        <v>45096</v>
      </c>
      <c r="N30" s="64" t="b">
        <f ca="1">OR(N31:INDIRECT("N"&amp;O30))</f>
        <v>1</v>
      </c>
      <c r="O30" s="65">
        <f>ROW()+COUNTA(N31:N49)</f>
        <v>49</v>
      </c>
      <c r="P30" s="66">
        <f>AVERAGE(P31:P49)</f>
        <v>0.52500000000000002</v>
      </c>
      <c r="Q30" s="67"/>
      <c r="R30" s="51" t="s">
        <v>2</v>
      </c>
      <c r="S30" s="77" t="s">
        <v>160</v>
      </c>
      <c r="T30" s="78" t="s">
        <v>160</v>
      </c>
      <c r="U30" s="78" t="s">
        <v>160</v>
      </c>
      <c r="V30" s="78" t="s">
        <v>160</v>
      </c>
      <c r="W30" s="69" t="s">
        <v>160</v>
      </c>
      <c r="X30" s="69" t="s">
        <v>160</v>
      </c>
      <c r="Y30" s="69" t="s">
        <v>160</v>
      </c>
      <c r="Z30" s="69" t="s">
        <v>160</v>
      </c>
      <c r="AA30" s="69" t="s">
        <v>160</v>
      </c>
      <c r="AB30" s="69" t="s">
        <v>160</v>
      </c>
      <c r="AC30" s="69" t="s">
        <v>160</v>
      </c>
      <c r="AD30" s="69" t="s">
        <v>160</v>
      </c>
      <c r="AE30" s="69" t="s">
        <v>160</v>
      </c>
      <c r="AF30" s="69" t="s">
        <v>160</v>
      </c>
      <c r="AG30" s="69" t="s">
        <v>160</v>
      </c>
      <c r="AH30" s="69" t="s">
        <v>160</v>
      </c>
      <c r="AI30" s="69" t="s">
        <v>160</v>
      </c>
      <c r="AJ30" s="69" t="s">
        <v>160</v>
      </c>
      <c r="AK30" s="69" t="s">
        <v>160</v>
      </c>
      <c r="AL30" s="69" t="s">
        <v>160</v>
      </c>
      <c r="AM30" s="69" t="s">
        <v>160</v>
      </c>
      <c r="AN30" s="69" t="s">
        <v>160</v>
      </c>
      <c r="AO30" s="69" t="s">
        <v>160</v>
      </c>
      <c r="AP30" s="69" t="s">
        <v>160</v>
      </c>
      <c r="AQ30" s="69" t="s">
        <v>160</v>
      </c>
      <c r="AR30" s="69" t="s">
        <v>160</v>
      </c>
      <c r="AS30" s="69" t="s">
        <v>160</v>
      </c>
      <c r="AT30" s="69" t="s">
        <v>160</v>
      </c>
      <c r="AU30" s="69" t="s">
        <v>160</v>
      </c>
      <c r="AV30" s="69" t="s">
        <v>160</v>
      </c>
      <c r="AW30" s="69" t="s">
        <v>160</v>
      </c>
      <c r="AX30" s="69" t="s">
        <v>160</v>
      </c>
      <c r="AY30" s="69" t="s">
        <v>160</v>
      </c>
      <c r="AZ30" s="69" t="s">
        <v>160</v>
      </c>
      <c r="BA30" s="69" t="s">
        <v>160</v>
      </c>
      <c r="BB30" s="69" t="s">
        <v>160</v>
      </c>
      <c r="BC30" s="69" t="s">
        <v>160</v>
      </c>
      <c r="BD30" s="69" t="s">
        <v>160</v>
      </c>
      <c r="BE30" s="69" t="s">
        <v>160</v>
      </c>
      <c r="BF30" s="69" t="s">
        <v>160</v>
      </c>
      <c r="BG30" s="69" t="s">
        <v>160</v>
      </c>
      <c r="BH30" s="69" t="s">
        <v>160</v>
      </c>
      <c r="BI30" s="69" t="s">
        <v>160</v>
      </c>
      <c r="BJ30" s="69" t="s">
        <v>160</v>
      </c>
      <c r="BK30" s="69" t="s">
        <v>160</v>
      </c>
      <c r="BL30" s="69" t="s">
        <v>160</v>
      </c>
      <c r="BM30" s="69" t="s">
        <v>160</v>
      </c>
      <c r="BN30" s="69" t="s">
        <v>160</v>
      </c>
      <c r="BO30" s="69" t="s">
        <v>160</v>
      </c>
      <c r="BP30" s="69" t="s">
        <v>160</v>
      </c>
      <c r="BQ30" s="69" t="s">
        <v>160</v>
      </c>
      <c r="BR30" s="69" t="s">
        <v>160</v>
      </c>
      <c r="BS30" s="69" t="s">
        <v>160</v>
      </c>
      <c r="BT30" s="69" t="s">
        <v>160</v>
      </c>
      <c r="BU30" s="69" t="s">
        <v>160</v>
      </c>
      <c r="BV30" s="69" t="s">
        <v>160</v>
      </c>
      <c r="BW30" s="69" t="s">
        <v>160</v>
      </c>
      <c r="BX30" s="69" t="s">
        <v>160</v>
      </c>
      <c r="BY30" s="69" t="s">
        <v>160</v>
      </c>
      <c r="BZ30" s="69" t="s">
        <v>160</v>
      </c>
      <c r="CA30" s="69" t="s">
        <v>160</v>
      </c>
      <c r="CB30" s="69" t="s">
        <v>160</v>
      </c>
      <c r="CC30" s="69" t="s">
        <v>160</v>
      </c>
      <c r="CD30" s="69" t="s">
        <v>160</v>
      </c>
      <c r="CE30" s="69" t="s">
        <v>160</v>
      </c>
      <c r="CF30" s="69" t="s">
        <v>160</v>
      </c>
      <c r="CG30" s="69" t="s">
        <v>160</v>
      </c>
      <c r="CH30" s="69" t="s">
        <v>160</v>
      </c>
      <c r="CI30" s="69" t="s">
        <v>160</v>
      </c>
      <c r="CJ30" s="69" t="s">
        <v>160</v>
      </c>
      <c r="CK30" s="69" t="s">
        <v>160</v>
      </c>
      <c r="CL30" s="69" t="s">
        <v>160</v>
      </c>
      <c r="CM30" s="69" t="s">
        <v>160</v>
      </c>
      <c r="CN30" s="69" t="s">
        <v>160</v>
      </c>
      <c r="CO30" s="69" t="s">
        <v>160</v>
      </c>
      <c r="CP30" s="69" t="s">
        <v>160</v>
      </c>
      <c r="CQ30" s="69" t="s">
        <v>160</v>
      </c>
      <c r="CR30" s="69" t="s">
        <v>160</v>
      </c>
      <c r="CS30" s="69" t="s">
        <v>160</v>
      </c>
      <c r="CT30" s="69" t="s">
        <v>160</v>
      </c>
      <c r="CU30" s="69" t="s">
        <v>160</v>
      </c>
      <c r="CV30" s="69" t="s">
        <v>160</v>
      </c>
      <c r="CW30" s="69" t="s">
        <v>160</v>
      </c>
      <c r="CX30" s="69" t="s">
        <v>160</v>
      </c>
      <c r="CY30" s="69" t="s">
        <v>160</v>
      </c>
      <c r="CZ30" s="69" t="s">
        <v>160</v>
      </c>
      <c r="DA30" s="69" t="s">
        <v>160</v>
      </c>
      <c r="DB30" s="69" t="s">
        <v>160</v>
      </c>
      <c r="DC30" s="69" t="s">
        <v>160</v>
      </c>
      <c r="DD30" s="69" t="s">
        <v>160</v>
      </c>
      <c r="DE30" s="69" t="s">
        <v>160</v>
      </c>
      <c r="DF30" s="69" t="s">
        <v>160</v>
      </c>
      <c r="DG30" s="69" t="s">
        <v>160</v>
      </c>
      <c r="DH30" s="69" t="s">
        <v>160</v>
      </c>
      <c r="DI30" s="69" t="s">
        <v>160</v>
      </c>
      <c r="DJ30" s="69" t="s">
        <v>160</v>
      </c>
      <c r="DK30" s="69" t="s">
        <v>160</v>
      </c>
      <c r="DL30" s="69" t="s">
        <v>160</v>
      </c>
      <c r="DM30" s="69" t="s">
        <v>160</v>
      </c>
      <c r="DN30" s="69" t="s">
        <v>160</v>
      </c>
      <c r="DO30" s="69" t="s">
        <v>160</v>
      </c>
      <c r="DP30" s="69" t="s">
        <v>160</v>
      </c>
      <c r="DQ30" s="69" t="s">
        <v>160</v>
      </c>
      <c r="DR30" s="69" t="s">
        <v>160</v>
      </c>
      <c r="DS30" s="69" t="s">
        <v>160</v>
      </c>
      <c r="DT30" s="69" t="s">
        <v>160</v>
      </c>
      <c r="DU30" s="69" t="s">
        <v>160</v>
      </c>
      <c r="DV30" s="69" t="s">
        <v>160</v>
      </c>
      <c r="DW30" s="69" t="s">
        <v>160</v>
      </c>
      <c r="DX30" s="69" t="s">
        <v>160</v>
      </c>
      <c r="DY30" s="69" t="s">
        <v>160</v>
      </c>
      <c r="DZ30" s="69" t="s">
        <v>160</v>
      </c>
      <c r="EA30" s="69" t="s">
        <v>160</v>
      </c>
      <c r="EB30" s="69" t="s">
        <v>160</v>
      </c>
      <c r="EC30" s="69" t="s">
        <v>160</v>
      </c>
      <c r="ED30" s="69" t="s">
        <v>160</v>
      </c>
      <c r="EE30" s="69" t="s">
        <v>160</v>
      </c>
      <c r="EF30" s="69" t="s">
        <v>160</v>
      </c>
      <c r="EG30" s="69" t="s">
        <v>160</v>
      </c>
      <c r="EH30" s="69" t="s">
        <v>160</v>
      </c>
      <c r="EI30" s="69" t="s">
        <v>160</v>
      </c>
      <c r="EJ30" s="69" t="s">
        <v>160</v>
      </c>
      <c r="EK30" s="69" t="s">
        <v>160</v>
      </c>
      <c r="EL30" s="69" t="s">
        <v>160</v>
      </c>
      <c r="EM30" s="69" t="s">
        <v>160</v>
      </c>
      <c r="EN30" s="69" t="s">
        <v>160</v>
      </c>
      <c r="EO30" s="69" t="s">
        <v>160</v>
      </c>
      <c r="EP30" s="69" t="s">
        <v>160</v>
      </c>
      <c r="EQ30" s="69" t="s">
        <v>160</v>
      </c>
      <c r="ER30" s="69" t="s">
        <v>160</v>
      </c>
      <c r="ES30" s="69" t="s">
        <v>160</v>
      </c>
      <c r="ET30" s="69" t="s">
        <v>160</v>
      </c>
      <c r="EU30" s="69" t="s">
        <v>160</v>
      </c>
      <c r="EV30" s="69" t="s">
        <v>160</v>
      </c>
      <c r="EW30" s="69" t="s">
        <v>160</v>
      </c>
      <c r="EX30" s="69" t="s">
        <v>160</v>
      </c>
      <c r="EY30" s="69" t="s">
        <v>160</v>
      </c>
      <c r="EZ30" s="69" t="s">
        <v>160</v>
      </c>
      <c r="FA30" s="69" t="s">
        <v>160</v>
      </c>
      <c r="FB30" s="69" t="s">
        <v>160</v>
      </c>
      <c r="FC30" s="69" t="s">
        <v>160</v>
      </c>
      <c r="FD30" s="69" t="s">
        <v>160</v>
      </c>
    </row>
    <row r="31" spans="1:160">
      <c r="A31" s="103" t="s">
        <v>435</v>
      </c>
      <c r="C31" s="50" t="s">
        <v>180</v>
      </c>
      <c r="G31" s="51" t="str">
        <f t="shared" si="0"/>
        <v>Energy optimization Module</v>
      </c>
      <c r="H31" s="51" t="s">
        <v>2</v>
      </c>
      <c r="I31" s="64"/>
      <c r="J31" s="64"/>
      <c r="K31" s="64"/>
      <c r="L31" s="64"/>
      <c r="M31" s="64"/>
      <c r="N31" s="64" t="b">
        <f>ISNUMBER(SEARCH("*Waiting*",M31))</f>
        <v>0</v>
      </c>
      <c r="O31" s="64"/>
      <c r="R31" s="51" t="s">
        <v>2</v>
      </c>
      <c r="S31" s="68" t="s">
        <v>160</v>
      </c>
      <c r="T31" s="69" t="s">
        <v>160</v>
      </c>
      <c r="U31" s="69" t="s">
        <v>160</v>
      </c>
      <c r="V31" s="69" t="s">
        <v>160</v>
      </c>
      <c r="W31" s="69" t="s">
        <v>160</v>
      </c>
      <c r="X31" s="69" t="s">
        <v>160</v>
      </c>
      <c r="Y31" s="69" t="s">
        <v>160</v>
      </c>
      <c r="Z31" s="69" t="s">
        <v>160</v>
      </c>
      <c r="AA31" s="69" t="s">
        <v>160</v>
      </c>
      <c r="AB31" s="69" t="s">
        <v>160</v>
      </c>
      <c r="AC31" s="69" t="s">
        <v>160</v>
      </c>
      <c r="AD31" s="69" t="s">
        <v>160</v>
      </c>
      <c r="AE31" s="69" t="s">
        <v>160</v>
      </c>
      <c r="AF31" s="69" t="s">
        <v>160</v>
      </c>
      <c r="AG31" s="69" t="s">
        <v>160</v>
      </c>
      <c r="AH31" s="69" t="s">
        <v>160</v>
      </c>
      <c r="AI31" s="69" t="s">
        <v>160</v>
      </c>
      <c r="AJ31" s="69" t="s">
        <v>160</v>
      </c>
      <c r="AK31" s="69" t="s">
        <v>160</v>
      </c>
      <c r="AL31" s="69" t="s">
        <v>160</v>
      </c>
      <c r="AM31" s="69" t="s">
        <v>160</v>
      </c>
      <c r="AN31" s="69" t="s">
        <v>160</v>
      </c>
      <c r="AO31" s="69" t="s">
        <v>160</v>
      </c>
      <c r="AP31" s="69" t="s">
        <v>160</v>
      </c>
      <c r="AQ31" s="69" t="s">
        <v>160</v>
      </c>
      <c r="AR31" s="69" t="s">
        <v>160</v>
      </c>
      <c r="AS31" s="69" t="s">
        <v>160</v>
      </c>
      <c r="AT31" s="69" t="s">
        <v>160</v>
      </c>
      <c r="AU31" s="69" t="s">
        <v>160</v>
      </c>
      <c r="AV31" s="69" t="s">
        <v>160</v>
      </c>
      <c r="AW31" s="69" t="s">
        <v>160</v>
      </c>
      <c r="AX31" s="69" t="s">
        <v>160</v>
      </c>
      <c r="AY31" s="69" t="s">
        <v>160</v>
      </c>
      <c r="AZ31" s="69" t="s">
        <v>160</v>
      </c>
      <c r="BA31" s="69" t="s">
        <v>160</v>
      </c>
      <c r="BB31" s="69" t="s">
        <v>160</v>
      </c>
      <c r="BC31" s="69" t="s">
        <v>160</v>
      </c>
      <c r="BD31" s="69" t="s">
        <v>160</v>
      </c>
      <c r="BE31" s="69" t="s">
        <v>160</v>
      </c>
      <c r="BF31" s="69" t="s">
        <v>160</v>
      </c>
      <c r="BG31" s="69" t="s">
        <v>160</v>
      </c>
      <c r="BH31" s="69" t="s">
        <v>160</v>
      </c>
      <c r="BI31" s="69" t="s">
        <v>160</v>
      </c>
      <c r="BJ31" s="69" t="s">
        <v>160</v>
      </c>
      <c r="BK31" s="69" t="s">
        <v>160</v>
      </c>
      <c r="BL31" s="69" t="s">
        <v>160</v>
      </c>
      <c r="BM31" s="69" t="s">
        <v>160</v>
      </c>
      <c r="BN31" s="69" t="s">
        <v>160</v>
      </c>
      <c r="BO31" s="69" t="s">
        <v>160</v>
      </c>
      <c r="BP31" s="69" t="s">
        <v>160</v>
      </c>
      <c r="BQ31" s="69" t="s">
        <v>160</v>
      </c>
      <c r="BR31" s="69" t="s">
        <v>160</v>
      </c>
      <c r="BS31" s="69" t="s">
        <v>160</v>
      </c>
      <c r="BT31" s="69" t="s">
        <v>160</v>
      </c>
      <c r="BU31" s="69" t="s">
        <v>160</v>
      </c>
      <c r="BV31" s="69" t="s">
        <v>160</v>
      </c>
      <c r="BW31" s="69" t="s">
        <v>160</v>
      </c>
      <c r="BX31" s="69" t="s">
        <v>160</v>
      </c>
      <c r="BY31" s="69" t="s">
        <v>160</v>
      </c>
      <c r="BZ31" s="69" t="s">
        <v>160</v>
      </c>
      <c r="CA31" s="69" t="s">
        <v>160</v>
      </c>
      <c r="CB31" s="69" t="s">
        <v>160</v>
      </c>
      <c r="CC31" s="69" t="s">
        <v>160</v>
      </c>
      <c r="CD31" s="69" t="s">
        <v>160</v>
      </c>
      <c r="CE31" s="69" t="s">
        <v>160</v>
      </c>
      <c r="CF31" s="69" t="s">
        <v>160</v>
      </c>
      <c r="CG31" s="69" t="s">
        <v>160</v>
      </c>
      <c r="CH31" s="69" t="s">
        <v>160</v>
      </c>
      <c r="CI31" s="69" t="s">
        <v>160</v>
      </c>
      <c r="CJ31" s="69" t="s">
        <v>160</v>
      </c>
      <c r="CK31" s="69" t="s">
        <v>160</v>
      </c>
      <c r="CL31" s="69" t="s">
        <v>160</v>
      </c>
      <c r="CM31" s="69" t="s">
        <v>160</v>
      </c>
      <c r="CN31" s="69" t="s">
        <v>160</v>
      </c>
      <c r="CO31" s="69" t="s">
        <v>160</v>
      </c>
      <c r="CP31" s="69" t="s">
        <v>160</v>
      </c>
      <c r="CQ31" s="69" t="s">
        <v>160</v>
      </c>
      <c r="CR31" s="69" t="s">
        <v>160</v>
      </c>
      <c r="CS31" s="69" t="s">
        <v>160</v>
      </c>
      <c r="CT31" s="69" t="s">
        <v>160</v>
      </c>
      <c r="CU31" s="69" t="s">
        <v>160</v>
      </c>
      <c r="CV31" s="69" t="s">
        <v>160</v>
      </c>
      <c r="CW31" s="69" t="s">
        <v>160</v>
      </c>
      <c r="CX31" s="69" t="s">
        <v>160</v>
      </c>
      <c r="CY31" s="69" t="s">
        <v>160</v>
      </c>
      <c r="CZ31" s="69" t="s">
        <v>160</v>
      </c>
      <c r="DA31" s="69" t="s">
        <v>160</v>
      </c>
      <c r="DB31" s="69" t="s">
        <v>160</v>
      </c>
      <c r="DC31" s="69" t="s">
        <v>160</v>
      </c>
      <c r="DD31" s="69" t="s">
        <v>160</v>
      </c>
      <c r="DE31" s="69" t="s">
        <v>160</v>
      </c>
      <c r="DF31" s="69" t="s">
        <v>160</v>
      </c>
      <c r="DG31" s="69" t="s">
        <v>160</v>
      </c>
      <c r="DH31" s="69" t="s">
        <v>160</v>
      </c>
      <c r="DI31" s="69" t="s">
        <v>160</v>
      </c>
      <c r="DJ31" s="69" t="s">
        <v>160</v>
      </c>
      <c r="DK31" s="69" t="s">
        <v>160</v>
      </c>
      <c r="DL31" s="69" t="s">
        <v>160</v>
      </c>
      <c r="DM31" s="69" t="s">
        <v>160</v>
      </c>
      <c r="DN31" s="69" t="s">
        <v>160</v>
      </c>
      <c r="DO31" s="69" t="s">
        <v>160</v>
      </c>
      <c r="DP31" s="69" t="s">
        <v>160</v>
      </c>
      <c r="DQ31" s="69" t="s">
        <v>160</v>
      </c>
      <c r="DR31" s="69" t="s">
        <v>160</v>
      </c>
      <c r="DS31" s="69" t="s">
        <v>160</v>
      </c>
      <c r="DT31" s="69" t="s">
        <v>160</v>
      </c>
      <c r="DU31" s="69" t="s">
        <v>160</v>
      </c>
      <c r="DV31" s="69" t="s">
        <v>160</v>
      </c>
      <c r="DW31" s="69" t="s">
        <v>160</v>
      </c>
      <c r="DX31" s="69" t="s">
        <v>160</v>
      </c>
      <c r="DY31" s="69" t="s">
        <v>160</v>
      </c>
      <c r="DZ31" s="69" t="s">
        <v>160</v>
      </c>
      <c r="EA31" s="69" t="s">
        <v>160</v>
      </c>
      <c r="EB31" s="69" t="s">
        <v>160</v>
      </c>
      <c r="EC31" s="69" t="s">
        <v>160</v>
      </c>
      <c r="ED31" s="69" t="s">
        <v>160</v>
      </c>
      <c r="EE31" s="69" t="s">
        <v>160</v>
      </c>
      <c r="EF31" s="69" t="s">
        <v>160</v>
      </c>
      <c r="EG31" s="69" t="s">
        <v>160</v>
      </c>
      <c r="EH31" s="69" t="s">
        <v>160</v>
      </c>
      <c r="EI31" s="69" t="s">
        <v>160</v>
      </c>
      <c r="EJ31" s="69" t="s">
        <v>160</v>
      </c>
      <c r="EK31" s="69" t="s">
        <v>160</v>
      </c>
      <c r="EL31" s="69" t="s">
        <v>160</v>
      </c>
      <c r="EM31" s="69" t="s">
        <v>160</v>
      </c>
      <c r="EN31" s="69" t="s">
        <v>160</v>
      </c>
      <c r="EO31" s="69" t="s">
        <v>160</v>
      </c>
      <c r="EP31" s="69" t="s">
        <v>160</v>
      </c>
      <c r="EQ31" s="69" t="s">
        <v>160</v>
      </c>
      <c r="ER31" s="69" t="s">
        <v>160</v>
      </c>
      <c r="ES31" s="69" t="s">
        <v>160</v>
      </c>
      <c r="ET31" s="69" t="s">
        <v>160</v>
      </c>
      <c r="EU31" s="69" t="s">
        <v>160</v>
      </c>
      <c r="EV31" s="69" t="s">
        <v>160</v>
      </c>
      <c r="EW31" s="69" t="s">
        <v>160</v>
      </c>
      <c r="EX31" s="69" t="s">
        <v>160</v>
      </c>
      <c r="EY31" s="69" t="s">
        <v>160</v>
      </c>
      <c r="EZ31" s="69" t="s">
        <v>160</v>
      </c>
      <c r="FA31" s="69" t="s">
        <v>160</v>
      </c>
      <c r="FB31" s="69" t="s">
        <v>160</v>
      </c>
      <c r="FC31" s="69" t="s">
        <v>160</v>
      </c>
      <c r="FD31" s="69" t="s">
        <v>160</v>
      </c>
    </row>
    <row r="32" spans="1:160">
      <c r="A32" s="103" t="s">
        <v>375</v>
      </c>
      <c r="D32" s="51" t="s">
        <v>181</v>
      </c>
      <c r="G32" s="51" t="str">
        <f t="shared" si="0"/>
        <v>Note : HVAC Management, Lighting Management</v>
      </c>
      <c r="H32" s="51" t="s">
        <v>2</v>
      </c>
      <c r="I32" s="64"/>
      <c r="J32" s="64"/>
      <c r="K32" s="64"/>
      <c r="L32" s="64"/>
      <c r="M32" s="64"/>
      <c r="N32" s="64" t="b">
        <f t="shared" ref="N32:N49" si="6">ISNUMBER(SEARCH("*Waiting*",M32))</f>
        <v>0</v>
      </c>
      <c r="O32" s="64"/>
      <c r="R32" s="51" t="s">
        <v>2</v>
      </c>
      <c r="S32" s="68" t="s">
        <v>160</v>
      </c>
      <c r="T32" s="69" t="s">
        <v>160</v>
      </c>
      <c r="U32" s="69" t="s">
        <v>160</v>
      </c>
      <c r="V32" s="69" t="s">
        <v>160</v>
      </c>
      <c r="W32" s="69" t="s">
        <v>160</v>
      </c>
      <c r="X32" s="69" t="s">
        <v>160</v>
      </c>
      <c r="Y32" s="69" t="s">
        <v>160</v>
      </c>
      <c r="Z32" s="69" t="s">
        <v>160</v>
      </c>
      <c r="AA32" s="69" t="s">
        <v>160</v>
      </c>
      <c r="AB32" s="69" t="s">
        <v>160</v>
      </c>
      <c r="AC32" s="69" t="s">
        <v>160</v>
      </c>
      <c r="AD32" s="69" t="s">
        <v>160</v>
      </c>
      <c r="AE32" s="69" t="s">
        <v>160</v>
      </c>
      <c r="AF32" s="69" t="s">
        <v>160</v>
      </c>
      <c r="AG32" s="69" t="s">
        <v>160</v>
      </c>
      <c r="AH32" s="69" t="s">
        <v>160</v>
      </c>
      <c r="AI32" s="69" t="s">
        <v>160</v>
      </c>
      <c r="AJ32" s="69" t="s">
        <v>160</v>
      </c>
      <c r="AK32" s="69" t="s">
        <v>160</v>
      </c>
      <c r="AL32" s="69" t="s">
        <v>160</v>
      </c>
      <c r="AM32" s="69" t="s">
        <v>160</v>
      </c>
      <c r="AN32" s="69" t="s">
        <v>160</v>
      </c>
      <c r="AO32" s="69" t="s">
        <v>160</v>
      </c>
      <c r="AP32" s="69" t="s">
        <v>160</v>
      </c>
      <c r="AQ32" s="69" t="s">
        <v>160</v>
      </c>
      <c r="AR32" s="69" t="s">
        <v>160</v>
      </c>
      <c r="AS32" s="69" t="s">
        <v>160</v>
      </c>
      <c r="AT32" s="69" t="s">
        <v>160</v>
      </c>
      <c r="AU32" s="69" t="s">
        <v>160</v>
      </c>
      <c r="AV32" s="69" t="s">
        <v>160</v>
      </c>
      <c r="AW32" s="69" t="s">
        <v>160</v>
      </c>
      <c r="AX32" s="69" t="s">
        <v>160</v>
      </c>
      <c r="AY32" s="69" t="s">
        <v>160</v>
      </c>
      <c r="AZ32" s="69" t="s">
        <v>160</v>
      </c>
      <c r="BA32" s="69" t="s">
        <v>160</v>
      </c>
      <c r="BB32" s="69" t="s">
        <v>160</v>
      </c>
      <c r="BC32" s="69" t="s">
        <v>160</v>
      </c>
      <c r="BD32" s="69" t="s">
        <v>160</v>
      </c>
      <c r="BE32" s="69" t="s">
        <v>160</v>
      </c>
      <c r="BF32" s="69" t="s">
        <v>160</v>
      </c>
      <c r="BG32" s="69" t="s">
        <v>160</v>
      </c>
      <c r="BH32" s="69" t="s">
        <v>160</v>
      </c>
      <c r="BI32" s="69" t="s">
        <v>160</v>
      </c>
      <c r="BJ32" s="69" t="s">
        <v>160</v>
      </c>
      <c r="BK32" s="69" t="s">
        <v>160</v>
      </c>
      <c r="BL32" s="69" t="s">
        <v>160</v>
      </c>
      <c r="BM32" s="69" t="s">
        <v>160</v>
      </c>
      <c r="BN32" s="69" t="s">
        <v>160</v>
      </c>
      <c r="BO32" s="69" t="s">
        <v>160</v>
      </c>
      <c r="BP32" s="69" t="s">
        <v>160</v>
      </c>
      <c r="BQ32" s="69" t="s">
        <v>160</v>
      </c>
      <c r="BR32" s="69" t="s">
        <v>160</v>
      </c>
      <c r="BS32" s="69" t="s">
        <v>160</v>
      </c>
      <c r="BT32" s="69" t="s">
        <v>160</v>
      </c>
      <c r="BU32" s="69" t="s">
        <v>160</v>
      </c>
      <c r="BV32" s="69" t="s">
        <v>160</v>
      </c>
      <c r="BW32" s="69" t="s">
        <v>160</v>
      </c>
      <c r="BX32" s="69" t="s">
        <v>160</v>
      </c>
      <c r="BY32" s="69" t="s">
        <v>160</v>
      </c>
      <c r="BZ32" s="69" t="s">
        <v>160</v>
      </c>
      <c r="CA32" s="69" t="s">
        <v>160</v>
      </c>
      <c r="CB32" s="69" t="s">
        <v>160</v>
      </c>
      <c r="CC32" s="69" t="s">
        <v>160</v>
      </c>
      <c r="CD32" s="69" t="s">
        <v>160</v>
      </c>
      <c r="CE32" s="69" t="s">
        <v>160</v>
      </c>
      <c r="CF32" s="69" t="s">
        <v>160</v>
      </c>
      <c r="CG32" s="69" t="s">
        <v>160</v>
      </c>
      <c r="CH32" s="69" t="s">
        <v>160</v>
      </c>
      <c r="CI32" s="69" t="s">
        <v>160</v>
      </c>
      <c r="CJ32" s="69" t="s">
        <v>160</v>
      </c>
      <c r="CK32" s="69" t="s">
        <v>160</v>
      </c>
      <c r="CL32" s="69" t="s">
        <v>160</v>
      </c>
      <c r="CM32" s="69" t="s">
        <v>160</v>
      </c>
      <c r="CN32" s="69" t="s">
        <v>160</v>
      </c>
      <c r="CO32" s="69" t="s">
        <v>160</v>
      </c>
      <c r="CP32" s="69" t="s">
        <v>160</v>
      </c>
      <c r="CQ32" s="69" t="s">
        <v>160</v>
      </c>
      <c r="CR32" s="69" t="s">
        <v>160</v>
      </c>
      <c r="CS32" s="69" t="s">
        <v>160</v>
      </c>
      <c r="CT32" s="69" t="s">
        <v>160</v>
      </c>
      <c r="CU32" s="69" t="s">
        <v>160</v>
      </c>
      <c r="CV32" s="69" t="s">
        <v>160</v>
      </c>
      <c r="CW32" s="69" t="s">
        <v>160</v>
      </c>
      <c r="CX32" s="69" t="s">
        <v>160</v>
      </c>
      <c r="CY32" s="69" t="s">
        <v>160</v>
      </c>
      <c r="CZ32" s="69" t="s">
        <v>160</v>
      </c>
      <c r="DA32" s="69" t="s">
        <v>160</v>
      </c>
      <c r="DB32" s="69" t="s">
        <v>160</v>
      </c>
      <c r="DC32" s="69" t="s">
        <v>160</v>
      </c>
      <c r="DD32" s="69" t="s">
        <v>160</v>
      </c>
      <c r="DE32" s="69" t="s">
        <v>160</v>
      </c>
      <c r="DF32" s="69" t="s">
        <v>160</v>
      </c>
      <c r="DG32" s="69" t="s">
        <v>160</v>
      </c>
      <c r="DH32" s="69" t="s">
        <v>160</v>
      </c>
      <c r="DI32" s="69" t="s">
        <v>160</v>
      </c>
      <c r="DJ32" s="69" t="s">
        <v>160</v>
      </c>
      <c r="DK32" s="69" t="s">
        <v>160</v>
      </c>
      <c r="DL32" s="69" t="s">
        <v>160</v>
      </c>
      <c r="DM32" s="69" t="s">
        <v>160</v>
      </c>
      <c r="DN32" s="69" t="s">
        <v>160</v>
      </c>
      <c r="DO32" s="69" t="s">
        <v>160</v>
      </c>
      <c r="DP32" s="69" t="s">
        <v>160</v>
      </c>
      <c r="DQ32" s="69" t="s">
        <v>160</v>
      </c>
      <c r="DR32" s="69" t="s">
        <v>160</v>
      </c>
      <c r="DS32" s="69" t="s">
        <v>160</v>
      </c>
      <c r="DT32" s="69" t="s">
        <v>160</v>
      </c>
      <c r="DU32" s="69" t="s">
        <v>160</v>
      </c>
      <c r="DV32" s="69" t="s">
        <v>160</v>
      </c>
      <c r="DW32" s="69" t="s">
        <v>160</v>
      </c>
      <c r="DX32" s="69" t="s">
        <v>160</v>
      </c>
      <c r="DY32" s="69" t="s">
        <v>160</v>
      </c>
      <c r="DZ32" s="69" t="s">
        <v>160</v>
      </c>
      <c r="EA32" s="69" t="s">
        <v>160</v>
      </c>
      <c r="EB32" s="69" t="s">
        <v>160</v>
      </c>
      <c r="EC32" s="69" t="s">
        <v>160</v>
      </c>
      <c r="ED32" s="69" t="s">
        <v>160</v>
      </c>
      <c r="EE32" s="69" t="s">
        <v>160</v>
      </c>
      <c r="EF32" s="69" t="s">
        <v>160</v>
      </c>
      <c r="EG32" s="69" t="s">
        <v>160</v>
      </c>
      <c r="EH32" s="69" t="s">
        <v>160</v>
      </c>
      <c r="EI32" s="69" t="s">
        <v>160</v>
      </c>
      <c r="EJ32" s="69" t="s">
        <v>160</v>
      </c>
      <c r="EK32" s="69" t="s">
        <v>160</v>
      </c>
      <c r="EL32" s="69" t="s">
        <v>160</v>
      </c>
      <c r="EM32" s="69" t="s">
        <v>160</v>
      </c>
      <c r="EN32" s="69" t="s">
        <v>160</v>
      </c>
      <c r="EO32" s="69" t="s">
        <v>160</v>
      </c>
      <c r="EP32" s="69" t="s">
        <v>160</v>
      </c>
      <c r="EQ32" s="69" t="s">
        <v>160</v>
      </c>
      <c r="ER32" s="69" t="s">
        <v>160</v>
      </c>
      <c r="ES32" s="69" t="s">
        <v>160</v>
      </c>
      <c r="ET32" s="69" t="s">
        <v>160</v>
      </c>
      <c r="EU32" s="69" t="s">
        <v>160</v>
      </c>
      <c r="EV32" s="69" t="s">
        <v>160</v>
      </c>
      <c r="EW32" s="69" t="s">
        <v>160</v>
      </c>
      <c r="EX32" s="69" t="s">
        <v>160</v>
      </c>
      <c r="EY32" s="69" t="s">
        <v>160</v>
      </c>
      <c r="EZ32" s="69" t="s">
        <v>160</v>
      </c>
      <c r="FA32" s="69" t="s">
        <v>160</v>
      </c>
      <c r="FB32" s="69" t="s">
        <v>160</v>
      </c>
      <c r="FC32" s="69" t="s">
        <v>160</v>
      </c>
      <c r="FD32" s="69" t="s">
        <v>160</v>
      </c>
    </row>
    <row r="33" spans="1:160">
      <c r="A33" s="103" t="s">
        <v>376</v>
      </c>
      <c r="D33" s="51" t="s">
        <v>182</v>
      </c>
      <c r="G33" s="51" t="str">
        <f t="shared" si="0"/>
        <v>Note : Air quality Management, Utility Device alert management</v>
      </c>
      <c r="H33" s="51" t="s">
        <v>2</v>
      </c>
      <c r="I33" s="64"/>
      <c r="J33" s="64"/>
      <c r="K33" s="64"/>
      <c r="L33" s="64"/>
      <c r="M33" s="64"/>
      <c r="N33" s="64" t="b">
        <f t="shared" si="6"/>
        <v>0</v>
      </c>
      <c r="O33" s="64"/>
      <c r="R33" s="51" t="s">
        <v>2</v>
      </c>
      <c r="S33" s="68" t="s">
        <v>160</v>
      </c>
      <c r="T33" s="69" t="s">
        <v>160</v>
      </c>
      <c r="U33" s="69" t="s">
        <v>160</v>
      </c>
      <c r="V33" s="69" t="s">
        <v>160</v>
      </c>
      <c r="W33" s="69" t="s">
        <v>160</v>
      </c>
      <c r="X33" s="69" t="s">
        <v>160</v>
      </c>
      <c r="Y33" s="69" t="s">
        <v>160</v>
      </c>
      <c r="Z33" s="69" t="s">
        <v>160</v>
      </c>
      <c r="AA33" s="69" t="s">
        <v>160</v>
      </c>
      <c r="AB33" s="69" t="s">
        <v>160</v>
      </c>
      <c r="AC33" s="69" t="s">
        <v>160</v>
      </c>
      <c r="AD33" s="69" t="s">
        <v>160</v>
      </c>
      <c r="AE33" s="69" t="s">
        <v>160</v>
      </c>
      <c r="AF33" s="69" t="s">
        <v>160</v>
      </c>
      <c r="AG33" s="69" t="s">
        <v>160</v>
      </c>
      <c r="AH33" s="69" t="s">
        <v>160</v>
      </c>
      <c r="AI33" s="69" t="s">
        <v>160</v>
      </c>
      <c r="AJ33" s="69" t="s">
        <v>160</v>
      </c>
      <c r="AK33" s="69" t="s">
        <v>160</v>
      </c>
      <c r="AL33" s="69" t="s">
        <v>160</v>
      </c>
      <c r="AM33" s="69" t="s">
        <v>160</v>
      </c>
      <c r="AN33" s="69" t="s">
        <v>160</v>
      </c>
      <c r="AO33" s="69" t="s">
        <v>160</v>
      </c>
      <c r="AP33" s="69" t="s">
        <v>160</v>
      </c>
      <c r="AQ33" s="69" t="s">
        <v>160</v>
      </c>
      <c r="AR33" s="69" t="s">
        <v>160</v>
      </c>
      <c r="AS33" s="69" t="s">
        <v>160</v>
      </c>
      <c r="AT33" s="69" t="s">
        <v>160</v>
      </c>
      <c r="AU33" s="69" t="s">
        <v>160</v>
      </c>
      <c r="AV33" s="69" t="s">
        <v>160</v>
      </c>
      <c r="AW33" s="69" t="s">
        <v>160</v>
      </c>
      <c r="AX33" s="69" t="s">
        <v>160</v>
      </c>
      <c r="AY33" s="69" t="s">
        <v>160</v>
      </c>
      <c r="AZ33" s="69" t="s">
        <v>160</v>
      </c>
      <c r="BA33" s="69" t="s">
        <v>160</v>
      </c>
      <c r="BB33" s="69" t="s">
        <v>160</v>
      </c>
      <c r="BC33" s="69" t="s">
        <v>160</v>
      </c>
      <c r="BD33" s="69" t="s">
        <v>160</v>
      </c>
      <c r="BE33" s="69" t="s">
        <v>160</v>
      </c>
      <c r="BF33" s="69" t="s">
        <v>160</v>
      </c>
      <c r="BG33" s="69" t="s">
        <v>160</v>
      </c>
      <c r="BH33" s="69" t="s">
        <v>160</v>
      </c>
      <c r="BI33" s="69" t="s">
        <v>160</v>
      </c>
      <c r="BJ33" s="69" t="s">
        <v>160</v>
      </c>
      <c r="BK33" s="69" t="s">
        <v>160</v>
      </c>
      <c r="BL33" s="69" t="s">
        <v>160</v>
      </c>
      <c r="BM33" s="69" t="s">
        <v>160</v>
      </c>
      <c r="BN33" s="69" t="s">
        <v>160</v>
      </c>
      <c r="BO33" s="69" t="s">
        <v>160</v>
      </c>
      <c r="BP33" s="69" t="s">
        <v>160</v>
      </c>
      <c r="BQ33" s="69" t="s">
        <v>160</v>
      </c>
      <c r="BR33" s="69" t="s">
        <v>160</v>
      </c>
      <c r="BS33" s="69" t="s">
        <v>160</v>
      </c>
      <c r="BT33" s="69" t="s">
        <v>160</v>
      </c>
      <c r="BU33" s="69" t="s">
        <v>160</v>
      </c>
      <c r="BV33" s="69" t="s">
        <v>160</v>
      </c>
      <c r="BW33" s="69" t="s">
        <v>160</v>
      </c>
      <c r="BX33" s="69" t="s">
        <v>160</v>
      </c>
      <c r="BY33" s="69" t="s">
        <v>160</v>
      </c>
      <c r="BZ33" s="69" t="s">
        <v>160</v>
      </c>
      <c r="CA33" s="69" t="s">
        <v>160</v>
      </c>
      <c r="CB33" s="69" t="s">
        <v>160</v>
      </c>
      <c r="CC33" s="69" t="s">
        <v>160</v>
      </c>
      <c r="CD33" s="69" t="s">
        <v>160</v>
      </c>
      <c r="CE33" s="69" t="s">
        <v>160</v>
      </c>
      <c r="CF33" s="69" t="s">
        <v>160</v>
      </c>
      <c r="CG33" s="69" t="s">
        <v>160</v>
      </c>
      <c r="CH33" s="69" t="s">
        <v>160</v>
      </c>
      <c r="CI33" s="69" t="s">
        <v>160</v>
      </c>
      <c r="CJ33" s="69" t="s">
        <v>160</v>
      </c>
      <c r="CK33" s="69" t="s">
        <v>160</v>
      </c>
      <c r="CL33" s="69" t="s">
        <v>160</v>
      </c>
      <c r="CM33" s="69" t="s">
        <v>160</v>
      </c>
      <c r="CN33" s="69" t="s">
        <v>160</v>
      </c>
      <c r="CO33" s="69" t="s">
        <v>160</v>
      </c>
      <c r="CP33" s="69" t="s">
        <v>160</v>
      </c>
      <c r="CQ33" s="69" t="s">
        <v>160</v>
      </c>
      <c r="CR33" s="69" t="s">
        <v>160</v>
      </c>
      <c r="CS33" s="69" t="s">
        <v>160</v>
      </c>
      <c r="CT33" s="69" t="s">
        <v>160</v>
      </c>
      <c r="CU33" s="69" t="s">
        <v>160</v>
      </c>
      <c r="CV33" s="69" t="s">
        <v>160</v>
      </c>
      <c r="CW33" s="69" t="s">
        <v>160</v>
      </c>
      <c r="CX33" s="69" t="s">
        <v>160</v>
      </c>
      <c r="CY33" s="69" t="s">
        <v>160</v>
      </c>
      <c r="CZ33" s="69" t="s">
        <v>160</v>
      </c>
      <c r="DA33" s="69" t="s">
        <v>160</v>
      </c>
      <c r="DB33" s="69" t="s">
        <v>160</v>
      </c>
      <c r="DC33" s="69" t="s">
        <v>160</v>
      </c>
      <c r="DD33" s="69" t="s">
        <v>160</v>
      </c>
      <c r="DE33" s="69" t="s">
        <v>160</v>
      </c>
      <c r="DF33" s="69" t="s">
        <v>160</v>
      </c>
      <c r="DG33" s="69" t="s">
        <v>160</v>
      </c>
      <c r="DH33" s="69" t="s">
        <v>160</v>
      </c>
      <c r="DI33" s="69" t="s">
        <v>160</v>
      </c>
      <c r="DJ33" s="69" t="s">
        <v>160</v>
      </c>
      <c r="DK33" s="69" t="s">
        <v>160</v>
      </c>
      <c r="DL33" s="69" t="s">
        <v>160</v>
      </c>
      <c r="DM33" s="69" t="s">
        <v>160</v>
      </c>
      <c r="DN33" s="69" t="s">
        <v>160</v>
      </c>
      <c r="DO33" s="69" t="s">
        <v>160</v>
      </c>
      <c r="DP33" s="69" t="s">
        <v>160</v>
      </c>
      <c r="DQ33" s="69" t="s">
        <v>160</v>
      </c>
      <c r="DR33" s="69" t="s">
        <v>160</v>
      </c>
      <c r="DS33" s="69" t="s">
        <v>160</v>
      </c>
      <c r="DT33" s="69" t="s">
        <v>160</v>
      </c>
      <c r="DU33" s="69" t="s">
        <v>160</v>
      </c>
      <c r="DV33" s="69" t="s">
        <v>160</v>
      </c>
      <c r="DW33" s="69" t="s">
        <v>160</v>
      </c>
      <c r="DX33" s="69" t="s">
        <v>160</v>
      </c>
      <c r="DY33" s="69" t="s">
        <v>160</v>
      </c>
      <c r="DZ33" s="69" t="s">
        <v>160</v>
      </c>
      <c r="EA33" s="69" t="s">
        <v>160</v>
      </c>
      <c r="EB33" s="69" t="s">
        <v>160</v>
      </c>
      <c r="EC33" s="69" t="s">
        <v>160</v>
      </c>
      <c r="ED33" s="69" t="s">
        <v>160</v>
      </c>
      <c r="EE33" s="69" t="s">
        <v>160</v>
      </c>
      <c r="EF33" s="69" t="s">
        <v>160</v>
      </c>
      <c r="EG33" s="69" t="s">
        <v>160</v>
      </c>
      <c r="EH33" s="69" t="s">
        <v>160</v>
      </c>
      <c r="EI33" s="69" t="s">
        <v>160</v>
      </c>
      <c r="EJ33" s="69" t="s">
        <v>160</v>
      </c>
      <c r="EK33" s="69" t="s">
        <v>160</v>
      </c>
      <c r="EL33" s="69" t="s">
        <v>160</v>
      </c>
      <c r="EM33" s="69" t="s">
        <v>160</v>
      </c>
      <c r="EN33" s="69" t="s">
        <v>160</v>
      </c>
      <c r="EO33" s="69" t="s">
        <v>160</v>
      </c>
      <c r="EP33" s="69" t="s">
        <v>160</v>
      </c>
      <c r="EQ33" s="69" t="s">
        <v>160</v>
      </c>
      <c r="ER33" s="69" t="s">
        <v>160</v>
      </c>
      <c r="ES33" s="69" t="s">
        <v>160</v>
      </c>
      <c r="ET33" s="69" t="s">
        <v>160</v>
      </c>
      <c r="EU33" s="69" t="s">
        <v>160</v>
      </c>
      <c r="EV33" s="69" t="s">
        <v>160</v>
      </c>
      <c r="EW33" s="69" t="s">
        <v>160</v>
      </c>
      <c r="EX33" s="69" t="s">
        <v>160</v>
      </c>
      <c r="EY33" s="69" t="s">
        <v>160</v>
      </c>
      <c r="EZ33" s="69" t="s">
        <v>160</v>
      </c>
      <c r="FA33" s="69" t="s">
        <v>160</v>
      </c>
      <c r="FB33" s="69" t="s">
        <v>160</v>
      </c>
      <c r="FC33" s="69" t="s">
        <v>160</v>
      </c>
      <c r="FD33" s="69" t="s">
        <v>160</v>
      </c>
    </row>
    <row r="34" spans="1:160">
      <c r="A34" s="103" t="s">
        <v>377</v>
      </c>
      <c r="D34" s="51" t="s">
        <v>183</v>
      </c>
      <c r="G34" s="51" t="str">
        <f t="shared" si="0"/>
        <v>Note : (Comfort index &amp; occupancy based optimization is applicable for energy optimization usecases)</v>
      </c>
      <c r="H34" s="51" t="s">
        <v>2</v>
      </c>
      <c r="I34" s="64"/>
      <c r="J34" s="64"/>
      <c r="K34" s="64"/>
      <c r="L34" s="64"/>
      <c r="M34" s="64"/>
      <c r="N34" s="64" t="b">
        <f t="shared" si="6"/>
        <v>0</v>
      </c>
      <c r="O34" s="64"/>
      <c r="R34" s="51" t="s">
        <v>2</v>
      </c>
      <c r="S34" s="68" t="s">
        <v>160</v>
      </c>
      <c r="T34" s="69" t="s">
        <v>160</v>
      </c>
      <c r="U34" s="69" t="s">
        <v>160</v>
      </c>
      <c r="V34" s="69" t="s">
        <v>160</v>
      </c>
      <c r="W34" s="69" t="s">
        <v>160</v>
      </c>
      <c r="X34" s="69" t="s">
        <v>160</v>
      </c>
      <c r="Y34" s="69" t="s">
        <v>160</v>
      </c>
      <c r="Z34" s="69" t="s">
        <v>160</v>
      </c>
      <c r="AA34" s="69" t="s">
        <v>160</v>
      </c>
      <c r="AB34" s="69" t="s">
        <v>160</v>
      </c>
      <c r="AC34" s="69" t="s">
        <v>160</v>
      </c>
      <c r="AD34" s="69" t="s">
        <v>160</v>
      </c>
      <c r="AE34" s="69" t="s">
        <v>160</v>
      </c>
      <c r="AF34" s="69" t="s">
        <v>160</v>
      </c>
      <c r="AG34" s="69" t="s">
        <v>160</v>
      </c>
      <c r="AH34" s="69" t="s">
        <v>160</v>
      </c>
      <c r="AI34" s="69" t="s">
        <v>160</v>
      </c>
      <c r="AJ34" s="69" t="s">
        <v>160</v>
      </c>
      <c r="AK34" s="69" t="s">
        <v>160</v>
      </c>
      <c r="AL34" s="69" t="s">
        <v>160</v>
      </c>
      <c r="AM34" s="69" t="s">
        <v>160</v>
      </c>
      <c r="AN34" s="69" t="s">
        <v>160</v>
      </c>
      <c r="AO34" s="69" t="s">
        <v>160</v>
      </c>
      <c r="AP34" s="69" t="s">
        <v>160</v>
      </c>
      <c r="AQ34" s="69" t="s">
        <v>160</v>
      </c>
      <c r="AR34" s="69" t="s">
        <v>160</v>
      </c>
      <c r="AS34" s="69" t="s">
        <v>160</v>
      </c>
      <c r="AT34" s="69" t="s">
        <v>160</v>
      </c>
      <c r="AU34" s="69" t="s">
        <v>160</v>
      </c>
      <c r="AV34" s="69" t="s">
        <v>160</v>
      </c>
      <c r="AW34" s="69" t="s">
        <v>160</v>
      </c>
      <c r="AX34" s="69" t="s">
        <v>160</v>
      </c>
      <c r="AY34" s="69" t="s">
        <v>160</v>
      </c>
      <c r="AZ34" s="69" t="s">
        <v>160</v>
      </c>
      <c r="BA34" s="69" t="s">
        <v>160</v>
      </c>
      <c r="BB34" s="69" t="s">
        <v>160</v>
      </c>
      <c r="BC34" s="69" t="s">
        <v>160</v>
      </c>
      <c r="BD34" s="69" t="s">
        <v>160</v>
      </c>
      <c r="BE34" s="69" t="s">
        <v>160</v>
      </c>
      <c r="BF34" s="69" t="s">
        <v>160</v>
      </c>
      <c r="BG34" s="69" t="s">
        <v>160</v>
      </c>
      <c r="BH34" s="69" t="s">
        <v>160</v>
      </c>
      <c r="BI34" s="69" t="s">
        <v>160</v>
      </c>
      <c r="BJ34" s="69" t="s">
        <v>160</v>
      </c>
      <c r="BK34" s="69" t="s">
        <v>160</v>
      </c>
      <c r="BL34" s="69" t="s">
        <v>160</v>
      </c>
      <c r="BM34" s="69" t="s">
        <v>160</v>
      </c>
      <c r="BN34" s="69" t="s">
        <v>160</v>
      </c>
      <c r="BO34" s="69" t="s">
        <v>160</v>
      </c>
      <c r="BP34" s="69" t="s">
        <v>160</v>
      </c>
      <c r="BQ34" s="69" t="s">
        <v>160</v>
      </c>
      <c r="BR34" s="69" t="s">
        <v>160</v>
      </c>
      <c r="BS34" s="69" t="s">
        <v>160</v>
      </c>
      <c r="BT34" s="69" t="s">
        <v>160</v>
      </c>
      <c r="BU34" s="69" t="s">
        <v>160</v>
      </c>
      <c r="BV34" s="69" t="s">
        <v>160</v>
      </c>
      <c r="BW34" s="69" t="s">
        <v>160</v>
      </c>
      <c r="BX34" s="69" t="s">
        <v>160</v>
      </c>
      <c r="BY34" s="69" t="s">
        <v>160</v>
      </c>
      <c r="BZ34" s="69" t="s">
        <v>160</v>
      </c>
      <c r="CA34" s="69" t="s">
        <v>160</v>
      </c>
      <c r="CB34" s="69" t="s">
        <v>160</v>
      </c>
      <c r="CC34" s="69" t="s">
        <v>160</v>
      </c>
      <c r="CD34" s="69" t="s">
        <v>160</v>
      </c>
      <c r="CE34" s="69" t="s">
        <v>160</v>
      </c>
      <c r="CF34" s="69" t="s">
        <v>160</v>
      </c>
      <c r="CG34" s="69" t="s">
        <v>160</v>
      </c>
      <c r="CH34" s="69" t="s">
        <v>160</v>
      </c>
      <c r="CI34" s="69" t="s">
        <v>160</v>
      </c>
      <c r="CJ34" s="69" t="s">
        <v>160</v>
      </c>
      <c r="CK34" s="69" t="s">
        <v>160</v>
      </c>
      <c r="CL34" s="69" t="s">
        <v>160</v>
      </c>
      <c r="CM34" s="69" t="s">
        <v>160</v>
      </c>
      <c r="CN34" s="69" t="s">
        <v>160</v>
      </c>
      <c r="CO34" s="69" t="s">
        <v>160</v>
      </c>
      <c r="CP34" s="69" t="s">
        <v>160</v>
      </c>
      <c r="CQ34" s="69" t="s">
        <v>160</v>
      </c>
      <c r="CR34" s="69" t="s">
        <v>160</v>
      </c>
      <c r="CS34" s="69" t="s">
        <v>160</v>
      </c>
      <c r="CT34" s="69" t="s">
        <v>160</v>
      </c>
      <c r="CU34" s="69" t="s">
        <v>160</v>
      </c>
      <c r="CV34" s="69" t="s">
        <v>160</v>
      </c>
      <c r="CW34" s="69" t="s">
        <v>160</v>
      </c>
      <c r="CX34" s="69" t="s">
        <v>160</v>
      </c>
      <c r="CY34" s="69" t="s">
        <v>160</v>
      </c>
      <c r="CZ34" s="69" t="s">
        <v>160</v>
      </c>
      <c r="DA34" s="69" t="s">
        <v>160</v>
      </c>
      <c r="DB34" s="69" t="s">
        <v>160</v>
      </c>
      <c r="DC34" s="69" t="s">
        <v>160</v>
      </c>
      <c r="DD34" s="69" t="s">
        <v>160</v>
      </c>
      <c r="DE34" s="69" t="s">
        <v>160</v>
      </c>
      <c r="DF34" s="69" t="s">
        <v>160</v>
      </c>
      <c r="DG34" s="69" t="s">
        <v>160</v>
      </c>
      <c r="DH34" s="69" t="s">
        <v>160</v>
      </c>
      <c r="DI34" s="69" t="s">
        <v>160</v>
      </c>
      <c r="DJ34" s="69" t="s">
        <v>160</v>
      </c>
      <c r="DK34" s="69" t="s">
        <v>160</v>
      </c>
      <c r="DL34" s="69" t="s">
        <v>160</v>
      </c>
      <c r="DM34" s="69" t="s">
        <v>160</v>
      </c>
      <c r="DN34" s="69" t="s">
        <v>160</v>
      </c>
      <c r="DO34" s="69" t="s">
        <v>160</v>
      </c>
      <c r="DP34" s="69" t="s">
        <v>160</v>
      </c>
      <c r="DQ34" s="69" t="s">
        <v>160</v>
      </c>
      <c r="DR34" s="69" t="s">
        <v>160</v>
      </c>
      <c r="DS34" s="69" t="s">
        <v>160</v>
      </c>
      <c r="DT34" s="69" t="s">
        <v>160</v>
      </c>
      <c r="DU34" s="69" t="s">
        <v>160</v>
      </c>
      <c r="DV34" s="69" t="s">
        <v>160</v>
      </c>
      <c r="DW34" s="69" t="s">
        <v>160</v>
      </c>
      <c r="DX34" s="69" t="s">
        <v>160</v>
      </c>
      <c r="DY34" s="69" t="s">
        <v>160</v>
      </c>
      <c r="DZ34" s="69" t="s">
        <v>160</v>
      </c>
      <c r="EA34" s="69" t="s">
        <v>160</v>
      </c>
      <c r="EB34" s="69" t="s">
        <v>160</v>
      </c>
      <c r="EC34" s="69" t="s">
        <v>160</v>
      </c>
      <c r="ED34" s="69" t="s">
        <v>160</v>
      </c>
      <c r="EE34" s="69" t="s">
        <v>160</v>
      </c>
      <c r="EF34" s="69" t="s">
        <v>160</v>
      </c>
      <c r="EG34" s="69" t="s">
        <v>160</v>
      </c>
      <c r="EH34" s="69" t="s">
        <v>160</v>
      </c>
      <c r="EI34" s="69" t="s">
        <v>160</v>
      </c>
      <c r="EJ34" s="69" t="s">
        <v>160</v>
      </c>
      <c r="EK34" s="69" t="s">
        <v>160</v>
      </c>
      <c r="EL34" s="69" t="s">
        <v>160</v>
      </c>
      <c r="EM34" s="69" t="s">
        <v>160</v>
      </c>
      <c r="EN34" s="69" t="s">
        <v>160</v>
      </c>
      <c r="EO34" s="69" t="s">
        <v>160</v>
      </c>
      <c r="EP34" s="69" t="s">
        <v>160</v>
      </c>
      <c r="EQ34" s="69" t="s">
        <v>160</v>
      </c>
      <c r="ER34" s="69" t="s">
        <v>160</v>
      </c>
      <c r="ES34" s="69" t="s">
        <v>160</v>
      </c>
      <c r="ET34" s="69" t="s">
        <v>160</v>
      </c>
      <c r="EU34" s="69" t="s">
        <v>160</v>
      </c>
      <c r="EV34" s="69" t="s">
        <v>160</v>
      </c>
      <c r="EW34" s="69" t="s">
        <v>160</v>
      </c>
      <c r="EX34" s="69" t="s">
        <v>160</v>
      </c>
      <c r="EY34" s="69" t="s">
        <v>160</v>
      </c>
      <c r="EZ34" s="69" t="s">
        <v>160</v>
      </c>
      <c r="FA34" s="69" t="s">
        <v>160</v>
      </c>
      <c r="FB34" s="69" t="s">
        <v>160</v>
      </c>
      <c r="FC34" s="69" t="s">
        <v>160</v>
      </c>
      <c r="FD34" s="69" t="s">
        <v>160</v>
      </c>
    </row>
    <row r="35" spans="1:160">
      <c r="A35" s="103" t="s">
        <v>436</v>
      </c>
      <c r="B35" s="107" t="s">
        <v>163</v>
      </c>
      <c r="C35" s="123" t="s">
        <v>403</v>
      </c>
      <c r="D35" s="123"/>
      <c r="E35" s="123"/>
      <c r="F35" s="123"/>
      <c r="G35" s="51" t="str">
        <f t="shared" si="0"/>
        <v>(V1)(Optimization) Technical design document explaining the data schema and algorithm</v>
      </c>
      <c r="H35" s="51" t="s">
        <v>2</v>
      </c>
      <c r="I35" s="64">
        <v>44743</v>
      </c>
      <c r="J35" s="64">
        <v>45077</v>
      </c>
      <c r="K35" s="64">
        <v>44743</v>
      </c>
      <c r="L35" s="83">
        <v>44985</v>
      </c>
      <c r="M35" s="83">
        <v>45041</v>
      </c>
      <c r="N35" s="64" t="b">
        <f t="shared" si="6"/>
        <v>0</v>
      </c>
      <c r="O35" s="64"/>
      <c r="P35" s="67">
        <v>0.9</v>
      </c>
      <c r="Q35" s="67"/>
      <c r="R35" s="51" t="s">
        <v>2</v>
      </c>
      <c r="S35" s="68" t="s">
        <v>160</v>
      </c>
      <c r="T35" s="69" t="s">
        <v>160</v>
      </c>
      <c r="U35" s="69" t="s">
        <v>160</v>
      </c>
      <c r="V35" s="80" t="s">
        <v>160</v>
      </c>
      <c r="W35" s="69" t="s">
        <v>160</v>
      </c>
      <c r="X35" s="69" t="s">
        <v>160</v>
      </c>
      <c r="Y35" s="69" t="s">
        <v>160</v>
      </c>
      <c r="Z35" s="69" t="s">
        <v>160</v>
      </c>
      <c r="AA35" s="69" t="s">
        <v>160</v>
      </c>
      <c r="AB35" s="69" t="s">
        <v>160</v>
      </c>
      <c r="AC35" s="69" t="s">
        <v>160</v>
      </c>
      <c r="AD35" s="69" t="s">
        <v>160</v>
      </c>
      <c r="AE35" s="69" t="s">
        <v>160</v>
      </c>
      <c r="AF35" s="69" t="s">
        <v>160</v>
      </c>
      <c r="AG35" s="69" t="s">
        <v>160</v>
      </c>
      <c r="AH35" s="69" t="s">
        <v>160</v>
      </c>
      <c r="AI35" s="69" t="s">
        <v>160</v>
      </c>
      <c r="AJ35" s="69" t="s">
        <v>160</v>
      </c>
      <c r="AK35" s="69" t="s">
        <v>160</v>
      </c>
      <c r="AL35" s="69" t="s">
        <v>160</v>
      </c>
      <c r="AM35" s="69" t="s">
        <v>160</v>
      </c>
      <c r="AN35" s="69" t="s">
        <v>160</v>
      </c>
      <c r="AO35" s="69" t="s">
        <v>160</v>
      </c>
      <c r="AP35" s="69" t="s">
        <v>160</v>
      </c>
      <c r="AQ35" s="69" t="s">
        <v>160</v>
      </c>
      <c r="AR35" s="69" t="s">
        <v>160</v>
      </c>
      <c r="AS35" s="69" t="s">
        <v>160</v>
      </c>
      <c r="AT35" s="69" t="s">
        <v>160</v>
      </c>
      <c r="AU35" s="69" t="s">
        <v>160</v>
      </c>
      <c r="AV35" s="69" t="s">
        <v>160</v>
      </c>
      <c r="AW35" s="69" t="s">
        <v>160</v>
      </c>
      <c r="AX35" s="69" t="s">
        <v>160</v>
      </c>
      <c r="AY35" s="69" t="s">
        <v>160</v>
      </c>
      <c r="AZ35" s="69" t="s">
        <v>160</v>
      </c>
      <c r="BA35" s="69" t="s">
        <v>160</v>
      </c>
      <c r="BB35" s="69" t="s">
        <v>160</v>
      </c>
      <c r="BC35" s="69" t="s">
        <v>160</v>
      </c>
      <c r="BD35" s="69" t="s">
        <v>160</v>
      </c>
      <c r="BE35" s="69" t="s">
        <v>160</v>
      </c>
      <c r="BF35" s="69" t="s">
        <v>160</v>
      </c>
      <c r="BG35" s="69" t="s">
        <v>160</v>
      </c>
      <c r="BH35" s="69" t="s">
        <v>160</v>
      </c>
      <c r="BI35" s="69" t="s">
        <v>160</v>
      </c>
      <c r="BJ35" s="69" t="s">
        <v>160</v>
      </c>
      <c r="BK35" s="69" t="s">
        <v>160</v>
      </c>
      <c r="BL35" s="69" t="s">
        <v>160</v>
      </c>
      <c r="BM35" s="69" t="s">
        <v>160</v>
      </c>
      <c r="BN35" s="69" t="s">
        <v>160</v>
      </c>
      <c r="BO35" s="69" t="s">
        <v>160</v>
      </c>
      <c r="BP35" s="69" t="s">
        <v>160</v>
      </c>
      <c r="BQ35" s="69" t="s">
        <v>160</v>
      </c>
      <c r="BR35" s="69" t="s">
        <v>160</v>
      </c>
      <c r="BS35" s="69" t="s">
        <v>160</v>
      </c>
      <c r="BT35" s="69" t="s">
        <v>160</v>
      </c>
      <c r="BU35" s="69" t="s">
        <v>160</v>
      </c>
      <c r="BV35" s="69" t="s">
        <v>160</v>
      </c>
      <c r="BW35" s="69" t="s">
        <v>160</v>
      </c>
      <c r="BX35" s="69" t="s">
        <v>160</v>
      </c>
      <c r="BY35" s="69" t="s">
        <v>160</v>
      </c>
      <c r="BZ35" s="69" t="s">
        <v>160</v>
      </c>
      <c r="CA35" s="69" t="s">
        <v>160</v>
      </c>
      <c r="CB35" s="69" t="s">
        <v>160</v>
      </c>
      <c r="CC35" s="69" t="s">
        <v>160</v>
      </c>
      <c r="CD35" s="69" t="s">
        <v>160</v>
      </c>
      <c r="CE35" s="69" t="s">
        <v>160</v>
      </c>
      <c r="CF35" s="69" t="s">
        <v>160</v>
      </c>
      <c r="CG35" s="69" t="s">
        <v>160</v>
      </c>
      <c r="CH35" s="69" t="s">
        <v>160</v>
      </c>
      <c r="CI35" s="69" t="s">
        <v>160</v>
      </c>
      <c r="CJ35" s="69" t="s">
        <v>160</v>
      </c>
      <c r="CK35" s="69" t="s">
        <v>160</v>
      </c>
      <c r="CL35" s="69" t="s">
        <v>160</v>
      </c>
      <c r="CM35" s="69" t="s">
        <v>160</v>
      </c>
      <c r="CN35" s="69" t="s">
        <v>160</v>
      </c>
      <c r="CO35" s="69" t="s">
        <v>160</v>
      </c>
      <c r="CP35" s="69" t="s">
        <v>160</v>
      </c>
      <c r="CQ35" s="69" t="s">
        <v>160</v>
      </c>
      <c r="CR35" s="69" t="s">
        <v>160</v>
      </c>
      <c r="CS35" s="69" t="s">
        <v>160</v>
      </c>
      <c r="CT35" s="69" t="s">
        <v>160</v>
      </c>
      <c r="CU35" s="69" t="s">
        <v>160</v>
      </c>
      <c r="CV35" s="69" t="s">
        <v>160</v>
      </c>
      <c r="CW35" s="69" t="s">
        <v>160</v>
      </c>
      <c r="CX35" s="69" t="s">
        <v>160</v>
      </c>
      <c r="CY35" s="69" t="s">
        <v>160</v>
      </c>
      <c r="CZ35" s="69" t="s">
        <v>160</v>
      </c>
      <c r="DA35" s="69" t="s">
        <v>160</v>
      </c>
      <c r="DB35" s="69" t="s">
        <v>160</v>
      </c>
      <c r="DC35" s="69" t="s">
        <v>160</v>
      </c>
      <c r="DD35" s="69" t="s">
        <v>160</v>
      </c>
      <c r="DE35" s="69" t="s">
        <v>160</v>
      </c>
      <c r="DF35" s="69" t="s">
        <v>160</v>
      </c>
      <c r="DG35" s="69" t="s">
        <v>160</v>
      </c>
      <c r="DH35" s="69" t="s">
        <v>160</v>
      </c>
      <c r="DI35" s="69" t="s">
        <v>160</v>
      </c>
      <c r="DJ35" s="69" t="s">
        <v>160</v>
      </c>
      <c r="DK35" s="69" t="s">
        <v>160</v>
      </c>
      <c r="DL35" s="69" t="s">
        <v>160</v>
      </c>
      <c r="DM35" s="69" t="s">
        <v>160</v>
      </c>
      <c r="DN35" s="69" t="s">
        <v>160</v>
      </c>
      <c r="DO35" s="69" t="s">
        <v>160</v>
      </c>
      <c r="DP35" s="69" t="s">
        <v>160</v>
      </c>
      <c r="DQ35" s="69" t="s">
        <v>160</v>
      </c>
      <c r="DR35" s="69" t="s">
        <v>160</v>
      </c>
      <c r="DS35" s="69" t="s">
        <v>160</v>
      </c>
      <c r="DT35" s="69" t="s">
        <v>160</v>
      </c>
      <c r="DU35" s="69" t="s">
        <v>160</v>
      </c>
      <c r="DV35" s="69" t="s">
        <v>160</v>
      </c>
      <c r="DW35" s="69" t="s">
        <v>160</v>
      </c>
      <c r="DX35" s="69" t="s">
        <v>160</v>
      </c>
      <c r="DY35" s="69" t="s">
        <v>160</v>
      </c>
      <c r="DZ35" s="69" t="s">
        <v>160</v>
      </c>
      <c r="EA35" s="69" t="s">
        <v>160</v>
      </c>
      <c r="EB35" s="69" t="s">
        <v>160</v>
      </c>
      <c r="EC35" s="69" t="s">
        <v>160</v>
      </c>
      <c r="ED35" s="69" t="s">
        <v>160</v>
      </c>
      <c r="EE35" s="69" t="s">
        <v>160</v>
      </c>
      <c r="EF35" s="69" t="s">
        <v>160</v>
      </c>
      <c r="EG35" s="69" t="s">
        <v>160</v>
      </c>
      <c r="EH35" s="69" t="s">
        <v>160</v>
      </c>
      <c r="EI35" s="69" t="s">
        <v>160</v>
      </c>
      <c r="EJ35" s="69" t="s">
        <v>160</v>
      </c>
      <c r="EK35" s="69" t="s">
        <v>160</v>
      </c>
      <c r="EL35" s="69" t="s">
        <v>160</v>
      </c>
      <c r="EM35" s="69" t="s">
        <v>160</v>
      </c>
      <c r="EN35" s="69" t="s">
        <v>160</v>
      </c>
      <c r="EO35" s="69" t="s">
        <v>160</v>
      </c>
      <c r="EP35" s="69" t="s">
        <v>160</v>
      </c>
      <c r="EQ35" s="69" t="s">
        <v>160</v>
      </c>
      <c r="ER35" s="69" t="s">
        <v>160</v>
      </c>
      <c r="ES35" s="69" t="s">
        <v>160</v>
      </c>
      <c r="ET35" s="69" t="s">
        <v>160</v>
      </c>
      <c r="EU35" s="69" t="s">
        <v>160</v>
      </c>
      <c r="EV35" s="69" t="s">
        <v>160</v>
      </c>
      <c r="EW35" s="69" t="s">
        <v>160</v>
      </c>
      <c r="EX35" s="69" t="s">
        <v>160</v>
      </c>
      <c r="EY35" s="69" t="s">
        <v>160</v>
      </c>
      <c r="EZ35" s="69" t="s">
        <v>160</v>
      </c>
      <c r="FA35" s="69" t="s">
        <v>160</v>
      </c>
      <c r="FB35" s="69" t="s">
        <v>160</v>
      </c>
      <c r="FC35" s="69" t="s">
        <v>160</v>
      </c>
      <c r="FD35" s="69" t="s">
        <v>160</v>
      </c>
    </row>
    <row r="36" spans="1:160">
      <c r="A36" s="103" t="s">
        <v>437</v>
      </c>
      <c r="B36" s="20" t="s">
        <v>163</v>
      </c>
      <c r="C36" s="123" t="s">
        <v>404</v>
      </c>
      <c r="D36" s="123"/>
      <c r="E36" s="123"/>
      <c r="F36" s="123"/>
      <c r="G36" s="51" t="str">
        <f t="shared" si="0"/>
        <v>(V2)(Optimization) Technical design document explaining the data schema and algorithm</v>
      </c>
      <c r="H36" s="51" t="s">
        <v>2</v>
      </c>
      <c r="I36" s="64">
        <v>44743</v>
      </c>
      <c r="J36" s="64">
        <v>45077</v>
      </c>
      <c r="K36" s="64">
        <v>44743</v>
      </c>
      <c r="L36" s="83">
        <v>45041</v>
      </c>
      <c r="M36" s="64" t="s">
        <v>178</v>
      </c>
      <c r="N36" s="64" t="b">
        <f t="shared" si="6"/>
        <v>1</v>
      </c>
      <c r="O36" s="64"/>
      <c r="P36" s="67">
        <v>0.9</v>
      </c>
      <c r="Q36" s="67"/>
      <c r="S36" s="68"/>
      <c r="T36" s="69"/>
      <c r="U36" s="69"/>
      <c r="V36" s="80"/>
      <c r="W36" s="69"/>
      <c r="X36" s="69"/>
      <c r="Y36" s="69"/>
      <c r="Z36" s="69"/>
      <c r="AA36" s="69"/>
      <c r="AB36" s="69"/>
      <c r="AC36" s="69"/>
      <c r="AD36" s="69"/>
      <c r="AE36" s="69"/>
      <c r="AF36" s="69"/>
      <c r="AG36" s="69"/>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c r="BT36" s="69"/>
      <c r="BU36" s="69"/>
      <c r="BV36" s="69"/>
      <c r="BW36" s="69"/>
      <c r="BX36" s="69"/>
      <c r="BY36" s="69"/>
      <c r="BZ36" s="69"/>
      <c r="CA36" s="69"/>
      <c r="CB36" s="69"/>
      <c r="CC36" s="69"/>
      <c r="CD36" s="69"/>
      <c r="CE36" s="69"/>
      <c r="CF36" s="69"/>
      <c r="CG36" s="69"/>
      <c r="CH36" s="69"/>
      <c r="CI36" s="69"/>
      <c r="CJ36" s="69"/>
      <c r="CK36" s="69"/>
      <c r="CL36" s="69"/>
      <c r="CM36" s="69"/>
      <c r="CN36" s="69"/>
      <c r="CO36" s="69"/>
      <c r="CP36" s="69"/>
      <c r="CQ36" s="69"/>
      <c r="CR36" s="69"/>
      <c r="CS36" s="69"/>
      <c r="CT36" s="69"/>
      <c r="CU36" s="69"/>
      <c r="CV36" s="69"/>
      <c r="CW36" s="69"/>
      <c r="CX36" s="69"/>
      <c r="CY36" s="69"/>
      <c r="CZ36" s="69"/>
      <c r="DA36" s="69"/>
      <c r="DB36" s="69"/>
      <c r="DC36" s="69"/>
      <c r="DD36" s="69"/>
      <c r="DE36" s="69"/>
      <c r="DF36" s="69"/>
      <c r="DG36" s="69"/>
      <c r="DH36" s="69"/>
      <c r="DI36" s="69"/>
      <c r="DJ36" s="69"/>
      <c r="DK36" s="69"/>
      <c r="DL36" s="69"/>
      <c r="DM36" s="69"/>
      <c r="DN36" s="69"/>
      <c r="DO36" s="69"/>
      <c r="DP36" s="69"/>
      <c r="DQ36" s="69"/>
      <c r="DR36" s="69"/>
      <c r="DS36" s="69"/>
      <c r="DT36" s="69"/>
      <c r="DU36" s="69"/>
      <c r="DV36" s="69"/>
      <c r="DW36" s="69"/>
      <c r="DX36" s="69"/>
      <c r="DY36" s="69"/>
      <c r="DZ36" s="69"/>
      <c r="EA36" s="69"/>
      <c r="EB36" s="69"/>
      <c r="EC36" s="69"/>
      <c r="ED36" s="69"/>
      <c r="EE36" s="69"/>
      <c r="EF36" s="69"/>
      <c r="EG36" s="69"/>
      <c r="EH36" s="69"/>
      <c r="EI36" s="69"/>
      <c r="EJ36" s="69"/>
      <c r="EK36" s="69"/>
      <c r="EL36" s="69"/>
      <c r="EM36" s="69"/>
      <c r="EN36" s="69"/>
      <c r="EO36" s="69"/>
      <c r="EP36" s="69"/>
      <c r="EQ36" s="69"/>
      <c r="ER36" s="69"/>
      <c r="ES36" s="69"/>
      <c r="ET36" s="69"/>
      <c r="EU36" s="69"/>
      <c r="EV36" s="69"/>
      <c r="EW36" s="69"/>
      <c r="EX36" s="69"/>
      <c r="EY36" s="69"/>
      <c r="EZ36" s="69"/>
      <c r="FA36" s="69"/>
      <c r="FB36" s="69"/>
      <c r="FC36" s="69"/>
      <c r="FD36" s="69"/>
    </row>
    <row r="37" spans="1:160">
      <c r="A37" s="103" t="s">
        <v>438</v>
      </c>
      <c r="B37" s="20" t="s">
        <v>163</v>
      </c>
      <c r="C37" s="123" t="s">
        <v>405</v>
      </c>
      <c r="D37" s="123"/>
      <c r="E37" s="123"/>
      <c r="F37" s="123"/>
      <c r="G37" s="51" t="str">
        <f t="shared" si="0"/>
        <v>(V1)(Optimization) Software Code</v>
      </c>
      <c r="H37" s="51" t="s">
        <v>2</v>
      </c>
      <c r="I37" s="64">
        <v>44743</v>
      </c>
      <c r="J37" s="64">
        <v>45077</v>
      </c>
      <c r="K37" s="64">
        <v>44743</v>
      </c>
      <c r="L37" s="83">
        <v>44985</v>
      </c>
      <c r="M37" s="83">
        <v>45041</v>
      </c>
      <c r="N37" s="64" t="b">
        <f t="shared" si="6"/>
        <v>0</v>
      </c>
      <c r="O37" s="64"/>
      <c r="P37" s="67">
        <v>0.9</v>
      </c>
      <c r="Q37" s="67"/>
      <c r="R37" s="51" t="s">
        <v>2</v>
      </c>
      <c r="S37" s="79" t="s">
        <v>160</v>
      </c>
      <c r="T37" s="80" t="s">
        <v>160</v>
      </c>
      <c r="U37" s="80" t="s">
        <v>160</v>
      </c>
      <c r="V37" s="69" t="s">
        <v>160</v>
      </c>
      <c r="W37" s="69" t="s">
        <v>160</v>
      </c>
      <c r="X37" s="69" t="s">
        <v>160</v>
      </c>
      <c r="Y37" s="69" t="s">
        <v>160</v>
      </c>
      <c r="Z37" s="69" t="s">
        <v>160</v>
      </c>
      <c r="AA37" s="69" t="s">
        <v>160</v>
      </c>
      <c r="AB37" s="69" t="s">
        <v>160</v>
      </c>
      <c r="AC37" s="69" t="s">
        <v>160</v>
      </c>
      <c r="AD37" s="69" t="s">
        <v>160</v>
      </c>
      <c r="AE37" s="69" t="s">
        <v>160</v>
      </c>
      <c r="AF37" s="69" t="s">
        <v>160</v>
      </c>
      <c r="AG37" s="69" t="s">
        <v>160</v>
      </c>
      <c r="AH37" s="69" t="s">
        <v>160</v>
      </c>
      <c r="AI37" s="69" t="s">
        <v>160</v>
      </c>
      <c r="AJ37" s="69" t="s">
        <v>160</v>
      </c>
      <c r="AK37" s="69" t="s">
        <v>160</v>
      </c>
      <c r="AL37" s="69" t="s">
        <v>160</v>
      </c>
      <c r="AM37" s="69" t="s">
        <v>160</v>
      </c>
      <c r="AN37" s="69" t="s">
        <v>160</v>
      </c>
      <c r="AO37" s="69" t="s">
        <v>160</v>
      </c>
      <c r="AP37" s="69" t="s">
        <v>160</v>
      </c>
      <c r="AQ37" s="69" t="s">
        <v>160</v>
      </c>
      <c r="AR37" s="69" t="s">
        <v>160</v>
      </c>
      <c r="AS37" s="69" t="s">
        <v>160</v>
      </c>
      <c r="AT37" s="69" t="s">
        <v>160</v>
      </c>
      <c r="AU37" s="69" t="s">
        <v>160</v>
      </c>
      <c r="AV37" s="69" t="s">
        <v>160</v>
      </c>
      <c r="AW37" s="69" t="s">
        <v>160</v>
      </c>
      <c r="AX37" s="69" t="s">
        <v>160</v>
      </c>
      <c r="AY37" s="69" t="s">
        <v>160</v>
      </c>
      <c r="AZ37" s="69" t="s">
        <v>160</v>
      </c>
      <c r="BA37" s="69" t="s">
        <v>160</v>
      </c>
      <c r="BB37" s="69" t="s">
        <v>160</v>
      </c>
      <c r="BC37" s="69" t="s">
        <v>160</v>
      </c>
      <c r="BD37" s="69" t="s">
        <v>160</v>
      </c>
      <c r="BE37" s="69" t="s">
        <v>160</v>
      </c>
      <c r="BF37" s="69" t="s">
        <v>160</v>
      </c>
      <c r="BG37" s="69" t="s">
        <v>160</v>
      </c>
      <c r="BH37" s="69" t="s">
        <v>160</v>
      </c>
      <c r="BI37" s="69" t="s">
        <v>160</v>
      </c>
      <c r="BJ37" s="69" t="s">
        <v>160</v>
      </c>
      <c r="BK37" s="69" t="s">
        <v>160</v>
      </c>
      <c r="BL37" s="69" t="s">
        <v>160</v>
      </c>
      <c r="BM37" s="69" t="s">
        <v>160</v>
      </c>
      <c r="BN37" s="69" t="s">
        <v>160</v>
      </c>
      <c r="BO37" s="69" t="s">
        <v>160</v>
      </c>
      <c r="BP37" s="69" t="s">
        <v>160</v>
      </c>
      <c r="BQ37" s="69" t="s">
        <v>160</v>
      </c>
      <c r="BR37" s="69" t="s">
        <v>160</v>
      </c>
      <c r="BS37" s="69" t="s">
        <v>160</v>
      </c>
      <c r="BT37" s="69" t="s">
        <v>160</v>
      </c>
      <c r="BU37" s="69" t="s">
        <v>160</v>
      </c>
      <c r="BV37" s="69" t="s">
        <v>160</v>
      </c>
      <c r="BW37" s="69" t="s">
        <v>160</v>
      </c>
      <c r="BX37" s="69" t="s">
        <v>160</v>
      </c>
      <c r="BY37" s="69" t="s">
        <v>160</v>
      </c>
      <c r="BZ37" s="69" t="s">
        <v>160</v>
      </c>
      <c r="CA37" s="69" t="s">
        <v>160</v>
      </c>
      <c r="CB37" s="69" t="s">
        <v>160</v>
      </c>
      <c r="CC37" s="69" t="s">
        <v>160</v>
      </c>
      <c r="CD37" s="69" t="s">
        <v>160</v>
      </c>
      <c r="CE37" s="69" t="s">
        <v>160</v>
      </c>
      <c r="CF37" s="69" t="s">
        <v>160</v>
      </c>
      <c r="CG37" s="69" t="s">
        <v>160</v>
      </c>
      <c r="CH37" s="69" t="s">
        <v>160</v>
      </c>
      <c r="CI37" s="69" t="s">
        <v>160</v>
      </c>
      <c r="CJ37" s="69" t="s">
        <v>160</v>
      </c>
      <c r="CK37" s="69" t="s">
        <v>160</v>
      </c>
      <c r="CL37" s="69" t="s">
        <v>160</v>
      </c>
      <c r="CM37" s="69" t="s">
        <v>160</v>
      </c>
      <c r="CN37" s="69" t="s">
        <v>160</v>
      </c>
      <c r="CO37" s="69" t="s">
        <v>160</v>
      </c>
      <c r="CP37" s="69" t="s">
        <v>160</v>
      </c>
      <c r="CQ37" s="69" t="s">
        <v>160</v>
      </c>
      <c r="CR37" s="69" t="s">
        <v>160</v>
      </c>
      <c r="CS37" s="69" t="s">
        <v>160</v>
      </c>
      <c r="CT37" s="69" t="s">
        <v>160</v>
      </c>
      <c r="CU37" s="69" t="s">
        <v>160</v>
      </c>
      <c r="CV37" s="69" t="s">
        <v>160</v>
      </c>
      <c r="CW37" s="69" t="s">
        <v>160</v>
      </c>
      <c r="CX37" s="69" t="s">
        <v>160</v>
      </c>
      <c r="CY37" s="69" t="s">
        <v>160</v>
      </c>
      <c r="CZ37" s="69" t="s">
        <v>160</v>
      </c>
      <c r="DA37" s="69" t="s">
        <v>160</v>
      </c>
      <c r="DB37" s="69" t="s">
        <v>160</v>
      </c>
      <c r="DC37" s="69" t="s">
        <v>160</v>
      </c>
      <c r="DD37" s="69" t="s">
        <v>160</v>
      </c>
      <c r="DE37" s="69" t="s">
        <v>160</v>
      </c>
      <c r="DF37" s="69" t="s">
        <v>160</v>
      </c>
      <c r="DG37" s="69" t="s">
        <v>160</v>
      </c>
      <c r="DH37" s="69" t="s">
        <v>160</v>
      </c>
      <c r="DI37" s="69" t="s">
        <v>160</v>
      </c>
      <c r="DJ37" s="69" t="s">
        <v>160</v>
      </c>
      <c r="DK37" s="69" t="s">
        <v>160</v>
      </c>
      <c r="DL37" s="69" t="s">
        <v>160</v>
      </c>
      <c r="DM37" s="69" t="s">
        <v>160</v>
      </c>
      <c r="DN37" s="69" t="s">
        <v>160</v>
      </c>
      <c r="DO37" s="69" t="s">
        <v>160</v>
      </c>
      <c r="DP37" s="69" t="s">
        <v>160</v>
      </c>
      <c r="DQ37" s="69" t="s">
        <v>160</v>
      </c>
      <c r="DR37" s="69" t="s">
        <v>160</v>
      </c>
      <c r="DS37" s="69" t="s">
        <v>160</v>
      </c>
      <c r="DT37" s="69" t="s">
        <v>160</v>
      </c>
      <c r="DU37" s="69" t="s">
        <v>160</v>
      </c>
      <c r="DV37" s="69" t="s">
        <v>160</v>
      </c>
      <c r="DW37" s="69" t="s">
        <v>160</v>
      </c>
      <c r="DX37" s="69" t="s">
        <v>160</v>
      </c>
      <c r="DY37" s="69" t="s">
        <v>160</v>
      </c>
      <c r="DZ37" s="69" t="s">
        <v>160</v>
      </c>
      <c r="EA37" s="69" t="s">
        <v>160</v>
      </c>
      <c r="EB37" s="69" t="s">
        <v>160</v>
      </c>
      <c r="EC37" s="69" t="s">
        <v>160</v>
      </c>
      <c r="ED37" s="69" t="s">
        <v>160</v>
      </c>
      <c r="EE37" s="69" t="s">
        <v>160</v>
      </c>
      <c r="EF37" s="69" t="s">
        <v>160</v>
      </c>
      <c r="EG37" s="69" t="s">
        <v>160</v>
      </c>
      <c r="EH37" s="69" t="s">
        <v>160</v>
      </c>
      <c r="EI37" s="69" t="s">
        <v>160</v>
      </c>
      <c r="EJ37" s="69" t="s">
        <v>160</v>
      </c>
      <c r="EK37" s="69" t="s">
        <v>160</v>
      </c>
      <c r="EL37" s="69" t="s">
        <v>160</v>
      </c>
      <c r="EM37" s="69" t="s">
        <v>160</v>
      </c>
      <c r="EN37" s="69" t="s">
        <v>160</v>
      </c>
      <c r="EO37" s="69" t="s">
        <v>160</v>
      </c>
      <c r="EP37" s="69" t="s">
        <v>160</v>
      </c>
      <c r="EQ37" s="69" t="s">
        <v>160</v>
      </c>
      <c r="ER37" s="69" t="s">
        <v>160</v>
      </c>
      <c r="ES37" s="69" t="s">
        <v>160</v>
      </c>
      <c r="ET37" s="69" t="s">
        <v>160</v>
      </c>
      <c r="EU37" s="69" t="s">
        <v>160</v>
      </c>
      <c r="EV37" s="69" t="s">
        <v>160</v>
      </c>
      <c r="EW37" s="69" t="s">
        <v>160</v>
      </c>
      <c r="EX37" s="69" t="s">
        <v>160</v>
      </c>
      <c r="EY37" s="69" t="s">
        <v>160</v>
      </c>
      <c r="EZ37" s="69" t="s">
        <v>160</v>
      </c>
      <c r="FA37" s="69" t="s">
        <v>160</v>
      </c>
      <c r="FB37" s="69" t="s">
        <v>160</v>
      </c>
      <c r="FC37" s="69" t="s">
        <v>160</v>
      </c>
      <c r="FD37" s="69" t="s">
        <v>160</v>
      </c>
    </row>
    <row r="38" spans="1:160">
      <c r="A38" s="103" t="s">
        <v>439</v>
      </c>
      <c r="B38" s="20" t="s">
        <v>163</v>
      </c>
      <c r="C38" s="123" t="s">
        <v>406</v>
      </c>
      <c r="D38" s="123"/>
      <c r="E38" s="123"/>
      <c r="F38" s="123"/>
      <c r="G38" s="51" t="str">
        <f t="shared" si="0"/>
        <v>(V2)Optimization) Software Code</v>
      </c>
      <c r="H38" s="51" t="s">
        <v>2</v>
      </c>
      <c r="I38" s="64">
        <v>44743</v>
      </c>
      <c r="J38" s="64">
        <v>45077</v>
      </c>
      <c r="K38" s="64">
        <v>44743</v>
      </c>
      <c r="L38" s="83">
        <v>45041</v>
      </c>
      <c r="M38" s="64" t="s">
        <v>178</v>
      </c>
      <c r="N38" s="64" t="b">
        <f t="shared" si="6"/>
        <v>1</v>
      </c>
      <c r="O38" s="64"/>
      <c r="P38" s="67">
        <v>0.9</v>
      </c>
      <c r="Q38" s="67"/>
      <c r="S38" s="79"/>
      <c r="T38" s="80"/>
      <c r="U38" s="80"/>
      <c r="V38" s="69"/>
      <c r="W38" s="69"/>
      <c r="X38" s="69"/>
      <c r="Y38" s="69"/>
      <c r="Z38" s="69"/>
      <c r="AA38" s="69"/>
      <c r="AB38" s="69"/>
      <c r="AC38" s="69"/>
      <c r="AD38" s="69"/>
      <c r="AE38" s="69"/>
      <c r="AF38" s="69"/>
      <c r="AG38" s="69"/>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69"/>
      <c r="BH38" s="69"/>
      <c r="BI38" s="69"/>
      <c r="BJ38" s="69"/>
      <c r="BK38" s="69"/>
      <c r="BL38" s="69"/>
      <c r="BM38" s="69"/>
      <c r="BN38" s="69"/>
      <c r="BO38" s="69"/>
      <c r="BP38" s="69"/>
      <c r="BQ38" s="69"/>
      <c r="BR38" s="69"/>
      <c r="BS38" s="69"/>
      <c r="BT38" s="69"/>
      <c r="BU38" s="69"/>
      <c r="BV38" s="69"/>
      <c r="BW38" s="69"/>
      <c r="BX38" s="69"/>
      <c r="BY38" s="69"/>
      <c r="BZ38" s="69"/>
      <c r="CA38" s="69"/>
      <c r="CB38" s="69"/>
      <c r="CC38" s="69"/>
      <c r="CD38" s="69"/>
      <c r="CE38" s="69"/>
      <c r="CF38" s="69"/>
      <c r="CG38" s="69"/>
      <c r="CH38" s="69"/>
      <c r="CI38" s="69"/>
      <c r="CJ38" s="69"/>
      <c r="CK38" s="69"/>
      <c r="CL38" s="69"/>
      <c r="CM38" s="69"/>
      <c r="CN38" s="69"/>
      <c r="CO38" s="69"/>
      <c r="CP38" s="69"/>
      <c r="CQ38" s="69"/>
      <c r="CR38" s="69"/>
      <c r="CS38" s="69"/>
      <c r="CT38" s="69"/>
      <c r="CU38" s="69"/>
      <c r="CV38" s="69"/>
      <c r="CW38" s="69"/>
      <c r="CX38" s="69"/>
      <c r="CY38" s="69"/>
      <c r="CZ38" s="69"/>
      <c r="DA38" s="69"/>
      <c r="DB38" s="69"/>
      <c r="DC38" s="69"/>
      <c r="DD38" s="69"/>
      <c r="DE38" s="69"/>
      <c r="DF38" s="69"/>
      <c r="DG38" s="69"/>
      <c r="DH38" s="69"/>
      <c r="DI38" s="69"/>
      <c r="DJ38" s="69"/>
      <c r="DK38" s="69"/>
      <c r="DL38" s="69"/>
      <c r="DM38" s="69"/>
      <c r="DN38" s="69"/>
      <c r="DO38" s="69"/>
      <c r="DP38" s="69"/>
      <c r="DQ38" s="69"/>
      <c r="DR38" s="69"/>
      <c r="DS38" s="69"/>
      <c r="DT38" s="69"/>
      <c r="DU38" s="69"/>
      <c r="DV38" s="69"/>
      <c r="DW38" s="69"/>
      <c r="DX38" s="69"/>
      <c r="DY38" s="69"/>
      <c r="DZ38" s="69"/>
      <c r="EA38" s="69"/>
      <c r="EB38" s="69"/>
      <c r="EC38" s="69"/>
      <c r="ED38" s="69"/>
      <c r="EE38" s="69"/>
      <c r="EF38" s="69"/>
      <c r="EG38" s="69"/>
      <c r="EH38" s="69"/>
      <c r="EI38" s="69"/>
      <c r="EJ38" s="69"/>
      <c r="EK38" s="69"/>
      <c r="EL38" s="69"/>
      <c r="EM38" s="69"/>
      <c r="EN38" s="69"/>
      <c r="EO38" s="69"/>
      <c r="EP38" s="69"/>
      <c r="EQ38" s="69"/>
      <c r="ER38" s="69"/>
      <c r="ES38" s="69"/>
      <c r="ET38" s="69"/>
      <c r="EU38" s="69"/>
      <c r="EV38" s="69"/>
      <c r="EW38" s="69"/>
      <c r="EX38" s="69"/>
      <c r="EY38" s="69"/>
      <c r="EZ38" s="69"/>
      <c r="FA38" s="69"/>
      <c r="FB38" s="69"/>
      <c r="FC38" s="69"/>
      <c r="FD38" s="69"/>
    </row>
    <row r="39" spans="1:160">
      <c r="A39" s="103" t="s">
        <v>440</v>
      </c>
      <c r="B39" s="107" t="s">
        <v>163</v>
      </c>
      <c r="C39" s="121" t="s">
        <v>184</v>
      </c>
      <c r="D39" s="121"/>
      <c r="E39" s="121"/>
      <c r="F39" s="121"/>
      <c r="G39" s="51" t="str">
        <f t="shared" si="0"/>
        <v>(Optimization) Deployment Procedure of the code</v>
      </c>
      <c r="H39" s="51" t="s">
        <v>2</v>
      </c>
      <c r="I39" s="64">
        <v>44743</v>
      </c>
      <c r="J39" s="64">
        <v>45077</v>
      </c>
      <c r="K39" s="64">
        <v>44743</v>
      </c>
      <c r="L39" s="64">
        <v>45077</v>
      </c>
      <c r="M39" s="64" t="s">
        <v>174</v>
      </c>
      <c r="N39" s="64" t="b">
        <f>ISNUMBER(SEARCH("*Waiting*",M39))</f>
        <v>1</v>
      </c>
      <c r="O39" s="64"/>
      <c r="P39" s="67">
        <v>0.9</v>
      </c>
      <c r="Q39" s="67"/>
      <c r="R39" s="51" t="s">
        <v>2</v>
      </c>
      <c r="S39" s="68" t="s">
        <v>160</v>
      </c>
      <c r="T39" s="69" t="s">
        <v>160</v>
      </c>
      <c r="U39" s="69" t="s">
        <v>160</v>
      </c>
      <c r="V39" s="80" t="s">
        <v>160</v>
      </c>
      <c r="W39" s="69" t="s">
        <v>160</v>
      </c>
      <c r="X39" s="69" t="s">
        <v>160</v>
      </c>
      <c r="Y39" s="69" t="s">
        <v>160</v>
      </c>
      <c r="Z39" s="69" t="s">
        <v>160</v>
      </c>
      <c r="AA39" s="69" t="s">
        <v>160</v>
      </c>
      <c r="AB39" s="69" t="s">
        <v>160</v>
      </c>
      <c r="AC39" s="69" t="s">
        <v>160</v>
      </c>
      <c r="AD39" s="69" t="s">
        <v>160</v>
      </c>
      <c r="AE39" s="69" t="s">
        <v>160</v>
      </c>
      <c r="AF39" s="69" t="s">
        <v>160</v>
      </c>
      <c r="AG39" s="69" t="s">
        <v>160</v>
      </c>
      <c r="AH39" s="69" t="s">
        <v>160</v>
      </c>
      <c r="AI39" s="69" t="s">
        <v>160</v>
      </c>
      <c r="AJ39" s="69" t="s">
        <v>160</v>
      </c>
      <c r="AK39" s="69" t="s">
        <v>160</v>
      </c>
      <c r="AL39" s="69" t="s">
        <v>160</v>
      </c>
      <c r="AM39" s="69" t="s">
        <v>160</v>
      </c>
      <c r="AN39" s="69" t="s">
        <v>160</v>
      </c>
      <c r="AO39" s="69" t="s">
        <v>160</v>
      </c>
      <c r="AP39" s="69" t="s">
        <v>160</v>
      </c>
      <c r="AQ39" s="69" t="s">
        <v>160</v>
      </c>
      <c r="AR39" s="69" t="s">
        <v>160</v>
      </c>
      <c r="AS39" s="69" t="s">
        <v>160</v>
      </c>
      <c r="AT39" s="69" t="s">
        <v>160</v>
      </c>
      <c r="AU39" s="69" t="s">
        <v>160</v>
      </c>
      <c r="AV39" s="69" t="s">
        <v>160</v>
      </c>
      <c r="AW39" s="69" t="s">
        <v>160</v>
      </c>
      <c r="AX39" s="69" t="s">
        <v>160</v>
      </c>
      <c r="AY39" s="69" t="s">
        <v>160</v>
      </c>
      <c r="AZ39" s="69" t="s">
        <v>160</v>
      </c>
      <c r="BA39" s="69" t="s">
        <v>160</v>
      </c>
      <c r="BB39" s="69" t="s">
        <v>160</v>
      </c>
      <c r="BC39" s="69" t="s">
        <v>160</v>
      </c>
      <c r="BD39" s="69" t="s">
        <v>160</v>
      </c>
      <c r="BE39" s="69" t="s">
        <v>160</v>
      </c>
      <c r="BF39" s="69" t="s">
        <v>160</v>
      </c>
      <c r="BG39" s="69" t="s">
        <v>160</v>
      </c>
      <c r="BH39" s="69" t="s">
        <v>160</v>
      </c>
      <c r="BI39" s="69" t="s">
        <v>160</v>
      </c>
      <c r="BJ39" s="69" t="s">
        <v>160</v>
      </c>
      <c r="BK39" s="69" t="s">
        <v>160</v>
      </c>
      <c r="BL39" s="69" t="s">
        <v>160</v>
      </c>
      <c r="BM39" s="69" t="s">
        <v>160</v>
      </c>
      <c r="BN39" s="69" t="s">
        <v>160</v>
      </c>
      <c r="BO39" s="69" t="s">
        <v>160</v>
      </c>
      <c r="BP39" s="69" t="s">
        <v>160</v>
      </c>
      <c r="BQ39" s="69" t="s">
        <v>160</v>
      </c>
      <c r="BR39" s="69" t="s">
        <v>160</v>
      </c>
      <c r="BS39" s="69" t="s">
        <v>160</v>
      </c>
      <c r="BT39" s="69" t="s">
        <v>160</v>
      </c>
      <c r="BU39" s="69" t="s">
        <v>160</v>
      </c>
      <c r="BV39" s="69" t="s">
        <v>160</v>
      </c>
      <c r="BW39" s="69" t="s">
        <v>160</v>
      </c>
      <c r="BX39" s="69" t="s">
        <v>160</v>
      </c>
      <c r="BY39" s="69" t="s">
        <v>160</v>
      </c>
      <c r="BZ39" s="69" t="s">
        <v>160</v>
      </c>
      <c r="CA39" s="69" t="s">
        <v>160</v>
      </c>
      <c r="CB39" s="69" t="s">
        <v>160</v>
      </c>
      <c r="CC39" s="69" t="s">
        <v>160</v>
      </c>
      <c r="CD39" s="69" t="s">
        <v>160</v>
      </c>
      <c r="CE39" s="69" t="s">
        <v>160</v>
      </c>
      <c r="CF39" s="69" t="s">
        <v>160</v>
      </c>
      <c r="CG39" s="69" t="s">
        <v>160</v>
      </c>
      <c r="CH39" s="69" t="s">
        <v>160</v>
      </c>
      <c r="CI39" s="69" t="s">
        <v>160</v>
      </c>
      <c r="CJ39" s="69" t="s">
        <v>160</v>
      </c>
      <c r="CK39" s="69" t="s">
        <v>160</v>
      </c>
      <c r="CL39" s="69" t="s">
        <v>160</v>
      </c>
      <c r="CM39" s="69" t="s">
        <v>160</v>
      </c>
      <c r="CN39" s="69" t="s">
        <v>160</v>
      </c>
      <c r="CO39" s="69" t="s">
        <v>160</v>
      </c>
      <c r="CP39" s="69" t="s">
        <v>160</v>
      </c>
      <c r="CQ39" s="69" t="s">
        <v>160</v>
      </c>
      <c r="CR39" s="69" t="s">
        <v>160</v>
      </c>
      <c r="CS39" s="69" t="s">
        <v>160</v>
      </c>
      <c r="CT39" s="69" t="s">
        <v>160</v>
      </c>
      <c r="CU39" s="69" t="s">
        <v>160</v>
      </c>
      <c r="CV39" s="69" t="s">
        <v>160</v>
      </c>
      <c r="CW39" s="69" t="s">
        <v>160</v>
      </c>
      <c r="CX39" s="69" t="s">
        <v>160</v>
      </c>
      <c r="CY39" s="69" t="s">
        <v>160</v>
      </c>
      <c r="CZ39" s="69" t="s">
        <v>160</v>
      </c>
      <c r="DA39" s="69" t="s">
        <v>160</v>
      </c>
      <c r="DB39" s="69" t="s">
        <v>160</v>
      </c>
      <c r="DC39" s="69" t="s">
        <v>160</v>
      </c>
      <c r="DD39" s="69" t="s">
        <v>160</v>
      </c>
      <c r="DE39" s="69" t="s">
        <v>160</v>
      </c>
      <c r="DF39" s="69" t="s">
        <v>160</v>
      </c>
      <c r="DG39" s="69" t="s">
        <v>160</v>
      </c>
      <c r="DH39" s="69" t="s">
        <v>160</v>
      </c>
      <c r="DI39" s="69" t="s">
        <v>160</v>
      </c>
      <c r="DJ39" s="69" t="s">
        <v>160</v>
      </c>
      <c r="DK39" s="69" t="s">
        <v>160</v>
      </c>
      <c r="DL39" s="69" t="s">
        <v>160</v>
      </c>
      <c r="DM39" s="69" t="s">
        <v>160</v>
      </c>
      <c r="DN39" s="69" t="s">
        <v>160</v>
      </c>
      <c r="DO39" s="69" t="s">
        <v>160</v>
      </c>
      <c r="DP39" s="69" t="s">
        <v>160</v>
      </c>
      <c r="DQ39" s="69" t="s">
        <v>160</v>
      </c>
      <c r="DR39" s="69" t="s">
        <v>160</v>
      </c>
      <c r="DS39" s="69" t="s">
        <v>160</v>
      </c>
      <c r="DT39" s="69" t="s">
        <v>160</v>
      </c>
      <c r="DU39" s="69" t="s">
        <v>160</v>
      </c>
      <c r="DV39" s="69" t="s">
        <v>160</v>
      </c>
      <c r="DW39" s="69" t="s">
        <v>160</v>
      </c>
      <c r="DX39" s="69" t="s">
        <v>160</v>
      </c>
      <c r="DY39" s="69" t="s">
        <v>160</v>
      </c>
      <c r="DZ39" s="69" t="s">
        <v>160</v>
      </c>
      <c r="EA39" s="69" t="s">
        <v>160</v>
      </c>
      <c r="EB39" s="69" t="s">
        <v>160</v>
      </c>
      <c r="EC39" s="69" t="s">
        <v>160</v>
      </c>
      <c r="ED39" s="69" t="s">
        <v>160</v>
      </c>
      <c r="EE39" s="69" t="s">
        <v>160</v>
      </c>
      <c r="EF39" s="69" t="s">
        <v>160</v>
      </c>
      <c r="EG39" s="69" t="s">
        <v>160</v>
      </c>
      <c r="EH39" s="69" t="s">
        <v>160</v>
      </c>
      <c r="EI39" s="69" t="s">
        <v>160</v>
      </c>
      <c r="EJ39" s="69" t="s">
        <v>160</v>
      </c>
      <c r="EK39" s="69" t="s">
        <v>160</v>
      </c>
      <c r="EL39" s="69" t="s">
        <v>160</v>
      </c>
      <c r="EM39" s="69" t="s">
        <v>160</v>
      </c>
      <c r="EN39" s="69" t="s">
        <v>160</v>
      </c>
      <c r="EO39" s="69" t="s">
        <v>160</v>
      </c>
      <c r="EP39" s="69" t="s">
        <v>160</v>
      </c>
      <c r="EQ39" s="69" t="s">
        <v>160</v>
      </c>
      <c r="ER39" s="69" t="s">
        <v>160</v>
      </c>
      <c r="ES39" s="69" t="s">
        <v>160</v>
      </c>
      <c r="ET39" s="69" t="s">
        <v>160</v>
      </c>
      <c r="EU39" s="69" t="s">
        <v>160</v>
      </c>
      <c r="EV39" s="69" t="s">
        <v>160</v>
      </c>
      <c r="EW39" s="69" t="s">
        <v>160</v>
      </c>
      <c r="EX39" s="69" t="s">
        <v>160</v>
      </c>
      <c r="EY39" s="69" t="s">
        <v>160</v>
      </c>
      <c r="EZ39" s="69" t="s">
        <v>160</v>
      </c>
      <c r="FA39" s="69" t="s">
        <v>160</v>
      </c>
      <c r="FB39" s="69" t="s">
        <v>160</v>
      </c>
      <c r="FC39" s="69" t="s">
        <v>160</v>
      </c>
      <c r="FD39" s="69" t="s">
        <v>160</v>
      </c>
    </row>
    <row r="40" spans="1:160">
      <c r="A40" s="103" t="s">
        <v>433</v>
      </c>
      <c r="B40" s="107" t="s">
        <v>163</v>
      </c>
      <c r="C40" s="121" t="s">
        <v>185</v>
      </c>
      <c r="D40" s="121"/>
      <c r="E40" s="121"/>
      <c r="F40" s="121"/>
      <c r="G40" s="51" t="str">
        <f t="shared" si="0"/>
        <v>(Optimization) Product usage guide with examples for all the functional usecases</v>
      </c>
      <c r="H40" s="51" t="s">
        <v>2</v>
      </c>
      <c r="I40" s="64">
        <v>44743</v>
      </c>
      <c r="J40" s="64">
        <v>45077</v>
      </c>
      <c r="K40" s="64">
        <v>44743</v>
      </c>
      <c r="L40" s="64">
        <v>45041</v>
      </c>
      <c r="M40" s="64" t="s">
        <v>174</v>
      </c>
      <c r="N40" s="64" t="b">
        <f t="shared" si="6"/>
        <v>1</v>
      </c>
      <c r="O40" s="64"/>
      <c r="P40" s="67">
        <v>0.9</v>
      </c>
      <c r="Q40" s="67"/>
      <c r="R40" s="51" t="s">
        <v>2</v>
      </c>
      <c r="S40" s="68" t="s">
        <v>160</v>
      </c>
      <c r="T40" s="69" t="s">
        <v>160</v>
      </c>
      <c r="U40" s="69" t="s">
        <v>160</v>
      </c>
      <c r="V40" s="80" t="s">
        <v>160</v>
      </c>
      <c r="W40" s="69" t="s">
        <v>160</v>
      </c>
      <c r="X40" s="69" t="s">
        <v>160</v>
      </c>
      <c r="Y40" s="69" t="s">
        <v>160</v>
      </c>
      <c r="Z40" s="69" t="s">
        <v>160</v>
      </c>
      <c r="AA40" s="69" t="s">
        <v>160</v>
      </c>
      <c r="AB40" s="69" t="s">
        <v>160</v>
      </c>
      <c r="AC40" s="69" t="s">
        <v>160</v>
      </c>
      <c r="AD40" s="69" t="s">
        <v>160</v>
      </c>
      <c r="AE40" s="69" t="s">
        <v>160</v>
      </c>
      <c r="AF40" s="69" t="s">
        <v>160</v>
      </c>
      <c r="AG40" s="69" t="s">
        <v>160</v>
      </c>
      <c r="AH40" s="69" t="s">
        <v>160</v>
      </c>
      <c r="AI40" s="69" t="s">
        <v>160</v>
      </c>
      <c r="AJ40" s="69" t="s">
        <v>160</v>
      </c>
      <c r="AK40" s="69" t="s">
        <v>160</v>
      </c>
      <c r="AL40" s="69" t="s">
        <v>160</v>
      </c>
      <c r="AM40" s="69" t="s">
        <v>160</v>
      </c>
      <c r="AN40" s="69" t="s">
        <v>160</v>
      </c>
      <c r="AO40" s="69" t="s">
        <v>160</v>
      </c>
      <c r="AP40" s="69" t="s">
        <v>160</v>
      </c>
      <c r="AQ40" s="69" t="s">
        <v>160</v>
      </c>
      <c r="AR40" s="69" t="s">
        <v>160</v>
      </c>
      <c r="AS40" s="69" t="s">
        <v>160</v>
      </c>
      <c r="AT40" s="69" t="s">
        <v>160</v>
      </c>
      <c r="AU40" s="69" t="s">
        <v>160</v>
      </c>
      <c r="AV40" s="69" t="s">
        <v>160</v>
      </c>
      <c r="AW40" s="69" t="s">
        <v>160</v>
      </c>
      <c r="AX40" s="69" t="s">
        <v>160</v>
      </c>
      <c r="AY40" s="69" t="s">
        <v>160</v>
      </c>
      <c r="AZ40" s="69" t="s">
        <v>160</v>
      </c>
      <c r="BA40" s="69" t="s">
        <v>160</v>
      </c>
      <c r="BB40" s="69" t="s">
        <v>160</v>
      </c>
      <c r="BC40" s="69" t="s">
        <v>160</v>
      </c>
      <c r="BD40" s="69" t="s">
        <v>160</v>
      </c>
      <c r="BE40" s="69" t="s">
        <v>160</v>
      </c>
      <c r="BF40" s="69" t="s">
        <v>160</v>
      </c>
      <c r="BG40" s="69" t="s">
        <v>160</v>
      </c>
      <c r="BH40" s="69" t="s">
        <v>160</v>
      </c>
      <c r="BI40" s="69" t="s">
        <v>160</v>
      </c>
      <c r="BJ40" s="69" t="s">
        <v>160</v>
      </c>
      <c r="BK40" s="69" t="s">
        <v>160</v>
      </c>
      <c r="BL40" s="69" t="s">
        <v>160</v>
      </c>
      <c r="BM40" s="69" t="s">
        <v>160</v>
      </c>
      <c r="BN40" s="69" t="s">
        <v>160</v>
      </c>
      <c r="BO40" s="69" t="s">
        <v>160</v>
      </c>
      <c r="BP40" s="69" t="s">
        <v>160</v>
      </c>
      <c r="BQ40" s="69" t="s">
        <v>160</v>
      </c>
      <c r="BR40" s="69" t="s">
        <v>160</v>
      </c>
      <c r="BS40" s="69" t="s">
        <v>160</v>
      </c>
      <c r="BT40" s="69" t="s">
        <v>160</v>
      </c>
      <c r="BU40" s="69" t="s">
        <v>160</v>
      </c>
      <c r="BV40" s="69" t="s">
        <v>160</v>
      </c>
      <c r="BW40" s="69" t="s">
        <v>160</v>
      </c>
      <c r="BX40" s="69" t="s">
        <v>160</v>
      </c>
      <c r="BY40" s="69" t="s">
        <v>160</v>
      </c>
      <c r="BZ40" s="69" t="s">
        <v>160</v>
      </c>
      <c r="CA40" s="69" t="s">
        <v>160</v>
      </c>
      <c r="CB40" s="69" t="s">
        <v>160</v>
      </c>
      <c r="CC40" s="69" t="s">
        <v>160</v>
      </c>
      <c r="CD40" s="69" t="s">
        <v>160</v>
      </c>
      <c r="CE40" s="69" t="s">
        <v>160</v>
      </c>
      <c r="CF40" s="69" t="s">
        <v>160</v>
      </c>
      <c r="CG40" s="69" t="s">
        <v>160</v>
      </c>
      <c r="CH40" s="69" t="s">
        <v>160</v>
      </c>
      <c r="CI40" s="69" t="s">
        <v>160</v>
      </c>
      <c r="CJ40" s="69" t="s">
        <v>160</v>
      </c>
      <c r="CK40" s="69" t="s">
        <v>160</v>
      </c>
      <c r="CL40" s="69" t="s">
        <v>160</v>
      </c>
      <c r="CM40" s="69" t="s">
        <v>160</v>
      </c>
      <c r="CN40" s="69" t="s">
        <v>160</v>
      </c>
      <c r="CO40" s="69" t="s">
        <v>160</v>
      </c>
      <c r="CP40" s="69" t="s">
        <v>160</v>
      </c>
      <c r="CQ40" s="69" t="s">
        <v>160</v>
      </c>
      <c r="CR40" s="69" t="s">
        <v>160</v>
      </c>
      <c r="CS40" s="69" t="s">
        <v>160</v>
      </c>
      <c r="CT40" s="69" t="s">
        <v>160</v>
      </c>
      <c r="CU40" s="69" t="s">
        <v>160</v>
      </c>
      <c r="CV40" s="69" t="s">
        <v>160</v>
      </c>
      <c r="CW40" s="69" t="s">
        <v>160</v>
      </c>
      <c r="CX40" s="69" t="s">
        <v>160</v>
      </c>
      <c r="CY40" s="69" t="s">
        <v>160</v>
      </c>
      <c r="CZ40" s="69" t="s">
        <v>160</v>
      </c>
      <c r="DA40" s="69" t="s">
        <v>160</v>
      </c>
      <c r="DB40" s="69" t="s">
        <v>160</v>
      </c>
      <c r="DC40" s="69" t="s">
        <v>160</v>
      </c>
      <c r="DD40" s="69" t="s">
        <v>160</v>
      </c>
      <c r="DE40" s="69" t="s">
        <v>160</v>
      </c>
      <c r="DF40" s="69" t="s">
        <v>160</v>
      </c>
      <c r="DG40" s="69" t="s">
        <v>160</v>
      </c>
      <c r="DH40" s="69" t="s">
        <v>160</v>
      </c>
      <c r="DI40" s="69" t="s">
        <v>160</v>
      </c>
      <c r="DJ40" s="69" t="s">
        <v>160</v>
      </c>
      <c r="DK40" s="69" t="s">
        <v>160</v>
      </c>
      <c r="DL40" s="69" t="s">
        <v>160</v>
      </c>
      <c r="DM40" s="69" t="s">
        <v>160</v>
      </c>
      <c r="DN40" s="69" t="s">
        <v>160</v>
      </c>
      <c r="DO40" s="69" t="s">
        <v>160</v>
      </c>
      <c r="DP40" s="69" t="s">
        <v>160</v>
      </c>
      <c r="DQ40" s="69" t="s">
        <v>160</v>
      </c>
      <c r="DR40" s="69" t="s">
        <v>160</v>
      </c>
      <c r="DS40" s="69" t="s">
        <v>160</v>
      </c>
      <c r="DT40" s="69" t="s">
        <v>160</v>
      </c>
      <c r="DU40" s="69" t="s">
        <v>160</v>
      </c>
      <c r="DV40" s="69" t="s">
        <v>160</v>
      </c>
      <c r="DW40" s="69" t="s">
        <v>160</v>
      </c>
      <c r="DX40" s="69" t="s">
        <v>160</v>
      </c>
      <c r="DY40" s="69" t="s">
        <v>160</v>
      </c>
      <c r="DZ40" s="69" t="s">
        <v>160</v>
      </c>
      <c r="EA40" s="69" t="s">
        <v>160</v>
      </c>
      <c r="EB40" s="69" t="s">
        <v>160</v>
      </c>
      <c r="EC40" s="69" t="s">
        <v>160</v>
      </c>
      <c r="ED40" s="69" t="s">
        <v>160</v>
      </c>
      <c r="EE40" s="69" t="s">
        <v>160</v>
      </c>
      <c r="EF40" s="69" t="s">
        <v>160</v>
      </c>
      <c r="EG40" s="69" t="s">
        <v>160</v>
      </c>
      <c r="EH40" s="69" t="s">
        <v>160</v>
      </c>
      <c r="EI40" s="69" t="s">
        <v>160</v>
      </c>
      <c r="EJ40" s="69" t="s">
        <v>160</v>
      </c>
      <c r="EK40" s="69" t="s">
        <v>160</v>
      </c>
      <c r="EL40" s="69" t="s">
        <v>160</v>
      </c>
      <c r="EM40" s="69" t="s">
        <v>160</v>
      </c>
      <c r="EN40" s="69" t="s">
        <v>160</v>
      </c>
      <c r="EO40" s="69" t="s">
        <v>160</v>
      </c>
      <c r="EP40" s="69" t="s">
        <v>160</v>
      </c>
      <c r="EQ40" s="69" t="s">
        <v>160</v>
      </c>
      <c r="ER40" s="69" t="s">
        <v>160</v>
      </c>
      <c r="ES40" s="69" t="s">
        <v>160</v>
      </c>
      <c r="ET40" s="69" t="s">
        <v>160</v>
      </c>
      <c r="EU40" s="69" t="s">
        <v>160</v>
      </c>
      <c r="EV40" s="69" t="s">
        <v>160</v>
      </c>
      <c r="EW40" s="69" t="s">
        <v>160</v>
      </c>
      <c r="EX40" s="69" t="s">
        <v>160</v>
      </c>
      <c r="EY40" s="69" t="s">
        <v>160</v>
      </c>
      <c r="EZ40" s="69" t="s">
        <v>160</v>
      </c>
      <c r="FA40" s="69" t="s">
        <v>160</v>
      </c>
      <c r="FB40" s="69" t="s">
        <v>160</v>
      </c>
      <c r="FC40" s="69" t="s">
        <v>160</v>
      </c>
      <c r="FD40" s="69" t="s">
        <v>160</v>
      </c>
    </row>
    <row r="41" spans="1:160">
      <c r="A41" s="103" t="s">
        <v>441</v>
      </c>
      <c r="B41" s="107" t="s">
        <v>163</v>
      </c>
      <c r="C41" s="122" t="s">
        <v>186</v>
      </c>
      <c r="D41" s="122"/>
      <c r="E41" s="122"/>
      <c r="F41" s="122"/>
      <c r="G41" s="51" t="str">
        <f t="shared" si="0"/>
        <v xml:space="preserve">(Optimization) Test report </v>
      </c>
      <c r="H41" s="51" t="s">
        <v>2</v>
      </c>
      <c r="I41" s="64">
        <v>44743</v>
      </c>
      <c r="J41" s="64">
        <v>45077</v>
      </c>
      <c r="K41" s="64">
        <v>44743</v>
      </c>
      <c r="L41" s="64">
        <v>45061</v>
      </c>
      <c r="M41" s="64" t="s">
        <v>174</v>
      </c>
      <c r="N41" s="64" t="b">
        <f t="shared" si="6"/>
        <v>1</v>
      </c>
      <c r="O41" s="64"/>
      <c r="P41" s="24">
        <v>0.9</v>
      </c>
      <c r="R41" s="51" t="s">
        <v>2</v>
      </c>
      <c r="S41" s="68" t="s">
        <v>160</v>
      </c>
      <c r="T41" s="69" t="s">
        <v>160</v>
      </c>
      <c r="U41" s="69" t="s">
        <v>160</v>
      </c>
      <c r="V41" s="80" t="s">
        <v>160</v>
      </c>
      <c r="W41" s="69" t="s">
        <v>160</v>
      </c>
      <c r="X41" s="69" t="s">
        <v>160</v>
      </c>
      <c r="Y41" s="69" t="s">
        <v>160</v>
      </c>
      <c r="Z41" s="69" t="s">
        <v>160</v>
      </c>
      <c r="AA41" s="69" t="s">
        <v>160</v>
      </c>
      <c r="AB41" s="69" t="s">
        <v>160</v>
      </c>
      <c r="AC41" s="69" t="s">
        <v>160</v>
      </c>
      <c r="AD41" s="69" t="s">
        <v>160</v>
      </c>
      <c r="AE41" s="69" t="s">
        <v>160</v>
      </c>
      <c r="AF41" s="69" t="s">
        <v>160</v>
      </c>
      <c r="AG41" s="69" t="s">
        <v>160</v>
      </c>
      <c r="AH41" s="69" t="s">
        <v>160</v>
      </c>
      <c r="AI41" s="69" t="s">
        <v>160</v>
      </c>
      <c r="AJ41" s="69" t="s">
        <v>160</v>
      </c>
      <c r="AK41" s="69" t="s">
        <v>160</v>
      </c>
      <c r="AL41" s="69" t="s">
        <v>160</v>
      </c>
      <c r="AM41" s="69" t="s">
        <v>160</v>
      </c>
      <c r="AN41" s="69" t="s">
        <v>160</v>
      </c>
      <c r="AO41" s="69" t="s">
        <v>160</v>
      </c>
      <c r="AP41" s="69" t="s">
        <v>160</v>
      </c>
      <c r="AQ41" s="69" t="s">
        <v>160</v>
      </c>
      <c r="AR41" s="69" t="s">
        <v>160</v>
      </c>
      <c r="AS41" s="69" t="s">
        <v>160</v>
      </c>
      <c r="AT41" s="69" t="s">
        <v>160</v>
      </c>
      <c r="AU41" s="69" t="s">
        <v>160</v>
      </c>
      <c r="AV41" s="69" t="s">
        <v>160</v>
      </c>
      <c r="AW41" s="69" t="s">
        <v>160</v>
      </c>
      <c r="AX41" s="69" t="s">
        <v>160</v>
      </c>
      <c r="AY41" s="69" t="s">
        <v>160</v>
      </c>
      <c r="AZ41" s="69" t="s">
        <v>160</v>
      </c>
      <c r="BA41" s="69" t="s">
        <v>160</v>
      </c>
      <c r="BB41" s="69" t="s">
        <v>160</v>
      </c>
      <c r="BC41" s="69" t="s">
        <v>160</v>
      </c>
      <c r="BD41" s="69" t="s">
        <v>160</v>
      </c>
      <c r="BE41" s="69" t="s">
        <v>160</v>
      </c>
      <c r="BF41" s="69" t="s">
        <v>160</v>
      </c>
      <c r="BG41" s="69" t="s">
        <v>160</v>
      </c>
      <c r="BH41" s="69" t="s">
        <v>160</v>
      </c>
      <c r="BI41" s="69" t="s">
        <v>160</v>
      </c>
      <c r="BJ41" s="69" t="s">
        <v>160</v>
      </c>
      <c r="BK41" s="69" t="s">
        <v>160</v>
      </c>
      <c r="BL41" s="69" t="s">
        <v>160</v>
      </c>
      <c r="BM41" s="69" t="s">
        <v>160</v>
      </c>
      <c r="BN41" s="69" t="s">
        <v>160</v>
      </c>
      <c r="BO41" s="69" t="s">
        <v>160</v>
      </c>
      <c r="BP41" s="69" t="s">
        <v>160</v>
      </c>
      <c r="BQ41" s="69" t="s">
        <v>160</v>
      </c>
      <c r="BR41" s="69" t="s">
        <v>160</v>
      </c>
      <c r="BS41" s="69" t="s">
        <v>160</v>
      </c>
      <c r="BT41" s="69" t="s">
        <v>160</v>
      </c>
      <c r="BU41" s="69" t="s">
        <v>160</v>
      </c>
      <c r="BV41" s="69" t="s">
        <v>160</v>
      </c>
      <c r="BW41" s="69" t="s">
        <v>160</v>
      </c>
      <c r="BX41" s="69" t="s">
        <v>160</v>
      </c>
      <c r="BY41" s="69" t="s">
        <v>160</v>
      </c>
      <c r="BZ41" s="69" t="s">
        <v>160</v>
      </c>
      <c r="CA41" s="69" t="s">
        <v>160</v>
      </c>
      <c r="CB41" s="69" t="s">
        <v>160</v>
      </c>
      <c r="CC41" s="69" t="s">
        <v>160</v>
      </c>
      <c r="CD41" s="69" t="s">
        <v>160</v>
      </c>
      <c r="CE41" s="69" t="s">
        <v>160</v>
      </c>
      <c r="CF41" s="69" t="s">
        <v>160</v>
      </c>
      <c r="CG41" s="69" t="s">
        <v>160</v>
      </c>
      <c r="CH41" s="69" t="s">
        <v>160</v>
      </c>
      <c r="CI41" s="69" t="s">
        <v>160</v>
      </c>
      <c r="CJ41" s="69" t="s">
        <v>160</v>
      </c>
      <c r="CK41" s="69" t="s">
        <v>160</v>
      </c>
      <c r="CL41" s="69" t="s">
        <v>160</v>
      </c>
      <c r="CM41" s="69" t="s">
        <v>160</v>
      </c>
      <c r="CN41" s="69" t="s">
        <v>160</v>
      </c>
      <c r="CO41" s="69" t="s">
        <v>160</v>
      </c>
      <c r="CP41" s="69" t="s">
        <v>160</v>
      </c>
      <c r="CQ41" s="69" t="s">
        <v>160</v>
      </c>
      <c r="CR41" s="69" t="s">
        <v>160</v>
      </c>
      <c r="CS41" s="69" t="s">
        <v>160</v>
      </c>
      <c r="CT41" s="69" t="s">
        <v>160</v>
      </c>
      <c r="CU41" s="69" t="s">
        <v>160</v>
      </c>
      <c r="CV41" s="69" t="s">
        <v>160</v>
      </c>
      <c r="CW41" s="69" t="s">
        <v>160</v>
      </c>
      <c r="CX41" s="69" t="s">
        <v>160</v>
      </c>
      <c r="CY41" s="69" t="s">
        <v>160</v>
      </c>
      <c r="CZ41" s="69" t="s">
        <v>160</v>
      </c>
      <c r="DA41" s="69" t="s">
        <v>160</v>
      </c>
      <c r="DB41" s="69" t="s">
        <v>160</v>
      </c>
      <c r="DC41" s="69" t="s">
        <v>160</v>
      </c>
      <c r="DD41" s="69" t="s">
        <v>160</v>
      </c>
      <c r="DE41" s="69" t="s">
        <v>160</v>
      </c>
      <c r="DF41" s="69" t="s">
        <v>160</v>
      </c>
      <c r="DG41" s="69" t="s">
        <v>160</v>
      </c>
      <c r="DH41" s="69" t="s">
        <v>160</v>
      </c>
      <c r="DI41" s="69" t="s">
        <v>160</v>
      </c>
      <c r="DJ41" s="69" t="s">
        <v>160</v>
      </c>
      <c r="DK41" s="69" t="s">
        <v>160</v>
      </c>
      <c r="DL41" s="69" t="s">
        <v>160</v>
      </c>
      <c r="DM41" s="69" t="s">
        <v>160</v>
      </c>
      <c r="DN41" s="69" t="s">
        <v>160</v>
      </c>
      <c r="DO41" s="69" t="s">
        <v>160</v>
      </c>
      <c r="DP41" s="69" t="s">
        <v>160</v>
      </c>
      <c r="DQ41" s="69" t="s">
        <v>160</v>
      </c>
      <c r="DR41" s="69" t="s">
        <v>160</v>
      </c>
      <c r="DS41" s="69" t="s">
        <v>160</v>
      </c>
      <c r="DT41" s="69" t="s">
        <v>160</v>
      </c>
      <c r="DU41" s="69" t="s">
        <v>160</v>
      </c>
      <c r="DV41" s="69" t="s">
        <v>160</v>
      </c>
      <c r="DW41" s="69" t="s">
        <v>160</v>
      </c>
      <c r="DX41" s="69" t="s">
        <v>160</v>
      </c>
      <c r="DY41" s="69" t="s">
        <v>160</v>
      </c>
      <c r="DZ41" s="69" t="s">
        <v>160</v>
      </c>
      <c r="EA41" s="69" t="s">
        <v>160</v>
      </c>
      <c r="EB41" s="69" t="s">
        <v>160</v>
      </c>
      <c r="EC41" s="69" t="s">
        <v>160</v>
      </c>
      <c r="ED41" s="69" t="s">
        <v>160</v>
      </c>
      <c r="EE41" s="69" t="s">
        <v>160</v>
      </c>
      <c r="EF41" s="69" t="s">
        <v>160</v>
      </c>
      <c r="EG41" s="69" t="s">
        <v>160</v>
      </c>
      <c r="EH41" s="69" t="s">
        <v>160</v>
      </c>
      <c r="EI41" s="69" t="s">
        <v>160</v>
      </c>
      <c r="EJ41" s="69" t="s">
        <v>160</v>
      </c>
      <c r="EK41" s="69" t="s">
        <v>160</v>
      </c>
      <c r="EL41" s="69" t="s">
        <v>160</v>
      </c>
      <c r="EM41" s="69" t="s">
        <v>160</v>
      </c>
      <c r="EN41" s="69" t="s">
        <v>160</v>
      </c>
      <c r="EO41" s="69" t="s">
        <v>160</v>
      </c>
      <c r="EP41" s="69" t="s">
        <v>160</v>
      </c>
      <c r="EQ41" s="69" t="s">
        <v>160</v>
      </c>
      <c r="ER41" s="69" t="s">
        <v>160</v>
      </c>
      <c r="ES41" s="69" t="s">
        <v>160</v>
      </c>
      <c r="ET41" s="69" t="s">
        <v>160</v>
      </c>
      <c r="EU41" s="69" t="s">
        <v>160</v>
      </c>
      <c r="EV41" s="69" t="s">
        <v>160</v>
      </c>
      <c r="EW41" s="69" t="s">
        <v>160</v>
      </c>
      <c r="EX41" s="69" t="s">
        <v>160</v>
      </c>
      <c r="EY41" s="69" t="s">
        <v>160</v>
      </c>
      <c r="EZ41" s="69" t="s">
        <v>160</v>
      </c>
      <c r="FA41" s="69" t="s">
        <v>160</v>
      </c>
      <c r="FB41" s="69" t="s">
        <v>160</v>
      </c>
      <c r="FC41" s="69" t="s">
        <v>160</v>
      </c>
      <c r="FD41" s="69" t="s">
        <v>160</v>
      </c>
    </row>
    <row r="42" spans="1:160">
      <c r="A42" s="103" t="s">
        <v>442</v>
      </c>
      <c r="C42" s="50" t="s">
        <v>187</v>
      </c>
      <c r="G42" s="51" t="str">
        <f t="shared" si="0"/>
        <v>Prediction Module</v>
      </c>
      <c r="H42" s="51" t="s">
        <v>2</v>
      </c>
      <c r="I42" s="64"/>
      <c r="J42" s="64"/>
      <c r="K42" s="64"/>
      <c r="L42" s="64"/>
      <c r="M42" s="64"/>
      <c r="N42" s="64" t="b">
        <f t="shared" si="6"/>
        <v>0</v>
      </c>
      <c r="O42" s="64"/>
      <c r="R42" s="51" t="s">
        <v>2</v>
      </c>
      <c r="S42" s="68" t="s">
        <v>160</v>
      </c>
      <c r="T42" s="69" t="s">
        <v>160</v>
      </c>
      <c r="U42" s="69" t="s">
        <v>160</v>
      </c>
      <c r="V42" s="69" t="s">
        <v>160</v>
      </c>
      <c r="W42" s="69" t="s">
        <v>160</v>
      </c>
      <c r="X42" s="69" t="s">
        <v>160</v>
      </c>
      <c r="Y42" s="69" t="s">
        <v>160</v>
      </c>
      <c r="Z42" s="69" t="s">
        <v>160</v>
      </c>
      <c r="AA42" s="69" t="s">
        <v>160</v>
      </c>
      <c r="AB42" s="69" t="s">
        <v>160</v>
      </c>
      <c r="AC42" s="69" t="s">
        <v>160</v>
      </c>
      <c r="AD42" s="69" t="s">
        <v>160</v>
      </c>
      <c r="AE42" s="69" t="s">
        <v>160</v>
      </c>
      <c r="AF42" s="69" t="s">
        <v>160</v>
      </c>
      <c r="AG42" s="69" t="s">
        <v>160</v>
      </c>
      <c r="AH42" s="69" t="s">
        <v>160</v>
      </c>
      <c r="AI42" s="69" t="s">
        <v>160</v>
      </c>
      <c r="AJ42" s="69" t="s">
        <v>160</v>
      </c>
      <c r="AK42" s="69" t="s">
        <v>160</v>
      </c>
      <c r="AL42" s="69" t="s">
        <v>160</v>
      </c>
      <c r="AM42" s="69" t="s">
        <v>160</v>
      </c>
      <c r="AN42" s="69" t="s">
        <v>160</v>
      </c>
      <c r="AO42" s="69" t="s">
        <v>160</v>
      </c>
      <c r="AP42" s="69" t="s">
        <v>160</v>
      </c>
      <c r="AQ42" s="69" t="s">
        <v>160</v>
      </c>
      <c r="AR42" s="69" t="s">
        <v>160</v>
      </c>
      <c r="AS42" s="69" t="s">
        <v>160</v>
      </c>
      <c r="AT42" s="69" t="s">
        <v>160</v>
      </c>
      <c r="AU42" s="69" t="s">
        <v>160</v>
      </c>
      <c r="AV42" s="69" t="s">
        <v>160</v>
      </c>
      <c r="AW42" s="69" t="s">
        <v>160</v>
      </c>
      <c r="AX42" s="69" t="s">
        <v>160</v>
      </c>
      <c r="AY42" s="69" t="s">
        <v>160</v>
      </c>
      <c r="AZ42" s="69" t="s">
        <v>160</v>
      </c>
      <c r="BA42" s="69" t="s">
        <v>160</v>
      </c>
      <c r="BB42" s="69" t="s">
        <v>160</v>
      </c>
      <c r="BC42" s="69" t="s">
        <v>160</v>
      </c>
      <c r="BD42" s="69" t="s">
        <v>160</v>
      </c>
      <c r="BE42" s="69" t="s">
        <v>160</v>
      </c>
      <c r="BF42" s="69" t="s">
        <v>160</v>
      </c>
      <c r="BG42" s="69" t="s">
        <v>160</v>
      </c>
      <c r="BH42" s="69" t="s">
        <v>160</v>
      </c>
      <c r="BI42" s="69" t="s">
        <v>160</v>
      </c>
      <c r="BJ42" s="69" t="s">
        <v>160</v>
      </c>
      <c r="BK42" s="69" t="s">
        <v>160</v>
      </c>
      <c r="BL42" s="69" t="s">
        <v>160</v>
      </c>
      <c r="BM42" s="69" t="s">
        <v>160</v>
      </c>
      <c r="BN42" s="69" t="s">
        <v>160</v>
      </c>
      <c r="BO42" s="69" t="s">
        <v>160</v>
      </c>
      <c r="BP42" s="69" t="s">
        <v>160</v>
      </c>
      <c r="BQ42" s="69" t="s">
        <v>160</v>
      </c>
      <c r="BR42" s="69" t="s">
        <v>160</v>
      </c>
      <c r="BS42" s="69" t="s">
        <v>160</v>
      </c>
      <c r="BT42" s="69" t="s">
        <v>160</v>
      </c>
      <c r="BU42" s="69" t="s">
        <v>160</v>
      </c>
      <c r="BV42" s="69" t="s">
        <v>160</v>
      </c>
      <c r="BW42" s="69" t="s">
        <v>160</v>
      </c>
      <c r="BX42" s="69" t="s">
        <v>160</v>
      </c>
      <c r="BY42" s="69" t="s">
        <v>160</v>
      </c>
      <c r="BZ42" s="69" t="s">
        <v>160</v>
      </c>
      <c r="CA42" s="69" t="s">
        <v>160</v>
      </c>
      <c r="CB42" s="69" t="s">
        <v>160</v>
      </c>
      <c r="CC42" s="69" t="s">
        <v>160</v>
      </c>
      <c r="CD42" s="69" t="s">
        <v>160</v>
      </c>
      <c r="CE42" s="69" t="s">
        <v>160</v>
      </c>
      <c r="CF42" s="69" t="s">
        <v>160</v>
      </c>
      <c r="CG42" s="69" t="s">
        <v>160</v>
      </c>
      <c r="CH42" s="69" t="s">
        <v>160</v>
      </c>
      <c r="CI42" s="69" t="s">
        <v>160</v>
      </c>
      <c r="CJ42" s="69" t="s">
        <v>160</v>
      </c>
      <c r="CK42" s="69" t="s">
        <v>160</v>
      </c>
      <c r="CL42" s="69" t="s">
        <v>160</v>
      </c>
      <c r="CM42" s="69" t="s">
        <v>160</v>
      </c>
      <c r="CN42" s="69" t="s">
        <v>160</v>
      </c>
      <c r="CO42" s="69" t="s">
        <v>160</v>
      </c>
      <c r="CP42" s="69" t="s">
        <v>160</v>
      </c>
      <c r="CQ42" s="69" t="s">
        <v>160</v>
      </c>
      <c r="CR42" s="69" t="s">
        <v>160</v>
      </c>
      <c r="CS42" s="69" t="s">
        <v>160</v>
      </c>
      <c r="CT42" s="69" t="s">
        <v>160</v>
      </c>
      <c r="CU42" s="69" t="s">
        <v>160</v>
      </c>
      <c r="CV42" s="69" t="s">
        <v>160</v>
      </c>
      <c r="CW42" s="69" t="s">
        <v>160</v>
      </c>
      <c r="CX42" s="69" t="s">
        <v>160</v>
      </c>
      <c r="CY42" s="69" t="s">
        <v>160</v>
      </c>
      <c r="CZ42" s="69" t="s">
        <v>160</v>
      </c>
      <c r="DA42" s="69" t="s">
        <v>160</v>
      </c>
      <c r="DB42" s="69" t="s">
        <v>160</v>
      </c>
      <c r="DC42" s="69" t="s">
        <v>160</v>
      </c>
      <c r="DD42" s="69" t="s">
        <v>160</v>
      </c>
      <c r="DE42" s="69" t="s">
        <v>160</v>
      </c>
      <c r="DF42" s="69" t="s">
        <v>160</v>
      </c>
      <c r="DG42" s="69" t="s">
        <v>160</v>
      </c>
      <c r="DH42" s="69" t="s">
        <v>160</v>
      </c>
      <c r="DI42" s="69" t="s">
        <v>160</v>
      </c>
      <c r="DJ42" s="69" t="s">
        <v>160</v>
      </c>
      <c r="DK42" s="69" t="s">
        <v>160</v>
      </c>
      <c r="DL42" s="69" t="s">
        <v>160</v>
      </c>
      <c r="DM42" s="69" t="s">
        <v>160</v>
      </c>
      <c r="DN42" s="69" t="s">
        <v>160</v>
      </c>
      <c r="DO42" s="69" t="s">
        <v>160</v>
      </c>
      <c r="DP42" s="69" t="s">
        <v>160</v>
      </c>
      <c r="DQ42" s="69" t="s">
        <v>160</v>
      </c>
      <c r="DR42" s="69" t="s">
        <v>160</v>
      </c>
      <c r="DS42" s="69" t="s">
        <v>160</v>
      </c>
      <c r="DT42" s="69" t="s">
        <v>160</v>
      </c>
      <c r="DU42" s="69" t="s">
        <v>160</v>
      </c>
      <c r="DV42" s="69" t="s">
        <v>160</v>
      </c>
      <c r="DW42" s="69" t="s">
        <v>160</v>
      </c>
      <c r="DX42" s="69" t="s">
        <v>160</v>
      </c>
      <c r="DY42" s="69" t="s">
        <v>160</v>
      </c>
      <c r="DZ42" s="69" t="s">
        <v>160</v>
      </c>
      <c r="EA42" s="69" t="s">
        <v>160</v>
      </c>
      <c r="EB42" s="69" t="s">
        <v>160</v>
      </c>
      <c r="EC42" s="69" t="s">
        <v>160</v>
      </c>
      <c r="ED42" s="69" t="s">
        <v>160</v>
      </c>
      <c r="EE42" s="69" t="s">
        <v>160</v>
      </c>
      <c r="EF42" s="69" t="s">
        <v>160</v>
      </c>
      <c r="EG42" s="69" t="s">
        <v>160</v>
      </c>
      <c r="EH42" s="69" t="s">
        <v>160</v>
      </c>
      <c r="EI42" s="69" t="s">
        <v>160</v>
      </c>
      <c r="EJ42" s="69" t="s">
        <v>160</v>
      </c>
      <c r="EK42" s="69" t="s">
        <v>160</v>
      </c>
      <c r="EL42" s="69" t="s">
        <v>160</v>
      </c>
      <c r="EM42" s="69" t="s">
        <v>160</v>
      </c>
      <c r="EN42" s="69" t="s">
        <v>160</v>
      </c>
      <c r="EO42" s="69" t="s">
        <v>160</v>
      </c>
      <c r="EP42" s="69" t="s">
        <v>160</v>
      </c>
      <c r="EQ42" s="69" t="s">
        <v>160</v>
      </c>
      <c r="ER42" s="69" t="s">
        <v>160</v>
      </c>
      <c r="ES42" s="69" t="s">
        <v>160</v>
      </c>
      <c r="ET42" s="69" t="s">
        <v>160</v>
      </c>
      <c r="EU42" s="69" t="s">
        <v>160</v>
      </c>
      <c r="EV42" s="69" t="s">
        <v>160</v>
      </c>
      <c r="EW42" s="69" t="s">
        <v>160</v>
      </c>
      <c r="EX42" s="69" t="s">
        <v>160</v>
      </c>
      <c r="EY42" s="69" t="s">
        <v>160</v>
      </c>
      <c r="EZ42" s="69" t="s">
        <v>160</v>
      </c>
      <c r="FA42" s="69" t="s">
        <v>160</v>
      </c>
      <c r="FB42" s="69" t="s">
        <v>160</v>
      </c>
      <c r="FC42" s="69" t="s">
        <v>160</v>
      </c>
      <c r="FD42" s="69" t="s">
        <v>160</v>
      </c>
    </row>
    <row r="43" spans="1:160">
      <c r="A43" s="103" t="s">
        <v>443</v>
      </c>
      <c r="D43" s="51" t="s">
        <v>188</v>
      </c>
      <c r="G43" s="51" t="str">
        <f t="shared" si="0"/>
        <v>Note : Sky Cam cloud analysis based GHI prediction, 5 minutes resolution</v>
      </c>
      <c r="H43" s="51" t="s">
        <v>2</v>
      </c>
      <c r="I43" s="64"/>
      <c r="J43" s="64"/>
      <c r="K43" s="64"/>
      <c r="L43" s="64"/>
      <c r="M43" s="64"/>
      <c r="N43" s="64" t="b">
        <f t="shared" si="6"/>
        <v>0</v>
      </c>
      <c r="O43" s="64"/>
      <c r="R43" s="51" t="s">
        <v>2</v>
      </c>
      <c r="S43" s="68" t="s">
        <v>160</v>
      </c>
      <c r="T43" s="69" t="s">
        <v>160</v>
      </c>
      <c r="U43" s="69" t="s">
        <v>160</v>
      </c>
      <c r="V43" s="69" t="s">
        <v>160</v>
      </c>
      <c r="W43" s="69" t="s">
        <v>160</v>
      </c>
      <c r="X43" s="69" t="s">
        <v>160</v>
      </c>
      <c r="Y43" s="69" t="s">
        <v>160</v>
      </c>
      <c r="Z43" s="69" t="s">
        <v>160</v>
      </c>
      <c r="AA43" s="69" t="s">
        <v>160</v>
      </c>
      <c r="AB43" s="69" t="s">
        <v>160</v>
      </c>
      <c r="AC43" s="69" t="s">
        <v>160</v>
      </c>
      <c r="AD43" s="69" t="s">
        <v>160</v>
      </c>
      <c r="AE43" s="69" t="s">
        <v>160</v>
      </c>
      <c r="AF43" s="69" t="s">
        <v>160</v>
      </c>
      <c r="AG43" s="69" t="s">
        <v>160</v>
      </c>
      <c r="AH43" s="69" t="s">
        <v>160</v>
      </c>
      <c r="AI43" s="69" t="s">
        <v>160</v>
      </c>
      <c r="AJ43" s="69" t="s">
        <v>160</v>
      </c>
      <c r="AK43" s="69" t="s">
        <v>160</v>
      </c>
      <c r="AL43" s="69" t="s">
        <v>160</v>
      </c>
      <c r="AM43" s="69" t="s">
        <v>160</v>
      </c>
      <c r="AN43" s="69" t="s">
        <v>160</v>
      </c>
      <c r="AO43" s="69" t="s">
        <v>160</v>
      </c>
      <c r="AP43" s="69" t="s">
        <v>160</v>
      </c>
      <c r="AQ43" s="69" t="s">
        <v>160</v>
      </c>
      <c r="AR43" s="69" t="s">
        <v>160</v>
      </c>
      <c r="AS43" s="69" t="s">
        <v>160</v>
      </c>
      <c r="AT43" s="69" t="s">
        <v>160</v>
      </c>
      <c r="AU43" s="69" t="s">
        <v>160</v>
      </c>
      <c r="AV43" s="69" t="s">
        <v>160</v>
      </c>
      <c r="AW43" s="69" t="s">
        <v>160</v>
      </c>
      <c r="AX43" s="69" t="s">
        <v>160</v>
      </c>
      <c r="AY43" s="69" t="s">
        <v>160</v>
      </c>
      <c r="AZ43" s="69" t="s">
        <v>160</v>
      </c>
      <c r="BA43" s="69" t="s">
        <v>160</v>
      </c>
      <c r="BB43" s="69" t="s">
        <v>160</v>
      </c>
      <c r="BC43" s="69" t="s">
        <v>160</v>
      </c>
      <c r="BD43" s="69" t="s">
        <v>160</v>
      </c>
      <c r="BE43" s="69" t="s">
        <v>160</v>
      </c>
      <c r="BF43" s="69" t="s">
        <v>160</v>
      </c>
      <c r="BG43" s="69" t="s">
        <v>160</v>
      </c>
      <c r="BH43" s="69" t="s">
        <v>160</v>
      </c>
      <c r="BI43" s="69" t="s">
        <v>160</v>
      </c>
      <c r="BJ43" s="69" t="s">
        <v>160</v>
      </c>
      <c r="BK43" s="69" t="s">
        <v>160</v>
      </c>
      <c r="BL43" s="69" t="s">
        <v>160</v>
      </c>
      <c r="BM43" s="69" t="s">
        <v>160</v>
      </c>
      <c r="BN43" s="69" t="s">
        <v>160</v>
      </c>
      <c r="BO43" s="69" t="s">
        <v>160</v>
      </c>
      <c r="BP43" s="69" t="s">
        <v>160</v>
      </c>
      <c r="BQ43" s="69" t="s">
        <v>160</v>
      </c>
      <c r="BR43" s="69" t="s">
        <v>160</v>
      </c>
      <c r="BS43" s="69" t="s">
        <v>160</v>
      </c>
      <c r="BT43" s="69" t="s">
        <v>160</v>
      </c>
      <c r="BU43" s="69" t="s">
        <v>160</v>
      </c>
      <c r="BV43" s="69" t="s">
        <v>160</v>
      </c>
      <c r="BW43" s="69" t="s">
        <v>160</v>
      </c>
      <c r="BX43" s="69" t="s">
        <v>160</v>
      </c>
      <c r="BY43" s="69" t="s">
        <v>160</v>
      </c>
      <c r="BZ43" s="69" t="s">
        <v>160</v>
      </c>
      <c r="CA43" s="69" t="s">
        <v>160</v>
      </c>
      <c r="CB43" s="69" t="s">
        <v>160</v>
      </c>
      <c r="CC43" s="69" t="s">
        <v>160</v>
      </c>
      <c r="CD43" s="69" t="s">
        <v>160</v>
      </c>
      <c r="CE43" s="69" t="s">
        <v>160</v>
      </c>
      <c r="CF43" s="69" t="s">
        <v>160</v>
      </c>
      <c r="CG43" s="69" t="s">
        <v>160</v>
      </c>
      <c r="CH43" s="69" t="s">
        <v>160</v>
      </c>
      <c r="CI43" s="69" t="s">
        <v>160</v>
      </c>
      <c r="CJ43" s="69" t="s">
        <v>160</v>
      </c>
      <c r="CK43" s="69" t="s">
        <v>160</v>
      </c>
      <c r="CL43" s="69" t="s">
        <v>160</v>
      </c>
      <c r="CM43" s="69" t="s">
        <v>160</v>
      </c>
      <c r="CN43" s="69" t="s">
        <v>160</v>
      </c>
      <c r="CO43" s="69" t="s">
        <v>160</v>
      </c>
      <c r="CP43" s="69" t="s">
        <v>160</v>
      </c>
      <c r="CQ43" s="69" t="s">
        <v>160</v>
      </c>
      <c r="CR43" s="69" t="s">
        <v>160</v>
      </c>
      <c r="CS43" s="69" t="s">
        <v>160</v>
      </c>
      <c r="CT43" s="69" t="s">
        <v>160</v>
      </c>
      <c r="CU43" s="69" t="s">
        <v>160</v>
      </c>
      <c r="CV43" s="69" t="s">
        <v>160</v>
      </c>
      <c r="CW43" s="69" t="s">
        <v>160</v>
      </c>
      <c r="CX43" s="69" t="s">
        <v>160</v>
      </c>
      <c r="CY43" s="69" t="s">
        <v>160</v>
      </c>
      <c r="CZ43" s="69" t="s">
        <v>160</v>
      </c>
      <c r="DA43" s="69" t="s">
        <v>160</v>
      </c>
      <c r="DB43" s="69" t="s">
        <v>160</v>
      </c>
      <c r="DC43" s="69" t="s">
        <v>160</v>
      </c>
      <c r="DD43" s="69" t="s">
        <v>160</v>
      </c>
      <c r="DE43" s="69" t="s">
        <v>160</v>
      </c>
      <c r="DF43" s="69" t="s">
        <v>160</v>
      </c>
      <c r="DG43" s="69" t="s">
        <v>160</v>
      </c>
      <c r="DH43" s="69" t="s">
        <v>160</v>
      </c>
      <c r="DI43" s="69" t="s">
        <v>160</v>
      </c>
      <c r="DJ43" s="69" t="s">
        <v>160</v>
      </c>
      <c r="DK43" s="69" t="s">
        <v>160</v>
      </c>
      <c r="DL43" s="69" t="s">
        <v>160</v>
      </c>
      <c r="DM43" s="69" t="s">
        <v>160</v>
      </c>
      <c r="DN43" s="69" t="s">
        <v>160</v>
      </c>
      <c r="DO43" s="69" t="s">
        <v>160</v>
      </c>
      <c r="DP43" s="69" t="s">
        <v>160</v>
      </c>
      <c r="DQ43" s="69" t="s">
        <v>160</v>
      </c>
      <c r="DR43" s="69" t="s">
        <v>160</v>
      </c>
      <c r="DS43" s="69" t="s">
        <v>160</v>
      </c>
      <c r="DT43" s="69" t="s">
        <v>160</v>
      </c>
      <c r="DU43" s="69" t="s">
        <v>160</v>
      </c>
      <c r="DV43" s="69" t="s">
        <v>160</v>
      </c>
      <c r="DW43" s="69" t="s">
        <v>160</v>
      </c>
      <c r="DX43" s="69" t="s">
        <v>160</v>
      </c>
      <c r="DY43" s="69" t="s">
        <v>160</v>
      </c>
      <c r="DZ43" s="69" t="s">
        <v>160</v>
      </c>
      <c r="EA43" s="69" t="s">
        <v>160</v>
      </c>
      <c r="EB43" s="69" t="s">
        <v>160</v>
      </c>
      <c r="EC43" s="69" t="s">
        <v>160</v>
      </c>
      <c r="ED43" s="69" t="s">
        <v>160</v>
      </c>
      <c r="EE43" s="69" t="s">
        <v>160</v>
      </c>
      <c r="EF43" s="69" t="s">
        <v>160</v>
      </c>
      <c r="EG43" s="69" t="s">
        <v>160</v>
      </c>
      <c r="EH43" s="69" t="s">
        <v>160</v>
      </c>
      <c r="EI43" s="69" t="s">
        <v>160</v>
      </c>
      <c r="EJ43" s="69" t="s">
        <v>160</v>
      </c>
      <c r="EK43" s="69" t="s">
        <v>160</v>
      </c>
      <c r="EL43" s="69" t="s">
        <v>160</v>
      </c>
      <c r="EM43" s="69" t="s">
        <v>160</v>
      </c>
      <c r="EN43" s="69" t="s">
        <v>160</v>
      </c>
      <c r="EO43" s="69" t="s">
        <v>160</v>
      </c>
      <c r="EP43" s="69" t="s">
        <v>160</v>
      </c>
      <c r="EQ43" s="69" t="s">
        <v>160</v>
      </c>
      <c r="ER43" s="69" t="s">
        <v>160</v>
      </c>
      <c r="ES43" s="69" t="s">
        <v>160</v>
      </c>
      <c r="ET43" s="69" t="s">
        <v>160</v>
      </c>
      <c r="EU43" s="69" t="s">
        <v>160</v>
      </c>
      <c r="EV43" s="69" t="s">
        <v>160</v>
      </c>
      <c r="EW43" s="69" t="s">
        <v>160</v>
      </c>
      <c r="EX43" s="69" t="s">
        <v>160</v>
      </c>
      <c r="EY43" s="69" t="s">
        <v>160</v>
      </c>
      <c r="EZ43" s="69" t="s">
        <v>160</v>
      </c>
      <c r="FA43" s="69" t="s">
        <v>160</v>
      </c>
      <c r="FB43" s="69" t="s">
        <v>160</v>
      </c>
      <c r="FC43" s="69" t="s">
        <v>160</v>
      </c>
      <c r="FD43" s="69" t="s">
        <v>160</v>
      </c>
    </row>
    <row r="44" spans="1:160">
      <c r="A44" s="103" t="s">
        <v>444</v>
      </c>
      <c r="D44" s="51" t="s">
        <v>189</v>
      </c>
      <c r="G44" s="51" t="str">
        <f t="shared" si="0"/>
        <v>Note : Load and PV prediction at 15 to 30 minutes resolution </v>
      </c>
      <c r="H44" s="51" t="s">
        <v>2</v>
      </c>
      <c r="I44" s="64"/>
      <c r="J44" s="64"/>
      <c r="K44" s="64"/>
      <c r="L44" s="64"/>
      <c r="M44" s="64"/>
      <c r="N44" s="64" t="b">
        <f t="shared" si="6"/>
        <v>0</v>
      </c>
      <c r="O44" s="64"/>
      <c r="R44" s="51" t="s">
        <v>2</v>
      </c>
      <c r="S44" s="68" t="s">
        <v>160</v>
      </c>
      <c r="T44" s="69" t="s">
        <v>160</v>
      </c>
      <c r="U44" s="69" t="s">
        <v>160</v>
      </c>
      <c r="V44" s="69" t="s">
        <v>160</v>
      </c>
      <c r="W44" s="69" t="s">
        <v>160</v>
      </c>
      <c r="X44" s="69" t="s">
        <v>160</v>
      </c>
      <c r="Y44" s="69" t="s">
        <v>160</v>
      </c>
      <c r="Z44" s="69" t="s">
        <v>160</v>
      </c>
      <c r="AA44" s="69" t="s">
        <v>160</v>
      </c>
      <c r="AB44" s="69" t="s">
        <v>160</v>
      </c>
      <c r="AC44" s="69" t="s">
        <v>160</v>
      </c>
      <c r="AD44" s="69" t="s">
        <v>160</v>
      </c>
      <c r="AE44" s="69" t="s">
        <v>160</v>
      </c>
      <c r="AF44" s="69" t="s">
        <v>160</v>
      </c>
      <c r="AG44" s="69" t="s">
        <v>160</v>
      </c>
      <c r="AH44" s="69" t="s">
        <v>160</v>
      </c>
      <c r="AI44" s="69" t="s">
        <v>160</v>
      </c>
      <c r="AJ44" s="69" t="s">
        <v>160</v>
      </c>
      <c r="AK44" s="69" t="s">
        <v>160</v>
      </c>
      <c r="AL44" s="69" t="s">
        <v>160</v>
      </c>
      <c r="AM44" s="69" t="s">
        <v>160</v>
      </c>
      <c r="AN44" s="69" t="s">
        <v>160</v>
      </c>
      <c r="AO44" s="69" t="s">
        <v>160</v>
      </c>
      <c r="AP44" s="69" t="s">
        <v>160</v>
      </c>
      <c r="AQ44" s="69" t="s">
        <v>160</v>
      </c>
      <c r="AR44" s="69" t="s">
        <v>160</v>
      </c>
      <c r="AS44" s="69" t="s">
        <v>160</v>
      </c>
      <c r="AT44" s="69" t="s">
        <v>160</v>
      </c>
      <c r="AU44" s="69" t="s">
        <v>160</v>
      </c>
      <c r="AV44" s="69" t="s">
        <v>160</v>
      </c>
      <c r="AW44" s="69" t="s">
        <v>160</v>
      </c>
      <c r="AX44" s="69" t="s">
        <v>160</v>
      </c>
      <c r="AY44" s="69" t="s">
        <v>160</v>
      </c>
      <c r="AZ44" s="69" t="s">
        <v>160</v>
      </c>
      <c r="BA44" s="69" t="s">
        <v>160</v>
      </c>
      <c r="BB44" s="69" t="s">
        <v>160</v>
      </c>
      <c r="BC44" s="69" t="s">
        <v>160</v>
      </c>
      <c r="BD44" s="69" t="s">
        <v>160</v>
      </c>
      <c r="BE44" s="69" t="s">
        <v>160</v>
      </c>
      <c r="BF44" s="69" t="s">
        <v>160</v>
      </c>
      <c r="BG44" s="69" t="s">
        <v>160</v>
      </c>
      <c r="BH44" s="69" t="s">
        <v>160</v>
      </c>
      <c r="BI44" s="69" t="s">
        <v>160</v>
      </c>
      <c r="BJ44" s="69" t="s">
        <v>160</v>
      </c>
      <c r="BK44" s="69" t="s">
        <v>160</v>
      </c>
      <c r="BL44" s="69" t="s">
        <v>160</v>
      </c>
      <c r="BM44" s="69" t="s">
        <v>160</v>
      </c>
      <c r="BN44" s="69" t="s">
        <v>160</v>
      </c>
      <c r="BO44" s="69" t="s">
        <v>160</v>
      </c>
      <c r="BP44" s="69" t="s">
        <v>160</v>
      </c>
      <c r="BQ44" s="69" t="s">
        <v>160</v>
      </c>
      <c r="BR44" s="69" t="s">
        <v>160</v>
      </c>
      <c r="BS44" s="69" t="s">
        <v>160</v>
      </c>
      <c r="BT44" s="69" t="s">
        <v>160</v>
      </c>
      <c r="BU44" s="69" t="s">
        <v>160</v>
      </c>
      <c r="BV44" s="69" t="s">
        <v>160</v>
      </c>
      <c r="BW44" s="69" t="s">
        <v>160</v>
      </c>
      <c r="BX44" s="69" t="s">
        <v>160</v>
      </c>
      <c r="BY44" s="69" t="s">
        <v>160</v>
      </c>
      <c r="BZ44" s="69" t="s">
        <v>160</v>
      </c>
      <c r="CA44" s="69" t="s">
        <v>160</v>
      </c>
      <c r="CB44" s="69" t="s">
        <v>160</v>
      </c>
      <c r="CC44" s="69" t="s">
        <v>160</v>
      </c>
      <c r="CD44" s="69" t="s">
        <v>160</v>
      </c>
      <c r="CE44" s="69" t="s">
        <v>160</v>
      </c>
      <c r="CF44" s="69" t="s">
        <v>160</v>
      </c>
      <c r="CG44" s="69" t="s">
        <v>160</v>
      </c>
      <c r="CH44" s="69" t="s">
        <v>160</v>
      </c>
      <c r="CI44" s="69" t="s">
        <v>160</v>
      </c>
      <c r="CJ44" s="69" t="s">
        <v>160</v>
      </c>
      <c r="CK44" s="69" t="s">
        <v>160</v>
      </c>
      <c r="CL44" s="69" t="s">
        <v>160</v>
      </c>
      <c r="CM44" s="69" t="s">
        <v>160</v>
      </c>
      <c r="CN44" s="69" t="s">
        <v>160</v>
      </c>
      <c r="CO44" s="69" t="s">
        <v>160</v>
      </c>
      <c r="CP44" s="69" t="s">
        <v>160</v>
      </c>
      <c r="CQ44" s="69" t="s">
        <v>160</v>
      </c>
      <c r="CR44" s="69" t="s">
        <v>160</v>
      </c>
      <c r="CS44" s="69" t="s">
        <v>160</v>
      </c>
      <c r="CT44" s="69" t="s">
        <v>160</v>
      </c>
      <c r="CU44" s="69" t="s">
        <v>160</v>
      </c>
      <c r="CV44" s="69" t="s">
        <v>160</v>
      </c>
      <c r="CW44" s="69" t="s">
        <v>160</v>
      </c>
      <c r="CX44" s="69" t="s">
        <v>160</v>
      </c>
      <c r="CY44" s="69" t="s">
        <v>160</v>
      </c>
      <c r="CZ44" s="69" t="s">
        <v>160</v>
      </c>
      <c r="DA44" s="69" t="s">
        <v>160</v>
      </c>
      <c r="DB44" s="69" t="s">
        <v>160</v>
      </c>
      <c r="DC44" s="69" t="s">
        <v>160</v>
      </c>
      <c r="DD44" s="69" t="s">
        <v>160</v>
      </c>
      <c r="DE44" s="69" t="s">
        <v>160</v>
      </c>
      <c r="DF44" s="69" t="s">
        <v>160</v>
      </c>
      <c r="DG44" s="69" t="s">
        <v>160</v>
      </c>
      <c r="DH44" s="69" t="s">
        <v>160</v>
      </c>
      <c r="DI44" s="69" t="s">
        <v>160</v>
      </c>
      <c r="DJ44" s="69" t="s">
        <v>160</v>
      </c>
      <c r="DK44" s="69" t="s">
        <v>160</v>
      </c>
      <c r="DL44" s="69" t="s">
        <v>160</v>
      </c>
      <c r="DM44" s="69" t="s">
        <v>160</v>
      </c>
      <c r="DN44" s="69" t="s">
        <v>160</v>
      </c>
      <c r="DO44" s="69" t="s">
        <v>160</v>
      </c>
      <c r="DP44" s="69" t="s">
        <v>160</v>
      </c>
      <c r="DQ44" s="69" t="s">
        <v>160</v>
      </c>
      <c r="DR44" s="69" t="s">
        <v>160</v>
      </c>
      <c r="DS44" s="69" t="s">
        <v>160</v>
      </c>
      <c r="DT44" s="69" t="s">
        <v>160</v>
      </c>
      <c r="DU44" s="69" t="s">
        <v>160</v>
      </c>
      <c r="DV44" s="69" t="s">
        <v>160</v>
      </c>
      <c r="DW44" s="69" t="s">
        <v>160</v>
      </c>
      <c r="DX44" s="69" t="s">
        <v>160</v>
      </c>
      <c r="DY44" s="69" t="s">
        <v>160</v>
      </c>
      <c r="DZ44" s="69" t="s">
        <v>160</v>
      </c>
      <c r="EA44" s="69" t="s">
        <v>160</v>
      </c>
      <c r="EB44" s="69" t="s">
        <v>160</v>
      </c>
      <c r="EC44" s="69" t="s">
        <v>160</v>
      </c>
      <c r="ED44" s="69" t="s">
        <v>160</v>
      </c>
      <c r="EE44" s="69" t="s">
        <v>160</v>
      </c>
      <c r="EF44" s="69" t="s">
        <v>160</v>
      </c>
      <c r="EG44" s="69" t="s">
        <v>160</v>
      </c>
      <c r="EH44" s="69" t="s">
        <v>160</v>
      </c>
      <c r="EI44" s="69" t="s">
        <v>160</v>
      </c>
      <c r="EJ44" s="69" t="s">
        <v>160</v>
      </c>
      <c r="EK44" s="69" t="s">
        <v>160</v>
      </c>
      <c r="EL44" s="69" t="s">
        <v>160</v>
      </c>
      <c r="EM44" s="69" t="s">
        <v>160</v>
      </c>
      <c r="EN44" s="69" t="s">
        <v>160</v>
      </c>
      <c r="EO44" s="69" t="s">
        <v>160</v>
      </c>
      <c r="EP44" s="69" t="s">
        <v>160</v>
      </c>
      <c r="EQ44" s="69" t="s">
        <v>160</v>
      </c>
      <c r="ER44" s="69" t="s">
        <v>160</v>
      </c>
      <c r="ES44" s="69" t="s">
        <v>160</v>
      </c>
      <c r="ET44" s="69" t="s">
        <v>160</v>
      </c>
      <c r="EU44" s="69" t="s">
        <v>160</v>
      </c>
      <c r="EV44" s="69" t="s">
        <v>160</v>
      </c>
      <c r="EW44" s="69" t="s">
        <v>160</v>
      </c>
      <c r="EX44" s="69" t="s">
        <v>160</v>
      </c>
      <c r="EY44" s="69" t="s">
        <v>160</v>
      </c>
      <c r="EZ44" s="69" t="s">
        <v>160</v>
      </c>
      <c r="FA44" s="69" t="s">
        <v>160</v>
      </c>
      <c r="FB44" s="69" t="s">
        <v>160</v>
      </c>
      <c r="FC44" s="69" t="s">
        <v>160</v>
      </c>
      <c r="FD44" s="69" t="s">
        <v>160</v>
      </c>
    </row>
    <row r="45" spans="1:160">
      <c r="A45" s="103" t="s">
        <v>445</v>
      </c>
      <c r="B45" s="20" t="s">
        <v>163</v>
      </c>
      <c r="C45" s="119" t="s">
        <v>190</v>
      </c>
      <c r="D45" s="119"/>
      <c r="E45" s="119"/>
      <c r="F45" s="119"/>
      <c r="G45" s="51" t="str">
        <f t="shared" si="0"/>
        <v>(SkyCam) Technical design document explaining the data schema and algorithm</v>
      </c>
      <c r="H45" s="51" t="s">
        <v>2</v>
      </c>
      <c r="I45" s="64">
        <v>44929</v>
      </c>
      <c r="J45" s="64">
        <v>45107</v>
      </c>
      <c r="K45" s="64">
        <v>44929</v>
      </c>
      <c r="L45" s="84" t="s">
        <v>191</v>
      </c>
      <c r="M45" s="64"/>
      <c r="N45" s="64" t="b">
        <f>ISNUMBER(SEARCH("*Waiting*",M45))</f>
        <v>0</v>
      </c>
      <c r="O45" s="64"/>
      <c r="P45" s="67">
        <v>0</v>
      </c>
      <c r="Q45" s="67"/>
      <c r="R45" s="51" t="s">
        <v>2</v>
      </c>
      <c r="S45" s="85" t="s">
        <v>160</v>
      </c>
      <c r="T45" s="86" t="s">
        <v>160</v>
      </c>
      <c r="U45" s="86" t="s">
        <v>160</v>
      </c>
      <c r="V45" s="86" t="s">
        <v>160</v>
      </c>
      <c r="W45" s="86" t="s">
        <v>160</v>
      </c>
      <c r="X45" s="86" t="s">
        <v>160</v>
      </c>
      <c r="Y45" s="69" t="s">
        <v>160</v>
      </c>
      <c r="Z45" s="69" t="s">
        <v>160</v>
      </c>
      <c r="AA45" s="69" t="s">
        <v>160</v>
      </c>
      <c r="AB45" s="69" t="s">
        <v>160</v>
      </c>
      <c r="AC45" s="69" t="s">
        <v>160</v>
      </c>
      <c r="AD45" s="69" t="s">
        <v>160</v>
      </c>
      <c r="AE45" s="69" t="s">
        <v>160</v>
      </c>
      <c r="AF45" s="69" t="s">
        <v>160</v>
      </c>
      <c r="AG45" s="69" t="s">
        <v>160</v>
      </c>
      <c r="AH45" s="69" t="s">
        <v>160</v>
      </c>
      <c r="AI45" s="69" t="s">
        <v>160</v>
      </c>
      <c r="AJ45" s="69" t="s">
        <v>160</v>
      </c>
      <c r="AK45" s="69" t="s">
        <v>160</v>
      </c>
      <c r="AL45" s="69" t="s">
        <v>160</v>
      </c>
      <c r="AM45" s="69" t="s">
        <v>160</v>
      </c>
      <c r="AN45" s="69" t="s">
        <v>160</v>
      </c>
      <c r="AO45" s="69" t="s">
        <v>160</v>
      </c>
      <c r="AP45" s="69" t="s">
        <v>160</v>
      </c>
      <c r="AQ45" s="69" t="s">
        <v>160</v>
      </c>
      <c r="AR45" s="69" t="s">
        <v>160</v>
      </c>
      <c r="AS45" s="69" t="s">
        <v>160</v>
      </c>
      <c r="AT45" s="69" t="s">
        <v>160</v>
      </c>
      <c r="AU45" s="69" t="s">
        <v>160</v>
      </c>
      <c r="AV45" s="69" t="s">
        <v>160</v>
      </c>
      <c r="AW45" s="69" t="s">
        <v>160</v>
      </c>
      <c r="AX45" s="69" t="s">
        <v>160</v>
      </c>
      <c r="AY45" s="69" t="s">
        <v>160</v>
      </c>
      <c r="AZ45" s="69" t="s">
        <v>160</v>
      </c>
      <c r="BA45" s="69" t="s">
        <v>160</v>
      </c>
      <c r="BB45" s="69" t="s">
        <v>160</v>
      </c>
      <c r="BC45" s="69" t="s">
        <v>160</v>
      </c>
      <c r="BD45" s="69" t="s">
        <v>160</v>
      </c>
      <c r="BE45" s="69" t="s">
        <v>160</v>
      </c>
      <c r="BF45" s="69" t="s">
        <v>160</v>
      </c>
      <c r="BG45" s="69" t="s">
        <v>160</v>
      </c>
      <c r="BH45" s="69" t="s">
        <v>160</v>
      </c>
      <c r="BI45" s="69" t="s">
        <v>160</v>
      </c>
      <c r="BJ45" s="69" t="s">
        <v>160</v>
      </c>
      <c r="BK45" s="69" t="s">
        <v>160</v>
      </c>
      <c r="BL45" s="69" t="s">
        <v>160</v>
      </c>
      <c r="BM45" s="69" t="s">
        <v>160</v>
      </c>
      <c r="BN45" s="69" t="s">
        <v>160</v>
      </c>
      <c r="BO45" s="69" t="s">
        <v>160</v>
      </c>
      <c r="BP45" s="69" t="s">
        <v>160</v>
      </c>
      <c r="BQ45" s="69" t="s">
        <v>160</v>
      </c>
      <c r="BR45" s="69" t="s">
        <v>160</v>
      </c>
      <c r="BS45" s="69" t="s">
        <v>160</v>
      </c>
      <c r="BT45" s="69" t="s">
        <v>160</v>
      </c>
      <c r="BU45" s="69" t="s">
        <v>160</v>
      </c>
      <c r="BV45" s="69" t="s">
        <v>160</v>
      </c>
      <c r="BW45" s="69" t="s">
        <v>160</v>
      </c>
      <c r="BX45" s="69" t="s">
        <v>160</v>
      </c>
      <c r="BY45" s="69" t="s">
        <v>160</v>
      </c>
      <c r="BZ45" s="69" t="s">
        <v>160</v>
      </c>
      <c r="CA45" s="69" t="s">
        <v>160</v>
      </c>
      <c r="CB45" s="69" t="s">
        <v>160</v>
      </c>
      <c r="CC45" s="69" t="s">
        <v>160</v>
      </c>
      <c r="CD45" s="69" t="s">
        <v>160</v>
      </c>
      <c r="CE45" s="69" t="s">
        <v>160</v>
      </c>
      <c r="CF45" s="69" t="s">
        <v>160</v>
      </c>
      <c r="CG45" s="69" t="s">
        <v>160</v>
      </c>
      <c r="CH45" s="69" t="s">
        <v>160</v>
      </c>
      <c r="CI45" s="69" t="s">
        <v>160</v>
      </c>
      <c r="CJ45" s="69" t="s">
        <v>160</v>
      </c>
      <c r="CK45" s="69" t="s">
        <v>160</v>
      </c>
      <c r="CL45" s="69" t="s">
        <v>160</v>
      </c>
      <c r="CM45" s="69" t="s">
        <v>160</v>
      </c>
      <c r="CN45" s="69" t="s">
        <v>160</v>
      </c>
      <c r="CO45" s="69" t="s">
        <v>160</v>
      </c>
      <c r="CP45" s="69" t="s">
        <v>160</v>
      </c>
      <c r="CQ45" s="69" t="s">
        <v>160</v>
      </c>
      <c r="CR45" s="69" t="s">
        <v>160</v>
      </c>
      <c r="CS45" s="69" t="s">
        <v>160</v>
      </c>
      <c r="CT45" s="69" t="s">
        <v>160</v>
      </c>
      <c r="CU45" s="69" t="s">
        <v>160</v>
      </c>
      <c r="CV45" s="69" t="s">
        <v>160</v>
      </c>
      <c r="CW45" s="69" t="s">
        <v>160</v>
      </c>
      <c r="CX45" s="69" t="s">
        <v>160</v>
      </c>
      <c r="CY45" s="69" t="s">
        <v>160</v>
      </c>
      <c r="CZ45" s="69" t="s">
        <v>160</v>
      </c>
      <c r="DA45" s="69" t="s">
        <v>160</v>
      </c>
      <c r="DB45" s="69" t="s">
        <v>160</v>
      </c>
      <c r="DC45" s="69" t="s">
        <v>160</v>
      </c>
      <c r="DD45" s="69" t="s">
        <v>160</v>
      </c>
      <c r="DE45" s="69" t="s">
        <v>160</v>
      </c>
      <c r="DF45" s="69" t="s">
        <v>160</v>
      </c>
      <c r="DG45" s="69" t="s">
        <v>160</v>
      </c>
      <c r="DH45" s="69" t="s">
        <v>160</v>
      </c>
      <c r="DI45" s="69" t="s">
        <v>160</v>
      </c>
      <c r="DJ45" s="69" t="s">
        <v>160</v>
      </c>
      <c r="DK45" s="69" t="s">
        <v>160</v>
      </c>
      <c r="DL45" s="69" t="s">
        <v>160</v>
      </c>
      <c r="DM45" s="69" t="s">
        <v>160</v>
      </c>
      <c r="DN45" s="69" t="s">
        <v>160</v>
      </c>
      <c r="DO45" s="69" t="s">
        <v>160</v>
      </c>
      <c r="DP45" s="69" t="s">
        <v>160</v>
      </c>
      <c r="DQ45" s="69" t="s">
        <v>160</v>
      </c>
      <c r="DR45" s="69" t="s">
        <v>160</v>
      </c>
      <c r="DS45" s="69" t="s">
        <v>160</v>
      </c>
      <c r="DT45" s="69" t="s">
        <v>160</v>
      </c>
      <c r="DU45" s="69" t="s">
        <v>160</v>
      </c>
      <c r="DV45" s="69" t="s">
        <v>160</v>
      </c>
      <c r="DW45" s="69" t="s">
        <v>160</v>
      </c>
      <c r="DX45" s="69" t="s">
        <v>160</v>
      </c>
      <c r="DY45" s="69" t="s">
        <v>160</v>
      </c>
      <c r="DZ45" s="69" t="s">
        <v>160</v>
      </c>
      <c r="EA45" s="69" t="s">
        <v>160</v>
      </c>
      <c r="EB45" s="69" t="s">
        <v>160</v>
      </c>
      <c r="EC45" s="69" t="s">
        <v>160</v>
      </c>
      <c r="ED45" s="69" t="s">
        <v>160</v>
      </c>
      <c r="EE45" s="69" t="s">
        <v>160</v>
      </c>
      <c r="EF45" s="69" t="s">
        <v>160</v>
      </c>
      <c r="EG45" s="69" t="s">
        <v>160</v>
      </c>
      <c r="EH45" s="69" t="s">
        <v>160</v>
      </c>
      <c r="EI45" s="69" t="s">
        <v>160</v>
      </c>
      <c r="EJ45" s="69" t="s">
        <v>160</v>
      </c>
      <c r="EK45" s="69" t="s">
        <v>160</v>
      </c>
      <c r="EL45" s="69" t="s">
        <v>160</v>
      </c>
      <c r="EM45" s="69" t="s">
        <v>160</v>
      </c>
      <c r="EN45" s="69" t="s">
        <v>160</v>
      </c>
      <c r="EO45" s="69" t="s">
        <v>160</v>
      </c>
      <c r="EP45" s="69" t="s">
        <v>160</v>
      </c>
      <c r="EQ45" s="69" t="s">
        <v>160</v>
      </c>
      <c r="ER45" s="69" t="s">
        <v>160</v>
      </c>
      <c r="ES45" s="69" t="s">
        <v>160</v>
      </c>
      <c r="ET45" s="69" t="s">
        <v>160</v>
      </c>
      <c r="EU45" s="69" t="s">
        <v>160</v>
      </c>
      <c r="EV45" s="69" t="s">
        <v>160</v>
      </c>
      <c r="EW45" s="69" t="s">
        <v>160</v>
      </c>
      <c r="EX45" s="69" t="s">
        <v>160</v>
      </c>
      <c r="EY45" s="69" t="s">
        <v>160</v>
      </c>
      <c r="EZ45" s="69" t="s">
        <v>160</v>
      </c>
      <c r="FA45" s="69" t="s">
        <v>160</v>
      </c>
      <c r="FB45" s="69" t="s">
        <v>160</v>
      </c>
      <c r="FC45" s="69" t="s">
        <v>160</v>
      </c>
      <c r="FD45" s="69" t="s">
        <v>160</v>
      </c>
    </row>
    <row r="46" spans="1:160">
      <c r="A46" s="103" t="s">
        <v>446</v>
      </c>
      <c r="B46" s="20" t="s">
        <v>163</v>
      </c>
      <c r="C46" s="119" t="s">
        <v>192</v>
      </c>
      <c r="D46" s="119"/>
      <c r="E46" s="119"/>
      <c r="F46" s="119"/>
      <c r="G46" s="51" t="str">
        <f t="shared" si="0"/>
        <v>(SkyCam) Software Code</v>
      </c>
      <c r="H46" s="51" t="s">
        <v>2</v>
      </c>
      <c r="I46" s="64">
        <v>44929</v>
      </c>
      <c r="J46" s="64">
        <v>45107</v>
      </c>
      <c r="K46" s="64">
        <v>44929</v>
      </c>
      <c r="L46" s="84" t="s">
        <v>191</v>
      </c>
      <c r="M46" s="64"/>
      <c r="N46" s="64" t="b">
        <f t="shared" si="6"/>
        <v>0</v>
      </c>
      <c r="O46" s="64"/>
      <c r="P46" s="67">
        <v>0</v>
      </c>
      <c r="Q46" s="67"/>
      <c r="R46" s="51" t="s">
        <v>2</v>
      </c>
      <c r="S46" s="68" t="s">
        <v>160</v>
      </c>
      <c r="T46" s="69" t="s">
        <v>160</v>
      </c>
      <c r="U46" s="69" t="s">
        <v>160</v>
      </c>
      <c r="V46" s="69" t="s">
        <v>160</v>
      </c>
      <c r="W46" s="69" t="s">
        <v>160</v>
      </c>
      <c r="X46" s="69" t="s">
        <v>160</v>
      </c>
      <c r="Y46" s="86" t="s">
        <v>160</v>
      </c>
      <c r="Z46" s="86" t="s">
        <v>160</v>
      </c>
      <c r="AA46" s="69" t="s">
        <v>160</v>
      </c>
      <c r="AB46" s="69" t="s">
        <v>160</v>
      </c>
      <c r="AC46" s="69" t="s">
        <v>160</v>
      </c>
      <c r="AD46" s="69" t="s">
        <v>160</v>
      </c>
      <c r="AE46" s="69" t="s">
        <v>160</v>
      </c>
      <c r="AF46" s="69" t="s">
        <v>160</v>
      </c>
      <c r="AG46" s="69" t="s">
        <v>160</v>
      </c>
      <c r="AH46" s="69" t="s">
        <v>160</v>
      </c>
      <c r="AI46" s="69" t="s">
        <v>160</v>
      </c>
      <c r="AJ46" s="69" t="s">
        <v>160</v>
      </c>
      <c r="AK46" s="69" t="s">
        <v>160</v>
      </c>
      <c r="AL46" s="69" t="s">
        <v>160</v>
      </c>
      <c r="AM46" s="69" t="s">
        <v>160</v>
      </c>
      <c r="AN46" s="69" t="s">
        <v>160</v>
      </c>
      <c r="AO46" s="69" t="s">
        <v>160</v>
      </c>
      <c r="AP46" s="69" t="s">
        <v>160</v>
      </c>
      <c r="AQ46" s="69" t="s">
        <v>160</v>
      </c>
      <c r="AR46" s="69" t="s">
        <v>160</v>
      </c>
      <c r="AS46" s="69" t="s">
        <v>160</v>
      </c>
      <c r="AT46" s="69" t="s">
        <v>160</v>
      </c>
      <c r="AU46" s="69" t="s">
        <v>160</v>
      </c>
      <c r="AV46" s="69" t="s">
        <v>160</v>
      </c>
      <c r="AW46" s="69" t="s">
        <v>160</v>
      </c>
      <c r="AX46" s="69" t="s">
        <v>160</v>
      </c>
      <c r="AY46" s="69" t="s">
        <v>160</v>
      </c>
      <c r="AZ46" s="69" t="s">
        <v>160</v>
      </c>
      <c r="BA46" s="69" t="s">
        <v>160</v>
      </c>
      <c r="BB46" s="69" t="s">
        <v>160</v>
      </c>
      <c r="BC46" s="69" t="s">
        <v>160</v>
      </c>
      <c r="BD46" s="69" t="s">
        <v>160</v>
      </c>
      <c r="BE46" s="69" t="s">
        <v>160</v>
      </c>
      <c r="BF46" s="69" t="s">
        <v>160</v>
      </c>
      <c r="BG46" s="69" t="s">
        <v>160</v>
      </c>
      <c r="BH46" s="69" t="s">
        <v>160</v>
      </c>
      <c r="BI46" s="69" t="s">
        <v>160</v>
      </c>
      <c r="BJ46" s="69" t="s">
        <v>160</v>
      </c>
      <c r="BK46" s="69" t="s">
        <v>160</v>
      </c>
      <c r="BL46" s="69" t="s">
        <v>160</v>
      </c>
      <c r="BM46" s="69" t="s">
        <v>160</v>
      </c>
      <c r="BN46" s="69" t="s">
        <v>160</v>
      </c>
      <c r="BO46" s="69" t="s">
        <v>160</v>
      </c>
      <c r="BP46" s="69" t="s">
        <v>160</v>
      </c>
      <c r="BQ46" s="69" t="s">
        <v>160</v>
      </c>
      <c r="BR46" s="69" t="s">
        <v>160</v>
      </c>
      <c r="BS46" s="69" t="s">
        <v>160</v>
      </c>
      <c r="BT46" s="69" t="s">
        <v>160</v>
      </c>
      <c r="BU46" s="69" t="s">
        <v>160</v>
      </c>
      <c r="BV46" s="69" t="s">
        <v>160</v>
      </c>
      <c r="BW46" s="69" t="s">
        <v>160</v>
      </c>
      <c r="BX46" s="69" t="s">
        <v>160</v>
      </c>
      <c r="BY46" s="69" t="s">
        <v>160</v>
      </c>
      <c r="BZ46" s="69" t="s">
        <v>160</v>
      </c>
      <c r="CA46" s="69" t="s">
        <v>160</v>
      </c>
      <c r="CB46" s="69" t="s">
        <v>160</v>
      </c>
      <c r="CC46" s="69" t="s">
        <v>160</v>
      </c>
      <c r="CD46" s="69" t="s">
        <v>160</v>
      </c>
      <c r="CE46" s="69" t="s">
        <v>160</v>
      </c>
      <c r="CF46" s="69" t="s">
        <v>160</v>
      </c>
      <c r="CG46" s="69" t="s">
        <v>160</v>
      </c>
      <c r="CH46" s="69" t="s">
        <v>160</v>
      </c>
      <c r="CI46" s="69" t="s">
        <v>160</v>
      </c>
      <c r="CJ46" s="69" t="s">
        <v>160</v>
      </c>
      <c r="CK46" s="69" t="s">
        <v>160</v>
      </c>
      <c r="CL46" s="69" t="s">
        <v>160</v>
      </c>
      <c r="CM46" s="69" t="s">
        <v>160</v>
      </c>
      <c r="CN46" s="69" t="s">
        <v>160</v>
      </c>
      <c r="CO46" s="69" t="s">
        <v>160</v>
      </c>
      <c r="CP46" s="69" t="s">
        <v>160</v>
      </c>
      <c r="CQ46" s="69" t="s">
        <v>160</v>
      </c>
      <c r="CR46" s="69" t="s">
        <v>160</v>
      </c>
      <c r="CS46" s="69" t="s">
        <v>160</v>
      </c>
      <c r="CT46" s="69" t="s">
        <v>160</v>
      </c>
      <c r="CU46" s="69" t="s">
        <v>160</v>
      </c>
      <c r="CV46" s="69" t="s">
        <v>160</v>
      </c>
      <c r="CW46" s="69" t="s">
        <v>160</v>
      </c>
      <c r="CX46" s="69" t="s">
        <v>160</v>
      </c>
      <c r="CY46" s="69" t="s">
        <v>160</v>
      </c>
      <c r="CZ46" s="69" t="s">
        <v>160</v>
      </c>
      <c r="DA46" s="69" t="s">
        <v>160</v>
      </c>
      <c r="DB46" s="69" t="s">
        <v>160</v>
      </c>
      <c r="DC46" s="69" t="s">
        <v>160</v>
      </c>
      <c r="DD46" s="69" t="s">
        <v>160</v>
      </c>
      <c r="DE46" s="69" t="s">
        <v>160</v>
      </c>
      <c r="DF46" s="69" t="s">
        <v>160</v>
      </c>
      <c r="DG46" s="69" t="s">
        <v>160</v>
      </c>
      <c r="DH46" s="69" t="s">
        <v>160</v>
      </c>
      <c r="DI46" s="69" t="s">
        <v>160</v>
      </c>
      <c r="DJ46" s="69" t="s">
        <v>160</v>
      </c>
      <c r="DK46" s="69" t="s">
        <v>160</v>
      </c>
      <c r="DL46" s="69" t="s">
        <v>160</v>
      </c>
      <c r="DM46" s="69" t="s">
        <v>160</v>
      </c>
      <c r="DN46" s="69" t="s">
        <v>160</v>
      </c>
      <c r="DO46" s="69" t="s">
        <v>160</v>
      </c>
      <c r="DP46" s="69" t="s">
        <v>160</v>
      </c>
      <c r="DQ46" s="69" t="s">
        <v>160</v>
      </c>
      <c r="DR46" s="69" t="s">
        <v>160</v>
      </c>
      <c r="DS46" s="69" t="s">
        <v>160</v>
      </c>
      <c r="DT46" s="69" t="s">
        <v>160</v>
      </c>
      <c r="DU46" s="69" t="s">
        <v>160</v>
      </c>
      <c r="DV46" s="69" t="s">
        <v>160</v>
      </c>
      <c r="DW46" s="69" t="s">
        <v>160</v>
      </c>
      <c r="DX46" s="69" t="s">
        <v>160</v>
      </c>
      <c r="DY46" s="69" t="s">
        <v>160</v>
      </c>
      <c r="DZ46" s="69" t="s">
        <v>160</v>
      </c>
      <c r="EA46" s="69" t="s">
        <v>160</v>
      </c>
      <c r="EB46" s="69" t="s">
        <v>160</v>
      </c>
      <c r="EC46" s="69" t="s">
        <v>160</v>
      </c>
      <c r="ED46" s="69" t="s">
        <v>160</v>
      </c>
      <c r="EE46" s="69" t="s">
        <v>160</v>
      </c>
      <c r="EF46" s="69" t="s">
        <v>160</v>
      </c>
      <c r="EG46" s="69" t="s">
        <v>160</v>
      </c>
      <c r="EH46" s="69" t="s">
        <v>160</v>
      </c>
      <c r="EI46" s="69" t="s">
        <v>160</v>
      </c>
      <c r="EJ46" s="69" t="s">
        <v>160</v>
      </c>
      <c r="EK46" s="69" t="s">
        <v>160</v>
      </c>
      <c r="EL46" s="69" t="s">
        <v>160</v>
      </c>
      <c r="EM46" s="69" t="s">
        <v>160</v>
      </c>
      <c r="EN46" s="69" t="s">
        <v>160</v>
      </c>
      <c r="EO46" s="69" t="s">
        <v>160</v>
      </c>
      <c r="EP46" s="69" t="s">
        <v>160</v>
      </c>
      <c r="EQ46" s="69" t="s">
        <v>160</v>
      </c>
      <c r="ER46" s="69" t="s">
        <v>160</v>
      </c>
      <c r="ES46" s="69" t="s">
        <v>160</v>
      </c>
      <c r="ET46" s="69" t="s">
        <v>160</v>
      </c>
      <c r="EU46" s="69" t="s">
        <v>160</v>
      </c>
      <c r="EV46" s="69" t="s">
        <v>160</v>
      </c>
      <c r="EW46" s="69" t="s">
        <v>160</v>
      </c>
      <c r="EX46" s="69" t="s">
        <v>160</v>
      </c>
      <c r="EY46" s="69" t="s">
        <v>160</v>
      </c>
      <c r="EZ46" s="69" t="s">
        <v>160</v>
      </c>
      <c r="FA46" s="69" t="s">
        <v>160</v>
      </c>
      <c r="FB46" s="69" t="s">
        <v>160</v>
      </c>
      <c r="FC46" s="69" t="s">
        <v>160</v>
      </c>
      <c r="FD46" s="69" t="s">
        <v>160</v>
      </c>
    </row>
    <row r="47" spans="1:160">
      <c r="A47" s="103" t="s">
        <v>447</v>
      </c>
      <c r="B47" s="20" t="s">
        <v>163</v>
      </c>
      <c r="C47" s="119" t="s">
        <v>193</v>
      </c>
      <c r="D47" s="119"/>
      <c r="E47" s="119"/>
      <c r="F47" s="119"/>
      <c r="G47" s="51" t="str">
        <f t="shared" si="0"/>
        <v>(SkyCam) Deployment Procedure of the code</v>
      </c>
      <c r="H47" s="51" t="s">
        <v>2</v>
      </c>
      <c r="I47" s="64">
        <v>44929</v>
      </c>
      <c r="J47" s="64">
        <v>45107</v>
      </c>
      <c r="K47" s="64">
        <v>44929</v>
      </c>
      <c r="L47" s="84" t="s">
        <v>191</v>
      </c>
      <c r="M47" s="64"/>
      <c r="N47" s="64" t="b">
        <f t="shared" si="6"/>
        <v>0</v>
      </c>
      <c r="O47" s="64"/>
      <c r="P47" s="67">
        <v>0</v>
      </c>
      <c r="Q47" s="67"/>
      <c r="R47" s="51" t="s">
        <v>2</v>
      </c>
      <c r="S47" s="68" t="s">
        <v>160</v>
      </c>
      <c r="T47" s="69" t="s">
        <v>160</v>
      </c>
      <c r="U47" s="69" t="s">
        <v>160</v>
      </c>
      <c r="V47" s="69" t="s">
        <v>160</v>
      </c>
      <c r="W47" s="69" t="s">
        <v>160</v>
      </c>
      <c r="X47" s="69" t="s">
        <v>160</v>
      </c>
      <c r="Y47" s="86" t="s">
        <v>160</v>
      </c>
      <c r="Z47" s="86" t="s">
        <v>160</v>
      </c>
      <c r="AA47" s="69" t="s">
        <v>160</v>
      </c>
      <c r="AB47" s="69" t="s">
        <v>160</v>
      </c>
      <c r="AC47" s="69" t="s">
        <v>160</v>
      </c>
      <c r="AD47" s="69" t="s">
        <v>160</v>
      </c>
      <c r="AE47" s="69" t="s">
        <v>160</v>
      </c>
      <c r="AF47" s="69" t="s">
        <v>160</v>
      </c>
      <c r="AG47" s="69" t="s">
        <v>160</v>
      </c>
      <c r="AH47" s="69" t="s">
        <v>160</v>
      </c>
      <c r="AI47" s="69" t="s">
        <v>160</v>
      </c>
      <c r="AJ47" s="69" t="s">
        <v>160</v>
      </c>
      <c r="AK47" s="69" t="s">
        <v>160</v>
      </c>
      <c r="AL47" s="69" t="s">
        <v>160</v>
      </c>
      <c r="AM47" s="69" t="s">
        <v>160</v>
      </c>
      <c r="AN47" s="69" t="s">
        <v>160</v>
      </c>
      <c r="AO47" s="69" t="s">
        <v>160</v>
      </c>
      <c r="AP47" s="69" t="s">
        <v>160</v>
      </c>
      <c r="AQ47" s="69" t="s">
        <v>160</v>
      </c>
      <c r="AR47" s="69" t="s">
        <v>160</v>
      </c>
      <c r="AS47" s="69" t="s">
        <v>160</v>
      </c>
      <c r="AT47" s="69" t="s">
        <v>160</v>
      </c>
      <c r="AU47" s="69" t="s">
        <v>160</v>
      </c>
      <c r="AV47" s="69" t="s">
        <v>160</v>
      </c>
      <c r="AW47" s="69" t="s">
        <v>160</v>
      </c>
      <c r="AX47" s="69" t="s">
        <v>160</v>
      </c>
      <c r="AY47" s="69" t="s">
        <v>160</v>
      </c>
      <c r="AZ47" s="69" t="s">
        <v>160</v>
      </c>
      <c r="BA47" s="69" t="s">
        <v>160</v>
      </c>
      <c r="BB47" s="69" t="s">
        <v>160</v>
      </c>
      <c r="BC47" s="69" t="s">
        <v>160</v>
      </c>
      <c r="BD47" s="69" t="s">
        <v>160</v>
      </c>
      <c r="BE47" s="69" t="s">
        <v>160</v>
      </c>
      <c r="BF47" s="69" t="s">
        <v>160</v>
      </c>
      <c r="BG47" s="69" t="s">
        <v>160</v>
      </c>
      <c r="BH47" s="69" t="s">
        <v>160</v>
      </c>
      <c r="BI47" s="69" t="s">
        <v>160</v>
      </c>
      <c r="BJ47" s="69" t="s">
        <v>160</v>
      </c>
      <c r="BK47" s="69" t="s">
        <v>160</v>
      </c>
      <c r="BL47" s="69" t="s">
        <v>160</v>
      </c>
      <c r="BM47" s="69" t="s">
        <v>160</v>
      </c>
      <c r="BN47" s="69" t="s">
        <v>160</v>
      </c>
      <c r="BO47" s="69" t="s">
        <v>160</v>
      </c>
      <c r="BP47" s="69" t="s">
        <v>160</v>
      </c>
      <c r="BQ47" s="69" t="s">
        <v>160</v>
      </c>
      <c r="BR47" s="69" t="s">
        <v>160</v>
      </c>
      <c r="BS47" s="69" t="s">
        <v>160</v>
      </c>
      <c r="BT47" s="69" t="s">
        <v>160</v>
      </c>
      <c r="BU47" s="69" t="s">
        <v>160</v>
      </c>
      <c r="BV47" s="69" t="s">
        <v>160</v>
      </c>
      <c r="BW47" s="69" t="s">
        <v>160</v>
      </c>
      <c r="BX47" s="69" t="s">
        <v>160</v>
      </c>
      <c r="BY47" s="69" t="s">
        <v>160</v>
      </c>
      <c r="BZ47" s="69" t="s">
        <v>160</v>
      </c>
      <c r="CA47" s="69" t="s">
        <v>160</v>
      </c>
      <c r="CB47" s="69" t="s">
        <v>160</v>
      </c>
      <c r="CC47" s="69" t="s">
        <v>160</v>
      </c>
      <c r="CD47" s="69" t="s">
        <v>160</v>
      </c>
      <c r="CE47" s="69" t="s">
        <v>160</v>
      </c>
      <c r="CF47" s="69" t="s">
        <v>160</v>
      </c>
      <c r="CG47" s="69" t="s">
        <v>160</v>
      </c>
      <c r="CH47" s="69" t="s">
        <v>160</v>
      </c>
      <c r="CI47" s="69" t="s">
        <v>160</v>
      </c>
      <c r="CJ47" s="69" t="s">
        <v>160</v>
      </c>
      <c r="CK47" s="69" t="s">
        <v>160</v>
      </c>
      <c r="CL47" s="69" t="s">
        <v>160</v>
      </c>
      <c r="CM47" s="69" t="s">
        <v>160</v>
      </c>
      <c r="CN47" s="69" t="s">
        <v>160</v>
      </c>
      <c r="CO47" s="69" t="s">
        <v>160</v>
      </c>
      <c r="CP47" s="69" t="s">
        <v>160</v>
      </c>
      <c r="CQ47" s="69" t="s">
        <v>160</v>
      </c>
      <c r="CR47" s="69" t="s">
        <v>160</v>
      </c>
      <c r="CS47" s="69" t="s">
        <v>160</v>
      </c>
      <c r="CT47" s="69" t="s">
        <v>160</v>
      </c>
      <c r="CU47" s="69" t="s">
        <v>160</v>
      </c>
      <c r="CV47" s="69" t="s">
        <v>160</v>
      </c>
      <c r="CW47" s="69" t="s">
        <v>160</v>
      </c>
      <c r="CX47" s="69" t="s">
        <v>160</v>
      </c>
      <c r="CY47" s="69" t="s">
        <v>160</v>
      </c>
      <c r="CZ47" s="69" t="s">
        <v>160</v>
      </c>
      <c r="DA47" s="69" t="s">
        <v>160</v>
      </c>
      <c r="DB47" s="69" t="s">
        <v>160</v>
      </c>
      <c r="DC47" s="69" t="s">
        <v>160</v>
      </c>
      <c r="DD47" s="69" t="s">
        <v>160</v>
      </c>
      <c r="DE47" s="69" t="s">
        <v>160</v>
      </c>
      <c r="DF47" s="69" t="s">
        <v>160</v>
      </c>
      <c r="DG47" s="69" t="s">
        <v>160</v>
      </c>
      <c r="DH47" s="69" t="s">
        <v>160</v>
      </c>
      <c r="DI47" s="69" t="s">
        <v>160</v>
      </c>
      <c r="DJ47" s="69" t="s">
        <v>160</v>
      </c>
      <c r="DK47" s="69" t="s">
        <v>160</v>
      </c>
      <c r="DL47" s="69" t="s">
        <v>160</v>
      </c>
      <c r="DM47" s="69" t="s">
        <v>160</v>
      </c>
      <c r="DN47" s="69" t="s">
        <v>160</v>
      </c>
      <c r="DO47" s="69" t="s">
        <v>160</v>
      </c>
      <c r="DP47" s="69" t="s">
        <v>160</v>
      </c>
      <c r="DQ47" s="69" t="s">
        <v>160</v>
      </c>
      <c r="DR47" s="69" t="s">
        <v>160</v>
      </c>
      <c r="DS47" s="69" t="s">
        <v>160</v>
      </c>
      <c r="DT47" s="69" t="s">
        <v>160</v>
      </c>
      <c r="DU47" s="69" t="s">
        <v>160</v>
      </c>
      <c r="DV47" s="69" t="s">
        <v>160</v>
      </c>
      <c r="DW47" s="69" t="s">
        <v>160</v>
      </c>
      <c r="DX47" s="69" t="s">
        <v>160</v>
      </c>
      <c r="DY47" s="69" t="s">
        <v>160</v>
      </c>
      <c r="DZ47" s="69" t="s">
        <v>160</v>
      </c>
      <c r="EA47" s="69" t="s">
        <v>160</v>
      </c>
      <c r="EB47" s="69" t="s">
        <v>160</v>
      </c>
      <c r="EC47" s="69" t="s">
        <v>160</v>
      </c>
      <c r="ED47" s="69" t="s">
        <v>160</v>
      </c>
      <c r="EE47" s="69" t="s">
        <v>160</v>
      </c>
      <c r="EF47" s="69" t="s">
        <v>160</v>
      </c>
      <c r="EG47" s="69" t="s">
        <v>160</v>
      </c>
      <c r="EH47" s="69" t="s">
        <v>160</v>
      </c>
      <c r="EI47" s="69" t="s">
        <v>160</v>
      </c>
      <c r="EJ47" s="69" t="s">
        <v>160</v>
      </c>
      <c r="EK47" s="69" t="s">
        <v>160</v>
      </c>
      <c r="EL47" s="69" t="s">
        <v>160</v>
      </c>
      <c r="EM47" s="69" t="s">
        <v>160</v>
      </c>
      <c r="EN47" s="69" t="s">
        <v>160</v>
      </c>
      <c r="EO47" s="69" t="s">
        <v>160</v>
      </c>
      <c r="EP47" s="69" t="s">
        <v>160</v>
      </c>
      <c r="EQ47" s="69" t="s">
        <v>160</v>
      </c>
      <c r="ER47" s="69" t="s">
        <v>160</v>
      </c>
      <c r="ES47" s="69" t="s">
        <v>160</v>
      </c>
      <c r="ET47" s="69" t="s">
        <v>160</v>
      </c>
      <c r="EU47" s="69" t="s">
        <v>160</v>
      </c>
      <c r="EV47" s="69" t="s">
        <v>160</v>
      </c>
      <c r="EW47" s="69" t="s">
        <v>160</v>
      </c>
      <c r="EX47" s="69" t="s">
        <v>160</v>
      </c>
      <c r="EY47" s="69" t="s">
        <v>160</v>
      </c>
      <c r="EZ47" s="69" t="s">
        <v>160</v>
      </c>
      <c r="FA47" s="69" t="s">
        <v>160</v>
      </c>
      <c r="FB47" s="69" t="s">
        <v>160</v>
      </c>
      <c r="FC47" s="69" t="s">
        <v>160</v>
      </c>
      <c r="FD47" s="69" t="s">
        <v>160</v>
      </c>
    </row>
    <row r="48" spans="1:160">
      <c r="A48" s="103" t="s">
        <v>448</v>
      </c>
      <c r="B48" s="20" t="s">
        <v>163</v>
      </c>
      <c r="C48" s="119" t="s">
        <v>194</v>
      </c>
      <c r="D48" s="119"/>
      <c r="E48" s="119"/>
      <c r="F48" s="119"/>
      <c r="G48" s="51" t="str">
        <f t="shared" si="0"/>
        <v>(SkyCam) Product usage guide with examples for all the functional usecases</v>
      </c>
      <c r="H48" s="51" t="s">
        <v>2</v>
      </c>
      <c r="I48" s="64">
        <v>44929</v>
      </c>
      <c r="J48" s="64">
        <v>45107</v>
      </c>
      <c r="K48" s="64">
        <v>44929</v>
      </c>
      <c r="L48" s="84" t="s">
        <v>191</v>
      </c>
      <c r="M48" s="64"/>
      <c r="N48" s="64" t="b">
        <f t="shared" si="6"/>
        <v>0</v>
      </c>
      <c r="O48" s="64"/>
      <c r="P48" s="67">
        <v>0</v>
      </c>
      <c r="Q48" s="67"/>
      <c r="R48" s="51" t="s">
        <v>2</v>
      </c>
      <c r="S48" s="68" t="s">
        <v>160</v>
      </c>
      <c r="T48" s="69" t="s">
        <v>160</v>
      </c>
      <c r="U48" s="69" t="s">
        <v>160</v>
      </c>
      <c r="V48" s="69" t="s">
        <v>160</v>
      </c>
      <c r="W48" s="69" t="s">
        <v>160</v>
      </c>
      <c r="X48" s="69" t="s">
        <v>160</v>
      </c>
      <c r="Y48" s="86" t="s">
        <v>160</v>
      </c>
      <c r="Z48" s="86" t="s">
        <v>160</v>
      </c>
      <c r="AA48" s="69" t="s">
        <v>160</v>
      </c>
      <c r="AB48" s="69" t="s">
        <v>160</v>
      </c>
      <c r="AC48" s="69" t="s">
        <v>160</v>
      </c>
      <c r="AD48" s="69" t="s">
        <v>160</v>
      </c>
      <c r="AE48" s="69" t="s">
        <v>160</v>
      </c>
      <c r="AF48" s="69" t="s">
        <v>160</v>
      </c>
      <c r="AG48" s="69" t="s">
        <v>160</v>
      </c>
      <c r="AH48" s="69" t="s">
        <v>160</v>
      </c>
      <c r="AI48" s="69" t="s">
        <v>160</v>
      </c>
      <c r="AJ48" s="69" t="s">
        <v>160</v>
      </c>
      <c r="AK48" s="69" t="s">
        <v>160</v>
      </c>
      <c r="AL48" s="69" t="s">
        <v>160</v>
      </c>
      <c r="AM48" s="69" t="s">
        <v>160</v>
      </c>
      <c r="AN48" s="69" t="s">
        <v>160</v>
      </c>
      <c r="AO48" s="69" t="s">
        <v>160</v>
      </c>
      <c r="AP48" s="69" t="s">
        <v>160</v>
      </c>
      <c r="AQ48" s="69" t="s">
        <v>160</v>
      </c>
      <c r="AR48" s="69" t="s">
        <v>160</v>
      </c>
      <c r="AS48" s="69" t="s">
        <v>160</v>
      </c>
      <c r="AT48" s="69" t="s">
        <v>160</v>
      </c>
      <c r="AU48" s="69" t="s">
        <v>160</v>
      </c>
      <c r="AV48" s="69" t="s">
        <v>160</v>
      </c>
      <c r="AW48" s="69" t="s">
        <v>160</v>
      </c>
      <c r="AX48" s="69" t="s">
        <v>160</v>
      </c>
      <c r="AY48" s="69" t="s">
        <v>160</v>
      </c>
      <c r="AZ48" s="69" t="s">
        <v>160</v>
      </c>
      <c r="BA48" s="69" t="s">
        <v>160</v>
      </c>
      <c r="BB48" s="69" t="s">
        <v>160</v>
      </c>
      <c r="BC48" s="69" t="s">
        <v>160</v>
      </c>
      <c r="BD48" s="69" t="s">
        <v>160</v>
      </c>
      <c r="BE48" s="69" t="s">
        <v>160</v>
      </c>
      <c r="BF48" s="69" t="s">
        <v>160</v>
      </c>
      <c r="BG48" s="69" t="s">
        <v>160</v>
      </c>
      <c r="BH48" s="69" t="s">
        <v>160</v>
      </c>
      <c r="BI48" s="69" t="s">
        <v>160</v>
      </c>
      <c r="BJ48" s="69" t="s">
        <v>160</v>
      </c>
      <c r="BK48" s="69" t="s">
        <v>160</v>
      </c>
      <c r="BL48" s="69" t="s">
        <v>160</v>
      </c>
      <c r="BM48" s="69" t="s">
        <v>160</v>
      </c>
      <c r="BN48" s="69" t="s">
        <v>160</v>
      </c>
      <c r="BO48" s="69" t="s">
        <v>160</v>
      </c>
      <c r="BP48" s="69" t="s">
        <v>160</v>
      </c>
      <c r="BQ48" s="69" t="s">
        <v>160</v>
      </c>
      <c r="BR48" s="69" t="s">
        <v>160</v>
      </c>
      <c r="BS48" s="69" t="s">
        <v>160</v>
      </c>
      <c r="BT48" s="69" t="s">
        <v>160</v>
      </c>
      <c r="BU48" s="69" t="s">
        <v>160</v>
      </c>
      <c r="BV48" s="69" t="s">
        <v>160</v>
      </c>
      <c r="BW48" s="69" t="s">
        <v>160</v>
      </c>
      <c r="BX48" s="69" t="s">
        <v>160</v>
      </c>
      <c r="BY48" s="69" t="s">
        <v>160</v>
      </c>
      <c r="BZ48" s="69" t="s">
        <v>160</v>
      </c>
      <c r="CA48" s="69" t="s">
        <v>160</v>
      </c>
      <c r="CB48" s="69" t="s">
        <v>160</v>
      </c>
      <c r="CC48" s="69" t="s">
        <v>160</v>
      </c>
      <c r="CD48" s="69" t="s">
        <v>160</v>
      </c>
      <c r="CE48" s="69" t="s">
        <v>160</v>
      </c>
      <c r="CF48" s="69" t="s">
        <v>160</v>
      </c>
      <c r="CG48" s="69" t="s">
        <v>160</v>
      </c>
      <c r="CH48" s="69" t="s">
        <v>160</v>
      </c>
      <c r="CI48" s="69" t="s">
        <v>160</v>
      </c>
      <c r="CJ48" s="69" t="s">
        <v>160</v>
      </c>
      <c r="CK48" s="69" t="s">
        <v>160</v>
      </c>
      <c r="CL48" s="69" t="s">
        <v>160</v>
      </c>
      <c r="CM48" s="69" t="s">
        <v>160</v>
      </c>
      <c r="CN48" s="69" t="s">
        <v>160</v>
      </c>
      <c r="CO48" s="69" t="s">
        <v>160</v>
      </c>
      <c r="CP48" s="69" t="s">
        <v>160</v>
      </c>
      <c r="CQ48" s="69" t="s">
        <v>160</v>
      </c>
      <c r="CR48" s="69" t="s">
        <v>160</v>
      </c>
      <c r="CS48" s="69" t="s">
        <v>160</v>
      </c>
      <c r="CT48" s="69" t="s">
        <v>160</v>
      </c>
      <c r="CU48" s="69" t="s">
        <v>160</v>
      </c>
      <c r="CV48" s="69" t="s">
        <v>160</v>
      </c>
      <c r="CW48" s="69" t="s">
        <v>160</v>
      </c>
      <c r="CX48" s="69" t="s">
        <v>160</v>
      </c>
      <c r="CY48" s="69" t="s">
        <v>160</v>
      </c>
      <c r="CZ48" s="69" t="s">
        <v>160</v>
      </c>
      <c r="DA48" s="69" t="s">
        <v>160</v>
      </c>
      <c r="DB48" s="69" t="s">
        <v>160</v>
      </c>
      <c r="DC48" s="69" t="s">
        <v>160</v>
      </c>
      <c r="DD48" s="69" t="s">
        <v>160</v>
      </c>
      <c r="DE48" s="69" t="s">
        <v>160</v>
      </c>
      <c r="DF48" s="69" t="s">
        <v>160</v>
      </c>
      <c r="DG48" s="69" t="s">
        <v>160</v>
      </c>
      <c r="DH48" s="69" t="s">
        <v>160</v>
      </c>
      <c r="DI48" s="69" t="s">
        <v>160</v>
      </c>
      <c r="DJ48" s="69" t="s">
        <v>160</v>
      </c>
      <c r="DK48" s="69" t="s">
        <v>160</v>
      </c>
      <c r="DL48" s="69" t="s">
        <v>160</v>
      </c>
      <c r="DM48" s="69" t="s">
        <v>160</v>
      </c>
      <c r="DN48" s="69" t="s">
        <v>160</v>
      </c>
      <c r="DO48" s="69" t="s">
        <v>160</v>
      </c>
      <c r="DP48" s="69" t="s">
        <v>160</v>
      </c>
      <c r="DQ48" s="69" t="s">
        <v>160</v>
      </c>
      <c r="DR48" s="69" t="s">
        <v>160</v>
      </c>
      <c r="DS48" s="69" t="s">
        <v>160</v>
      </c>
      <c r="DT48" s="69" t="s">
        <v>160</v>
      </c>
      <c r="DU48" s="69" t="s">
        <v>160</v>
      </c>
      <c r="DV48" s="69" t="s">
        <v>160</v>
      </c>
      <c r="DW48" s="69" t="s">
        <v>160</v>
      </c>
      <c r="DX48" s="69" t="s">
        <v>160</v>
      </c>
      <c r="DY48" s="69" t="s">
        <v>160</v>
      </c>
      <c r="DZ48" s="69" t="s">
        <v>160</v>
      </c>
      <c r="EA48" s="69" t="s">
        <v>160</v>
      </c>
      <c r="EB48" s="69" t="s">
        <v>160</v>
      </c>
      <c r="EC48" s="69" t="s">
        <v>160</v>
      </c>
      <c r="ED48" s="69" t="s">
        <v>160</v>
      </c>
      <c r="EE48" s="69" t="s">
        <v>160</v>
      </c>
      <c r="EF48" s="69" t="s">
        <v>160</v>
      </c>
      <c r="EG48" s="69" t="s">
        <v>160</v>
      </c>
      <c r="EH48" s="69" t="s">
        <v>160</v>
      </c>
      <c r="EI48" s="69" t="s">
        <v>160</v>
      </c>
      <c r="EJ48" s="69" t="s">
        <v>160</v>
      </c>
      <c r="EK48" s="69" t="s">
        <v>160</v>
      </c>
      <c r="EL48" s="69" t="s">
        <v>160</v>
      </c>
      <c r="EM48" s="69" t="s">
        <v>160</v>
      </c>
      <c r="EN48" s="69" t="s">
        <v>160</v>
      </c>
      <c r="EO48" s="69" t="s">
        <v>160</v>
      </c>
      <c r="EP48" s="69" t="s">
        <v>160</v>
      </c>
      <c r="EQ48" s="69" t="s">
        <v>160</v>
      </c>
      <c r="ER48" s="69" t="s">
        <v>160</v>
      </c>
      <c r="ES48" s="69" t="s">
        <v>160</v>
      </c>
      <c r="ET48" s="69" t="s">
        <v>160</v>
      </c>
      <c r="EU48" s="69" t="s">
        <v>160</v>
      </c>
      <c r="EV48" s="69" t="s">
        <v>160</v>
      </c>
      <c r="EW48" s="69" t="s">
        <v>160</v>
      </c>
      <c r="EX48" s="69" t="s">
        <v>160</v>
      </c>
      <c r="EY48" s="69" t="s">
        <v>160</v>
      </c>
      <c r="EZ48" s="69" t="s">
        <v>160</v>
      </c>
      <c r="FA48" s="69" t="s">
        <v>160</v>
      </c>
      <c r="FB48" s="69" t="s">
        <v>160</v>
      </c>
      <c r="FC48" s="69" t="s">
        <v>160</v>
      </c>
      <c r="FD48" s="69" t="s">
        <v>160</v>
      </c>
    </row>
    <row r="49" spans="1:160" s="71" customFormat="1" ht="18.5" thickBot="1">
      <c r="A49" s="104" t="s">
        <v>449</v>
      </c>
      <c r="B49" s="105" t="s">
        <v>163</v>
      </c>
      <c r="C49" s="120" t="s">
        <v>195</v>
      </c>
      <c r="D49" s="120"/>
      <c r="E49" s="120"/>
      <c r="F49" s="120"/>
      <c r="G49" s="71" t="str">
        <f t="shared" si="0"/>
        <v xml:space="preserve">(SkyCam) Test report </v>
      </c>
      <c r="H49" s="71" t="s">
        <v>2</v>
      </c>
      <c r="I49" s="72">
        <v>44929</v>
      </c>
      <c r="J49" s="72">
        <v>45107</v>
      </c>
      <c r="K49" s="72">
        <v>44929</v>
      </c>
      <c r="L49" s="87" t="s">
        <v>191</v>
      </c>
      <c r="M49" s="72"/>
      <c r="N49" s="72" t="b">
        <f t="shared" si="6"/>
        <v>0</v>
      </c>
      <c r="O49" s="72"/>
      <c r="P49" s="73">
        <v>0</v>
      </c>
      <c r="Q49" s="73"/>
      <c r="R49" s="71" t="s">
        <v>2</v>
      </c>
      <c r="S49" s="74" t="s">
        <v>160</v>
      </c>
      <c r="T49" s="75" t="s">
        <v>160</v>
      </c>
      <c r="U49" s="75" t="s">
        <v>160</v>
      </c>
      <c r="V49" s="75" t="s">
        <v>160</v>
      </c>
      <c r="W49" s="75" t="s">
        <v>160</v>
      </c>
      <c r="X49" s="75" t="s">
        <v>160</v>
      </c>
      <c r="Y49" s="88" t="s">
        <v>160</v>
      </c>
      <c r="Z49" s="88" t="s">
        <v>160</v>
      </c>
      <c r="AA49" s="75" t="s">
        <v>160</v>
      </c>
      <c r="AB49" s="75" t="s">
        <v>160</v>
      </c>
      <c r="AC49" s="75" t="s">
        <v>160</v>
      </c>
      <c r="AD49" s="75" t="s">
        <v>160</v>
      </c>
      <c r="AE49" s="75" t="s">
        <v>160</v>
      </c>
      <c r="AF49" s="75" t="s">
        <v>160</v>
      </c>
      <c r="AG49" s="75" t="s">
        <v>160</v>
      </c>
      <c r="AH49" s="75" t="s">
        <v>160</v>
      </c>
      <c r="AI49" s="75" t="s">
        <v>160</v>
      </c>
      <c r="AJ49" s="75" t="s">
        <v>160</v>
      </c>
      <c r="AK49" s="75" t="s">
        <v>160</v>
      </c>
      <c r="AL49" s="75" t="s">
        <v>160</v>
      </c>
      <c r="AM49" s="75" t="s">
        <v>160</v>
      </c>
      <c r="AN49" s="75" t="s">
        <v>160</v>
      </c>
      <c r="AO49" s="75" t="s">
        <v>160</v>
      </c>
      <c r="AP49" s="75" t="s">
        <v>160</v>
      </c>
      <c r="AQ49" s="75" t="s">
        <v>160</v>
      </c>
      <c r="AR49" s="75" t="s">
        <v>160</v>
      </c>
      <c r="AS49" s="75" t="s">
        <v>160</v>
      </c>
      <c r="AT49" s="75" t="s">
        <v>160</v>
      </c>
      <c r="AU49" s="75" t="s">
        <v>160</v>
      </c>
      <c r="AV49" s="75" t="s">
        <v>160</v>
      </c>
      <c r="AW49" s="75" t="s">
        <v>160</v>
      </c>
      <c r="AX49" s="75" t="s">
        <v>160</v>
      </c>
      <c r="AY49" s="75" t="s">
        <v>160</v>
      </c>
      <c r="AZ49" s="75" t="s">
        <v>160</v>
      </c>
      <c r="BA49" s="75" t="s">
        <v>160</v>
      </c>
      <c r="BB49" s="75" t="s">
        <v>160</v>
      </c>
      <c r="BC49" s="75" t="s">
        <v>160</v>
      </c>
      <c r="BD49" s="75" t="s">
        <v>160</v>
      </c>
      <c r="BE49" s="75" t="s">
        <v>160</v>
      </c>
      <c r="BF49" s="75" t="s">
        <v>160</v>
      </c>
      <c r="BG49" s="75" t="s">
        <v>160</v>
      </c>
      <c r="BH49" s="75" t="s">
        <v>160</v>
      </c>
      <c r="BI49" s="75" t="s">
        <v>160</v>
      </c>
      <c r="BJ49" s="75" t="s">
        <v>160</v>
      </c>
      <c r="BK49" s="75" t="s">
        <v>160</v>
      </c>
      <c r="BL49" s="75" t="s">
        <v>160</v>
      </c>
      <c r="BM49" s="75" t="s">
        <v>160</v>
      </c>
      <c r="BN49" s="75" t="s">
        <v>160</v>
      </c>
      <c r="BO49" s="75" t="s">
        <v>160</v>
      </c>
      <c r="BP49" s="75" t="s">
        <v>160</v>
      </c>
      <c r="BQ49" s="75" t="s">
        <v>160</v>
      </c>
      <c r="BR49" s="75" t="s">
        <v>160</v>
      </c>
      <c r="BS49" s="75" t="s">
        <v>160</v>
      </c>
      <c r="BT49" s="75" t="s">
        <v>160</v>
      </c>
      <c r="BU49" s="75" t="s">
        <v>160</v>
      </c>
      <c r="BV49" s="75" t="s">
        <v>160</v>
      </c>
      <c r="BW49" s="75" t="s">
        <v>160</v>
      </c>
      <c r="BX49" s="75" t="s">
        <v>160</v>
      </c>
      <c r="BY49" s="75" t="s">
        <v>160</v>
      </c>
      <c r="BZ49" s="75" t="s">
        <v>160</v>
      </c>
      <c r="CA49" s="75" t="s">
        <v>160</v>
      </c>
      <c r="CB49" s="75" t="s">
        <v>160</v>
      </c>
      <c r="CC49" s="75" t="s">
        <v>160</v>
      </c>
      <c r="CD49" s="75" t="s">
        <v>160</v>
      </c>
      <c r="CE49" s="75" t="s">
        <v>160</v>
      </c>
      <c r="CF49" s="75" t="s">
        <v>160</v>
      </c>
      <c r="CG49" s="75" t="s">
        <v>160</v>
      </c>
      <c r="CH49" s="75" t="s">
        <v>160</v>
      </c>
      <c r="CI49" s="75" t="s">
        <v>160</v>
      </c>
      <c r="CJ49" s="75" t="s">
        <v>160</v>
      </c>
      <c r="CK49" s="75" t="s">
        <v>160</v>
      </c>
      <c r="CL49" s="75" t="s">
        <v>160</v>
      </c>
      <c r="CM49" s="75" t="s">
        <v>160</v>
      </c>
      <c r="CN49" s="75" t="s">
        <v>160</v>
      </c>
      <c r="CO49" s="75" t="s">
        <v>160</v>
      </c>
      <c r="CP49" s="75" t="s">
        <v>160</v>
      </c>
      <c r="CQ49" s="75" t="s">
        <v>160</v>
      </c>
      <c r="CR49" s="75" t="s">
        <v>160</v>
      </c>
      <c r="CS49" s="75" t="s">
        <v>160</v>
      </c>
      <c r="CT49" s="75" t="s">
        <v>160</v>
      </c>
      <c r="CU49" s="75" t="s">
        <v>160</v>
      </c>
      <c r="CV49" s="75" t="s">
        <v>160</v>
      </c>
      <c r="CW49" s="75" t="s">
        <v>160</v>
      </c>
      <c r="CX49" s="75" t="s">
        <v>160</v>
      </c>
      <c r="CY49" s="75" t="s">
        <v>160</v>
      </c>
      <c r="CZ49" s="75" t="s">
        <v>160</v>
      </c>
      <c r="DA49" s="75" t="s">
        <v>160</v>
      </c>
      <c r="DB49" s="75" t="s">
        <v>160</v>
      </c>
      <c r="DC49" s="75" t="s">
        <v>160</v>
      </c>
      <c r="DD49" s="75" t="s">
        <v>160</v>
      </c>
      <c r="DE49" s="75" t="s">
        <v>160</v>
      </c>
      <c r="DF49" s="75" t="s">
        <v>160</v>
      </c>
      <c r="DG49" s="75" t="s">
        <v>160</v>
      </c>
      <c r="DH49" s="75" t="s">
        <v>160</v>
      </c>
      <c r="DI49" s="75" t="s">
        <v>160</v>
      </c>
      <c r="DJ49" s="75" t="s">
        <v>160</v>
      </c>
      <c r="DK49" s="75" t="s">
        <v>160</v>
      </c>
      <c r="DL49" s="75" t="s">
        <v>160</v>
      </c>
      <c r="DM49" s="75" t="s">
        <v>160</v>
      </c>
      <c r="DN49" s="75" t="s">
        <v>160</v>
      </c>
      <c r="DO49" s="75" t="s">
        <v>160</v>
      </c>
      <c r="DP49" s="75" t="s">
        <v>160</v>
      </c>
      <c r="DQ49" s="75" t="s">
        <v>160</v>
      </c>
      <c r="DR49" s="75" t="s">
        <v>160</v>
      </c>
      <c r="DS49" s="75" t="s">
        <v>160</v>
      </c>
      <c r="DT49" s="75" t="s">
        <v>160</v>
      </c>
      <c r="DU49" s="75" t="s">
        <v>160</v>
      </c>
      <c r="DV49" s="75" t="s">
        <v>160</v>
      </c>
      <c r="DW49" s="75" t="s">
        <v>160</v>
      </c>
      <c r="DX49" s="75" t="s">
        <v>160</v>
      </c>
      <c r="DY49" s="75" t="s">
        <v>160</v>
      </c>
      <c r="DZ49" s="75" t="s">
        <v>160</v>
      </c>
      <c r="EA49" s="75" t="s">
        <v>160</v>
      </c>
      <c r="EB49" s="75" t="s">
        <v>160</v>
      </c>
      <c r="EC49" s="75" t="s">
        <v>160</v>
      </c>
      <c r="ED49" s="75" t="s">
        <v>160</v>
      </c>
      <c r="EE49" s="75" t="s">
        <v>160</v>
      </c>
      <c r="EF49" s="75" t="s">
        <v>160</v>
      </c>
      <c r="EG49" s="75" t="s">
        <v>160</v>
      </c>
      <c r="EH49" s="75" t="s">
        <v>160</v>
      </c>
      <c r="EI49" s="75" t="s">
        <v>160</v>
      </c>
      <c r="EJ49" s="75" t="s">
        <v>160</v>
      </c>
      <c r="EK49" s="75" t="s">
        <v>160</v>
      </c>
      <c r="EL49" s="75" t="s">
        <v>160</v>
      </c>
      <c r="EM49" s="75" t="s">
        <v>160</v>
      </c>
      <c r="EN49" s="75" t="s">
        <v>160</v>
      </c>
      <c r="EO49" s="75" t="s">
        <v>160</v>
      </c>
      <c r="EP49" s="75" t="s">
        <v>160</v>
      </c>
      <c r="EQ49" s="75" t="s">
        <v>160</v>
      </c>
      <c r="ER49" s="75" t="s">
        <v>160</v>
      </c>
      <c r="ES49" s="75" t="s">
        <v>160</v>
      </c>
      <c r="ET49" s="75" t="s">
        <v>160</v>
      </c>
      <c r="EU49" s="75" t="s">
        <v>160</v>
      </c>
      <c r="EV49" s="75" t="s">
        <v>160</v>
      </c>
      <c r="EW49" s="75" t="s">
        <v>160</v>
      </c>
      <c r="EX49" s="75" t="s">
        <v>160</v>
      </c>
      <c r="EY49" s="75" t="s">
        <v>160</v>
      </c>
      <c r="EZ49" s="75" t="s">
        <v>160</v>
      </c>
      <c r="FA49" s="75" t="s">
        <v>160</v>
      </c>
      <c r="FB49" s="75" t="s">
        <v>160</v>
      </c>
      <c r="FC49" s="75" t="s">
        <v>160</v>
      </c>
      <c r="FD49" s="75" t="s">
        <v>160</v>
      </c>
    </row>
    <row r="50" spans="1:160">
      <c r="A50" s="103" t="s">
        <v>450</v>
      </c>
      <c r="B50" s="23" t="s">
        <v>196</v>
      </c>
      <c r="G50" s="51" t="str">
        <f t="shared" si="0"/>
        <v>M6. WebUI Dashboard &amp; Alerts for Energy Optimization</v>
      </c>
      <c r="H50" s="51" t="s">
        <v>2</v>
      </c>
      <c r="I50" s="64">
        <f ca="1">IF(SUM(I51:INDIRECT("I"&amp;$O50))=0,"",MIN(I51:INDIRECT("I"&amp;$O50)))</f>
        <v>44743</v>
      </c>
      <c r="J50" s="64">
        <f ca="1">IF(SUM(J51:INDIRECT("J"&amp;$O50))=0,"",MAX(J51:INDIRECT("J"&amp;$O50)))</f>
        <v>44924</v>
      </c>
      <c r="K50" s="64">
        <f ca="1">IF(SUM(K51:INDIRECT("K"&amp;$O50))=0,"",MIN(K51:INDIRECT("K"&amp;$O50)))</f>
        <v>44743</v>
      </c>
      <c r="L50" s="64">
        <f ca="1">IF(SUM(L51:INDIRECT("L"&amp;$O50))=0,"",MAX(L51:INDIRECT("L"&amp;$O50)))</f>
        <v>45077</v>
      </c>
      <c r="M50" s="64">
        <f ca="1">IF(N50,TODAY(),IF(SUM(M51:INDIRECT("M"&amp;$O50))=0,"",MAX(M51:INDIRECT("M"&amp;$O50))))</f>
        <v>45096</v>
      </c>
      <c r="N50" s="64" t="b">
        <f ca="1">OR(N51:INDIRECT("N"&amp;O50))</f>
        <v>1</v>
      </c>
      <c r="O50" s="65">
        <f>ROW()+COUNTA(N51:N56)</f>
        <v>56</v>
      </c>
      <c r="P50" s="66">
        <f>AVERAGE(P51:P56)</f>
        <v>0.9</v>
      </c>
      <c r="R50" s="51" t="s">
        <v>2</v>
      </c>
      <c r="S50" s="68" t="s">
        <v>160</v>
      </c>
      <c r="T50" s="69" t="s">
        <v>160</v>
      </c>
      <c r="U50" s="69" t="s">
        <v>160</v>
      </c>
      <c r="V50" s="69" t="s">
        <v>160</v>
      </c>
      <c r="W50" s="78" t="s">
        <v>160</v>
      </c>
      <c r="X50" s="78" t="s">
        <v>160</v>
      </c>
      <c r="Y50" s="78" t="s">
        <v>160</v>
      </c>
      <c r="Z50" s="69" t="s">
        <v>160</v>
      </c>
      <c r="AA50" s="69" t="s">
        <v>160</v>
      </c>
      <c r="AB50" s="69" t="s">
        <v>160</v>
      </c>
      <c r="AC50" s="69" t="s">
        <v>160</v>
      </c>
      <c r="AD50" s="69" t="s">
        <v>160</v>
      </c>
      <c r="AE50" s="69" t="s">
        <v>160</v>
      </c>
      <c r="AF50" s="69" t="s">
        <v>160</v>
      </c>
      <c r="AG50" s="69" t="s">
        <v>160</v>
      </c>
      <c r="AH50" s="69" t="s">
        <v>160</v>
      </c>
      <c r="AI50" s="69" t="s">
        <v>160</v>
      </c>
      <c r="AJ50" s="69" t="s">
        <v>160</v>
      </c>
      <c r="AK50" s="69" t="s">
        <v>160</v>
      </c>
      <c r="AL50" s="69" t="s">
        <v>160</v>
      </c>
      <c r="AM50" s="69" t="s">
        <v>160</v>
      </c>
      <c r="AN50" s="69" t="s">
        <v>160</v>
      </c>
      <c r="AO50" s="69" t="s">
        <v>160</v>
      </c>
      <c r="AP50" s="69" t="s">
        <v>160</v>
      </c>
      <c r="AQ50" s="69" t="s">
        <v>160</v>
      </c>
      <c r="AR50" s="69" t="s">
        <v>160</v>
      </c>
      <c r="AS50" s="69" t="s">
        <v>160</v>
      </c>
      <c r="AT50" s="69" t="s">
        <v>160</v>
      </c>
      <c r="AU50" s="69" t="s">
        <v>160</v>
      </c>
      <c r="AV50" s="69" t="s">
        <v>160</v>
      </c>
      <c r="AW50" s="69" t="s">
        <v>160</v>
      </c>
      <c r="AX50" s="69" t="s">
        <v>160</v>
      </c>
      <c r="AY50" s="69" t="s">
        <v>160</v>
      </c>
      <c r="AZ50" s="69" t="s">
        <v>160</v>
      </c>
      <c r="BA50" s="69" t="s">
        <v>160</v>
      </c>
      <c r="BB50" s="69" t="s">
        <v>160</v>
      </c>
      <c r="BC50" s="69" t="s">
        <v>160</v>
      </c>
      <c r="BD50" s="69" t="s">
        <v>160</v>
      </c>
      <c r="BE50" s="69" t="s">
        <v>160</v>
      </c>
      <c r="BF50" s="69" t="s">
        <v>160</v>
      </c>
      <c r="BG50" s="69" t="s">
        <v>160</v>
      </c>
      <c r="BH50" s="69" t="s">
        <v>160</v>
      </c>
      <c r="BI50" s="69" t="s">
        <v>160</v>
      </c>
      <c r="BJ50" s="69" t="s">
        <v>160</v>
      </c>
      <c r="BK50" s="69" t="s">
        <v>160</v>
      </c>
      <c r="BL50" s="69" t="s">
        <v>160</v>
      </c>
      <c r="BM50" s="69" t="s">
        <v>160</v>
      </c>
      <c r="BN50" s="69" t="s">
        <v>160</v>
      </c>
      <c r="BO50" s="69" t="s">
        <v>160</v>
      </c>
      <c r="BP50" s="69" t="s">
        <v>160</v>
      </c>
      <c r="BQ50" s="69" t="s">
        <v>160</v>
      </c>
      <c r="BR50" s="69" t="s">
        <v>160</v>
      </c>
      <c r="BS50" s="69" t="s">
        <v>160</v>
      </c>
      <c r="BT50" s="69" t="s">
        <v>160</v>
      </c>
      <c r="BU50" s="69" t="s">
        <v>160</v>
      </c>
      <c r="BV50" s="69" t="s">
        <v>160</v>
      </c>
      <c r="BW50" s="69" t="s">
        <v>160</v>
      </c>
      <c r="BX50" s="69" t="s">
        <v>160</v>
      </c>
      <c r="BY50" s="69" t="s">
        <v>160</v>
      </c>
      <c r="BZ50" s="69" t="s">
        <v>160</v>
      </c>
      <c r="CA50" s="69" t="s">
        <v>160</v>
      </c>
      <c r="CB50" s="69" t="s">
        <v>160</v>
      </c>
      <c r="CC50" s="69" t="s">
        <v>160</v>
      </c>
      <c r="CD50" s="69" t="s">
        <v>160</v>
      </c>
      <c r="CE50" s="69" t="s">
        <v>160</v>
      </c>
      <c r="CF50" s="69" t="s">
        <v>160</v>
      </c>
      <c r="CG50" s="69" t="s">
        <v>160</v>
      </c>
      <c r="CH50" s="69" t="s">
        <v>160</v>
      </c>
      <c r="CI50" s="69" t="s">
        <v>160</v>
      </c>
      <c r="CJ50" s="69" t="s">
        <v>160</v>
      </c>
      <c r="CK50" s="69" t="s">
        <v>160</v>
      </c>
      <c r="CL50" s="69" t="s">
        <v>160</v>
      </c>
      <c r="CM50" s="69" t="s">
        <v>160</v>
      </c>
      <c r="CN50" s="69" t="s">
        <v>160</v>
      </c>
      <c r="CO50" s="69" t="s">
        <v>160</v>
      </c>
      <c r="CP50" s="69" t="s">
        <v>160</v>
      </c>
      <c r="CQ50" s="69" t="s">
        <v>160</v>
      </c>
      <c r="CR50" s="69" t="s">
        <v>160</v>
      </c>
      <c r="CS50" s="69" t="s">
        <v>160</v>
      </c>
      <c r="CT50" s="69" t="s">
        <v>160</v>
      </c>
      <c r="CU50" s="69" t="s">
        <v>160</v>
      </c>
      <c r="CV50" s="69" t="s">
        <v>160</v>
      </c>
      <c r="CW50" s="69" t="s">
        <v>160</v>
      </c>
      <c r="CX50" s="69" t="s">
        <v>160</v>
      </c>
      <c r="CY50" s="69" t="s">
        <v>160</v>
      </c>
      <c r="CZ50" s="69" t="s">
        <v>160</v>
      </c>
      <c r="DA50" s="69" t="s">
        <v>160</v>
      </c>
      <c r="DB50" s="69" t="s">
        <v>160</v>
      </c>
      <c r="DC50" s="69" t="s">
        <v>160</v>
      </c>
      <c r="DD50" s="69" t="s">
        <v>160</v>
      </c>
      <c r="DE50" s="69" t="s">
        <v>160</v>
      </c>
      <c r="DF50" s="69" t="s">
        <v>160</v>
      </c>
      <c r="DG50" s="69" t="s">
        <v>160</v>
      </c>
      <c r="DH50" s="69" t="s">
        <v>160</v>
      </c>
      <c r="DI50" s="69" t="s">
        <v>160</v>
      </c>
      <c r="DJ50" s="69" t="s">
        <v>160</v>
      </c>
      <c r="DK50" s="69" t="s">
        <v>160</v>
      </c>
      <c r="DL50" s="69" t="s">
        <v>160</v>
      </c>
      <c r="DM50" s="69" t="s">
        <v>160</v>
      </c>
      <c r="DN50" s="69" t="s">
        <v>160</v>
      </c>
      <c r="DO50" s="69" t="s">
        <v>160</v>
      </c>
      <c r="DP50" s="69" t="s">
        <v>160</v>
      </c>
      <c r="DQ50" s="69" t="s">
        <v>160</v>
      </c>
      <c r="DR50" s="69" t="s">
        <v>160</v>
      </c>
      <c r="DS50" s="69" t="s">
        <v>160</v>
      </c>
      <c r="DT50" s="69" t="s">
        <v>160</v>
      </c>
      <c r="DU50" s="69" t="s">
        <v>160</v>
      </c>
      <c r="DV50" s="69" t="s">
        <v>160</v>
      </c>
      <c r="DW50" s="69" t="s">
        <v>160</v>
      </c>
      <c r="DX50" s="69" t="s">
        <v>160</v>
      </c>
      <c r="DY50" s="69" t="s">
        <v>160</v>
      </c>
      <c r="DZ50" s="69" t="s">
        <v>160</v>
      </c>
      <c r="EA50" s="69" t="s">
        <v>160</v>
      </c>
      <c r="EB50" s="69" t="s">
        <v>160</v>
      </c>
      <c r="EC50" s="69" t="s">
        <v>160</v>
      </c>
      <c r="ED50" s="69" t="s">
        <v>160</v>
      </c>
      <c r="EE50" s="69" t="s">
        <v>160</v>
      </c>
      <c r="EF50" s="69" t="s">
        <v>160</v>
      </c>
      <c r="EG50" s="69" t="s">
        <v>160</v>
      </c>
      <c r="EH50" s="69" t="s">
        <v>160</v>
      </c>
      <c r="EI50" s="69" t="s">
        <v>160</v>
      </c>
      <c r="EJ50" s="69" t="s">
        <v>160</v>
      </c>
      <c r="EK50" s="69" t="s">
        <v>160</v>
      </c>
      <c r="EL50" s="69" t="s">
        <v>160</v>
      </c>
      <c r="EM50" s="69" t="s">
        <v>160</v>
      </c>
      <c r="EN50" s="69" t="s">
        <v>160</v>
      </c>
      <c r="EO50" s="69" t="s">
        <v>160</v>
      </c>
      <c r="EP50" s="69" t="s">
        <v>160</v>
      </c>
      <c r="EQ50" s="69" t="s">
        <v>160</v>
      </c>
      <c r="ER50" s="69" t="s">
        <v>160</v>
      </c>
      <c r="ES50" s="69" t="s">
        <v>160</v>
      </c>
      <c r="ET50" s="69" t="s">
        <v>160</v>
      </c>
      <c r="EU50" s="69" t="s">
        <v>160</v>
      </c>
      <c r="EV50" s="69" t="s">
        <v>160</v>
      </c>
      <c r="EW50" s="69" t="s">
        <v>160</v>
      </c>
      <c r="EX50" s="69" t="s">
        <v>160</v>
      </c>
      <c r="EY50" s="69" t="s">
        <v>160</v>
      </c>
      <c r="EZ50" s="69" t="s">
        <v>160</v>
      </c>
      <c r="FA50" s="69" t="s">
        <v>160</v>
      </c>
      <c r="FB50" s="69" t="s">
        <v>160</v>
      </c>
      <c r="FC50" s="69" t="s">
        <v>160</v>
      </c>
      <c r="FD50" s="69" t="s">
        <v>160</v>
      </c>
    </row>
    <row r="51" spans="1:160">
      <c r="A51" s="103" t="s">
        <v>451</v>
      </c>
      <c r="C51" s="50" t="s">
        <v>197</v>
      </c>
      <c r="G51" s="51" t="str">
        <f t="shared" si="0"/>
        <v>Note : First Version for above use cases</v>
      </c>
      <c r="H51" s="51" t="s">
        <v>2</v>
      </c>
      <c r="I51" s="64"/>
      <c r="J51" s="64"/>
      <c r="K51" s="64"/>
      <c r="L51" s="64"/>
      <c r="M51" s="64"/>
      <c r="N51" s="64" t="b">
        <f>ISNUMBER(SEARCH("*Waiting*",M51))</f>
        <v>0</v>
      </c>
      <c r="O51" s="64"/>
      <c r="R51" s="51" t="s">
        <v>2</v>
      </c>
      <c r="S51" s="68" t="s">
        <v>160</v>
      </c>
      <c r="T51" s="69" t="s">
        <v>160</v>
      </c>
      <c r="U51" s="69" t="s">
        <v>160</v>
      </c>
      <c r="V51" s="69" t="s">
        <v>160</v>
      </c>
      <c r="W51" s="69" t="s">
        <v>160</v>
      </c>
      <c r="X51" s="69" t="s">
        <v>160</v>
      </c>
      <c r="Y51" s="69" t="s">
        <v>160</v>
      </c>
      <c r="Z51" s="69" t="s">
        <v>160</v>
      </c>
      <c r="AA51" s="69" t="s">
        <v>160</v>
      </c>
      <c r="AB51" s="69" t="s">
        <v>160</v>
      </c>
      <c r="AC51" s="69" t="s">
        <v>160</v>
      </c>
      <c r="AD51" s="69" t="s">
        <v>160</v>
      </c>
      <c r="AE51" s="69" t="s">
        <v>160</v>
      </c>
      <c r="AF51" s="69" t="s">
        <v>160</v>
      </c>
      <c r="AG51" s="69" t="s">
        <v>160</v>
      </c>
      <c r="AH51" s="69" t="s">
        <v>160</v>
      </c>
      <c r="AI51" s="69" t="s">
        <v>160</v>
      </c>
      <c r="AJ51" s="69" t="s">
        <v>160</v>
      </c>
      <c r="AK51" s="69" t="s">
        <v>160</v>
      </c>
      <c r="AL51" s="69" t="s">
        <v>160</v>
      </c>
      <c r="AM51" s="69" t="s">
        <v>160</v>
      </c>
      <c r="AN51" s="69" t="s">
        <v>160</v>
      </c>
      <c r="AO51" s="69" t="s">
        <v>160</v>
      </c>
      <c r="AP51" s="69" t="s">
        <v>160</v>
      </c>
      <c r="AQ51" s="69" t="s">
        <v>160</v>
      </c>
      <c r="AR51" s="69" t="s">
        <v>160</v>
      </c>
      <c r="AS51" s="69" t="s">
        <v>160</v>
      </c>
      <c r="AT51" s="69" t="s">
        <v>160</v>
      </c>
      <c r="AU51" s="69" t="s">
        <v>160</v>
      </c>
      <c r="AV51" s="69" t="s">
        <v>160</v>
      </c>
      <c r="AW51" s="69" t="s">
        <v>160</v>
      </c>
      <c r="AX51" s="69" t="s">
        <v>160</v>
      </c>
      <c r="AY51" s="69" t="s">
        <v>160</v>
      </c>
      <c r="AZ51" s="69" t="s">
        <v>160</v>
      </c>
      <c r="BA51" s="69" t="s">
        <v>160</v>
      </c>
      <c r="BB51" s="69" t="s">
        <v>160</v>
      </c>
      <c r="BC51" s="69" t="s">
        <v>160</v>
      </c>
      <c r="BD51" s="69" t="s">
        <v>160</v>
      </c>
      <c r="BE51" s="69" t="s">
        <v>160</v>
      </c>
      <c r="BF51" s="69" t="s">
        <v>160</v>
      </c>
      <c r="BG51" s="69" t="s">
        <v>160</v>
      </c>
      <c r="BH51" s="69" t="s">
        <v>160</v>
      </c>
      <c r="BI51" s="69" t="s">
        <v>160</v>
      </c>
      <c r="BJ51" s="69" t="s">
        <v>160</v>
      </c>
      <c r="BK51" s="69" t="s">
        <v>160</v>
      </c>
      <c r="BL51" s="69" t="s">
        <v>160</v>
      </c>
      <c r="BM51" s="69" t="s">
        <v>160</v>
      </c>
      <c r="BN51" s="69" t="s">
        <v>160</v>
      </c>
      <c r="BO51" s="69" t="s">
        <v>160</v>
      </c>
      <c r="BP51" s="69" t="s">
        <v>160</v>
      </c>
      <c r="BQ51" s="69" t="s">
        <v>160</v>
      </c>
      <c r="BR51" s="69" t="s">
        <v>160</v>
      </c>
      <c r="BS51" s="69" t="s">
        <v>160</v>
      </c>
      <c r="BT51" s="69" t="s">
        <v>160</v>
      </c>
      <c r="BU51" s="69" t="s">
        <v>160</v>
      </c>
      <c r="BV51" s="69" t="s">
        <v>160</v>
      </c>
      <c r="BW51" s="69" t="s">
        <v>160</v>
      </c>
      <c r="BX51" s="69" t="s">
        <v>160</v>
      </c>
      <c r="BY51" s="69" t="s">
        <v>160</v>
      </c>
      <c r="BZ51" s="69" t="s">
        <v>160</v>
      </c>
      <c r="CA51" s="69" t="s">
        <v>160</v>
      </c>
      <c r="CB51" s="69" t="s">
        <v>160</v>
      </c>
      <c r="CC51" s="69" t="s">
        <v>160</v>
      </c>
      <c r="CD51" s="69" t="s">
        <v>160</v>
      </c>
      <c r="CE51" s="69" t="s">
        <v>160</v>
      </c>
      <c r="CF51" s="69" t="s">
        <v>160</v>
      </c>
      <c r="CG51" s="69" t="s">
        <v>160</v>
      </c>
      <c r="CH51" s="69" t="s">
        <v>160</v>
      </c>
      <c r="CI51" s="69" t="s">
        <v>160</v>
      </c>
      <c r="CJ51" s="69" t="s">
        <v>160</v>
      </c>
      <c r="CK51" s="69" t="s">
        <v>160</v>
      </c>
      <c r="CL51" s="69" t="s">
        <v>160</v>
      </c>
      <c r="CM51" s="69" t="s">
        <v>160</v>
      </c>
      <c r="CN51" s="69" t="s">
        <v>160</v>
      </c>
      <c r="CO51" s="69" t="s">
        <v>160</v>
      </c>
      <c r="CP51" s="69" t="s">
        <v>160</v>
      </c>
      <c r="CQ51" s="69" t="s">
        <v>160</v>
      </c>
      <c r="CR51" s="69" t="s">
        <v>160</v>
      </c>
      <c r="CS51" s="69" t="s">
        <v>160</v>
      </c>
      <c r="CT51" s="69" t="s">
        <v>160</v>
      </c>
      <c r="CU51" s="69" t="s">
        <v>160</v>
      </c>
      <c r="CV51" s="69" t="s">
        <v>160</v>
      </c>
      <c r="CW51" s="69" t="s">
        <v>160</v>
      </c>
      <c r="CX51" s="69" t="s">
        <v>160</v>
      </c>
      <c r="CY51" s="69" t="s">
        <v>160</v>
      </c>
      <c r="CZ51" s="69" t="s">
        <v>160</v>
      </c>
      <c r="DA51" s="69" t="s">
        <v>160</v>
      </c>
      <c r="DB51" s="69" t="s">
        <v>160</v>
      </c>
      <c r="DC51" s="69" t="s">
        <v>160</v>
      </c>
      <c r="DD51" s="69" t="s">
        <v>160</v>
      </c>
      <c r="DE51" s="69" t="s">
        <v>160</v>
      </c>
      <c r="DF51" s="69" t="s">
        <v>160</v>
      </c>
      <c r="DG51" s="69" t="s">
        <v>160</v>
      </c>
      <c r="DH51" s="69" t="s">
        <v>160</v>
      </c>
      <c r="DI51" s="69" t="s">
        <v>160</v>
      </c>
      <c r="DJ51" s="69" t="s">
        <v>160</v>
      </c>
      <c r="DK51" s="69" t="s">
        <v>160</v>
      </c>
      <c r="DL51" s="69" t="s">
        <v>160</v>
      </c>
      <c r="DM51" s="69" t="s">
        <v>160</v>
      </c>
      <c r="DN51" s="69" t="s">
        <v>160</v>
      </c>
      <c r="DO51" s="69" t="s">
        <v>160</v>
      </c>
      <c r="DP51" s="69" t="s">
        <v>160</v>
      </c>
      <c r="DQ51" s="69" t="s">
        <v>160</v>
      </c>
      <c r="DR51" s="69" t="s">
        <v>160</v>
      </c>
      <c r="DS51" s="69" t="s">
        <v>160</v>
      </c>
      <c r="DT51" s="69" t="s">
        <v>160</v>
      </c>
      <c r="DU51" s="69" t="s">
        <v>160</v>
      </c>
      <c r="DV51" s="69" t="s">
        <v>160</v>
      </c>
      <c r="DW51" s="69" t="s">
        <v>160</v>
      </c>
      <c r="DX51" s="69" t="s">
        <v>160</v>
      </c>
      <c r="DY51" s="69" t="s">
        <v>160</v>
      </c>
      <c r="DZ51" s="69" t="s">
        <v>160</v>
      </c>
      <c r="EA51" s="69" t="s">
        <v>160</v>
      </c>
      <c r="EB51" s="69" t="s">
        <v>160</v>
      </c>
      <c r="EC51" s="69" t="s">
        <v>160</v>
      </c>
      <c r="ED51" s="69" t="s">
        <v>160</v>
      </c>
      <c r="EE51" s="69" t="s">
        <v>160</v>
      </c>
      <c r="EF51" s="69" t="s">
        <v>160</v>
      </c>
      <c r="EG51" s="69" t="s">
        <v>160</v>
      </c>
      <c r="EH51" s="69" t="s">
        <v>160</v>
      </c>
      <c r="EI51" s="69" t="s">
        <v>160</v>
      </c>
      <c r="EJ51" s="69" t="s">
        <v>160</v>
      </c>
      <c r="EK51" s="69" t="s">
        <v>160</v>
      </c>
      <c r="EL51" s="69" t="s">
        <v>160</v>
      </c>
      <c r="EM51" s="69" t="s">
        <v>160</v>
      </c>
      <c r="EN51" s="69" t="s">
        <v>160</v>
      </c>
      <c r="EO51" s="69" t="s">
        <v>160</v>
      </c>
      <c r="EP51" s="69" t="s">
        <v>160</v>
      </c>
      <c r="EQ51" s="69" t="s">
        <v>160</v>
      </c>
      <c r="ER51" s="69" t="s">
        <v>160</v>
      </c>
      <c r="ES51" s="69" t="s">
        <v>160</v>
      </c>
      <c r="ET51" s="69" t="s">
        <v>160</v>
      </c>
      <c r="EU51" s="69" t="s">
        <v>160</v>
      </c>
      <c r="EV51" s="69" t="s">
        <v>160</v>
      </c>
      <c r="EW51" s="69" t="s">
        <v>160</v>
      </c>
      <c r="EX51" s="69" t="s">
        <v>160</v>
      </c>
      <c r="EY51" s="69" t="s">
        <v>160</v>
      </c>
      <c r="EZ51" s="69" t="s">
        <v>160</v>
      </c>
      <c r="FA51" s="69" t="s">
        <v>160</v>
      </c>
      <c r="FB51" s="69" t="s">
        <v>160</v>
      </c>
      <c r="FC51" s="69" t="s">
        <v>160</v>
      </c>
      <c r="FD51" s="69" t="s">
        <v>160</v>
      </c>
    </row>
    <row r="52" spans="1:160">
      <c r="A52" s="103" t="s">
        <v>452</v>
      </c>
      <c r="B52" s="21" t="s">
        <v>163</v>
      </c>
      <c r="C52" s="50" t="s">
        <v>171</v>
      </c>
      <c r="G52" s="51" t="str">
        <f t="shared" si="0"/>
        <v>Technical design document explaining the data schema and algorithm</v>
      </c>
      <c r="H52" s="51" t="s">
        <v>2</v>
      </c>
      <c r="I52" s="64">
        <v>44743</v>
      </c>
      <c r="J52" s="64">
        <v>44924</v>
      </c>
      <c r="K52" s="64">
        <v>44743</v>
      </c>
      <c r="L52" s="64">
        <v>45077</v>
      </c>
      <c r="M52" s="64" t="s">
        <v>174</v>
      </c>
      <c r="N52" s="64" t="b">
        <f t="shared" ref="N52:N56" si="7">ISNUMBER(SEARCH("*Waiting*",M52))</f>
        <v>1</v>
      </c>
      <c r="O52" s="64"/>
      <c r="P52" s="24">
        <v>0.9</v>
      </c>
      <c r="R52" s="51" t="s">
        <v>2</v>
      </c>
      <c r="S52" s="68" t="s">
        <v>160</v>
      </c>
      <c r="T52" s="69" t="s">
        <v>160</v>
      </c>
      <c r="U52" s="69" t="s">
        <v>160</v>
      </c>
      <c r="V52" s="69" t="s">
        <v>160</v>
      </c>
      <c r="W52" s="69" t="s">
        <v>160</v>
      </c>
      <c r="X52" s="69" t="s">
        <v>160</v>
      </c>
      <c r="Y52" s="80" t="s">
        <v>160</v>
      </c>
      <c r="Z52" s="69" t="s">
        <v>160</v>
      </c>
      <c r="AA52" s="69" t="s">
        <v>160</v>
      </c>
      <c r="AB52" s="69" t="s">
        <v>160</v>
      </c>
      <c r="AC52" s="69" t="s">
        <v>160</v>
      </c>
      <c r="AD52" s="69" t="s">
        <v>160</v>
      </c>
      <c r="AE52" s="69" t="s">
        <v>160</v>
      </c>
      <c r="AF52" s="69" t="s">
        <v>160</v>
      </c>
      <c r="AG52" s="69" t="s">
        <v>160</v>
      </c>
      <c r="AH52" s="69" t="s">
        <v>160</v>
      </c>
      <c r="AI52" s="69" t="s">
        <v>160</v>
      </c>
      <c r="AJ52" s="69" t="s">
        <v>160</v>
      </c>
      <c r="AK52" s="69" t="s">
        <v>160</v>
      </c>
      <c r="AL52" s="69" t="s">
        <v>160</v>
      </c>
      <c r="AM52" s="69" t="s">
        <v>160</v>
      </c>
      <c r="AN52" s="69" t="s">
        <v>160</v>
      </c>
      <c r="AO52" s="69" t="s">
        <v>160</v>
      </c>
      <c r="AP52" s="69" t="s">
        <v>160</v>
      </c>
      <c r="AQ52" s="69" t="s">
        <v>160</v>
      </c>
      <c r="AR52" s="69" t="s">
        <v>160</v>
      </c>
      <c r="AS52" s="69" t="s">
        <v>160</v>
      </c>
      <c r="AT52" s="69" t="s">
        <v>160</v>
      </c>
      <c r="AU52" s="69" t="s">
        <v>160</v>
      </c>
      <c r="AV52" s="69" t="s">
        <v>160</v>
      </c>
      <c r="AW52" s="69" t="s">
        <v>160</v>
      </c>
      <c r="AX52" s="69" t="s">
        <v>160</v>
      </c>
      <c r="AY52" s="69" t="s">
        <v>160</v>
      </c>
      <c r="AZ52" s="69" t="s">
        <v>160</v>
      </c>
      <c r="BA52" s="69" t="s">
        <v>160</v>
      </c>
      <c r="BB52" s="69" t="s">
        <v>160</v>
      </c>
      <c r="BC52" s="69" t="s">
        <v>160</v>
      </c>
      <c r="BD52" s="69" t="s">
        <v>160</v>
      </c>
      <c r="BE52" s="69" t="s">
        <v>160</v>
      </c>
      <c r="BF52" s="69" t="s">
        <v>160</v>
      </c>
      <c r="BG52" s="69" t="s">
        <v>160</v>
      </c>
      <c r="BH52" s="69" t="s">
        <v>160</v>
      </c>
      <c r="BI52" s="69" t="s">
        <v>160</v>
      </c>
      <c r="BJ52" s="69" t="s">
        <v>160</v>
      </c>
      <c r="BK52" s="69" t="s">
        <v>160</v>
      </c>
      <c r="BL52" s="69" t="s">
        <v>160</v>
      </c>
      <c r="BM52" s="69" t="s">
        <v>160</v>
      </c>
      <c r="BN52" s="69" t="s">
        <v>160</v>
      </c>
      <c r="BO52" s="69" t="s">
        <v>160</v>
      </c>
      <c r="BP52" s="69" t="s">
        <v>160</v>
      </c>
      <c r="BQ52" s="69" t="s">
        <v>160</v>
      </c>
      <c r="BR52" s="69" t="s">
        <v>160</v>
      </c>
      <c r="BS52" s="69" t="s">
        <v>160</v>
      </c>
      <c r="BT52" s="69" t="s">
        <v>160</v>
      </c>
      <c r="BU52" s="69" t="s">
        <v>160</v>
      </c>
      <c r="BV52" s="69" t="s">
        <v>160</v>
      </c>
      <c r="BW52" s="69" t="s">
        <v>160</v>
      </c>
      <c r="BX52" s="69" t="s">
        <v>160</v>
      </c>
      <c r="BY52" s="69" t="s">
        <v>160</v>
      </c>
      <c r="BZ52" s="69" t="s">
        <v>160</v>
      </c>
      <c r="CA52" s="69" t="s">
        <v>160</v>
      </c>
      <c r="CB52" s="69" t="s">
        <v>160</v>
      </c>
      <c r="CC52" s="69" t="s">
        <v>160</v>
      </c>
      <c r="CD52" s="69" t="s">
        <v>160</v>
      </c>
      <c r="CE52" s="69" t="s">
        <v>160</v>
      </c>
      <c r="CF52" s="69" t="s">
        <v>160</v>
      </c>
      <c r="CG52" s="69" t="s">
        <v>160</v>
      </c>
      <c r="CH52" s="69" t="s">
        <v>160</v>
      </c>
      <c r="CI52" s="69" t="s">
        <v>160</v>
      </c>
      <c r="CJ52" s="69" t="s">
        <v>160</v>
      </c>
      <c r="CK52" s="69" t="s">
        <v>160</v>
      </c>
      <c r="CL52" s="69" t="s">
        <v>160</v>
      </c>
      <c r="CM52" s="69" t="s">
        <v>160</v>
      </c>
      <c r="CN52" s="69" t="s">
        <v>160</v>
      </c>
      <c r="CO52" s="69" t="s">
        <v>160</v>
      </c>
      <c r="CP52" s="69" t="s">
        <v>160</v>
      </c>
      <c r="CQ52" s="69" t="s">
        <v>160</v>
      </c>
      <c r="CR52" s="69" t="s">
        <v>160</v>
      </c>
      <c r="CS52" s="69" t="s">
        <v>160</v>
      </c>
      <c r="CT52" s="69" t="s">
        <v>160</v>
      </c>
      <c r="CU52" s="69" t="s">
        <v>160</v>
      </c>
      <c r="CV52" s="69" t="s">
        <v>160</v>
      </c>
      <c r="CW52" s="69" t="s">
        <v>160</v>
      </c>
      <c r="CX52" s="69" t="s">
        <v>160</v>
      </c>
      <c r="CY52" s="69" t="s">
        <v>160</v>
      </c>
      <c r="CZ52" s="69" t="s">
        <v>160</v>
      </c>
      <c r="DA52" s="69" t="s">
        <v>160</v>
      </c>
      <c r="DB52" s="69" t="s">
        <v>160</v>
      </c>
      <c r="DC52" s="69" t="s">
        <v>160</v>
      </c>
      <c r="DD52" s="69" t="s">
        <v>160</v>
      </c>
      <c r="DE52" s="69" t="s">
        <v>160</v>
      </c>
      <c r="DF52" s="69" t="s">
        <v>160</v>
      </c>
      <c r="DG52" s="69" t="s">
        <v>160</v>
      </c>
      <c r="DH52" s="69" t="s">
        <v>160</v>
      </c>
      <c r="DI52" s="69" t="s">
        <v>160</v>
      </c>
      <c r="DJ52" s="69" t="s">
        <v>160</v>
      </c>
      <c r="DK52" s="69" t="s">
        <v>160</v>
      </c>
      <c r="DL52" s="69" t="s">
        <v>160</v>
      </c>
      <c r="DM52" s="69" t="s">
        <v>160</v>
      </c>
      <c r="DN52" s="69" t="s">
        <v>160</v>
      </c>
      <c r="DO52" s="69" t="s">
        <v>160</v>
      </c>
      <c r="DP52" s="69" t="s">
        <v>160</v>
      </c>
      <c r="DQ52" s="69" t="s">
        <v>160</v>
      </c>
      <c r="DR52" s="69" t="s">
        <v>160</v>
      </c>
      <c r="DS52" s="69" t="s">
        <v>160</v>
      </c>
      <c r="DT52" s="69" t="s">
        <v>160</v>
      </c>
      <c r="DU52" s="69" t="s">
        <v>160</v>
      </c>
      <c r="DV52" s="69" t="s">
        <v>160</v>
      </c>
      <c r="DW52" s="69" t="s">
        <v>160</v>
      </c>
      <c r="DX52" s="69" t="s">
        <v>160</v>
      </c>
      <c r="DY52" s="69" t="s">
        <v>160</v>
      </c>
      <c r="DZ52" s="69" t="s">
        <v>160</v>
      </c>
      <c r="EA52" s="69" t="s">
        <v>160</v>
      </c>
      <c r="EB52" s="69" t="s">
        <v>160</v>
      </c>
      <c r="EC52" s="69" t="s">
        <v>160</v>
      </c>
      <c r="ED52" s="69" t="s">
        <v>160</v>
      </c>
      <c r="EE52" s="69" t="s">
        <v>160</v>
      </c>
      <c r="EF52" s="69" t="s">
        <v>160</v>
      </c>
      <c r="EG52" s="69" t="s">
        <v>160</v>
      </c>
      <c r="EH52" s="69" t="s">
        <v>160</v>
      </c>
      <c r="EI52" s="69" t="s">
        <v>160</v>
      </c>
      <c r="EJ52" s="69" t="s">
        <v>160</v>
      </c>
      <c r="EK52" s="69" t="s">
        <v>160</v>
      </c>
      <c r="EL52" s="69" t="s">
        <v>160</v>
      </c>
      <c r="EM52" s="69" t="s">
        <v>160</v>
      </c>
      <c r="EN52" s="69" t="s">
        <v>160</v>
      </c>
      <c r="EO52" s="69" t="s">
        <v>160</v>
      </c>
      <c r="EP52" s="69" t="s">
        <v>160</v>
      </c>
      <c r="EQ52" s="69" t="s">
        <v>160</v>
      </c>
      <c r="ER52" s="69" t="s">
        <v>160</v>
      </c>
      <c r="ES52" s="69" t="s">
        <v>160</v>
      </c>
      <c r="ET52" s="69" t="s">
        <v>160</v>
      </c>
      <c r="EU52" s="69" t="s">
        <v>160</v>
      </c>
      <c r="EV52" s="69" t="s">
        <v>160</v>
      </c>
      <c r="EW52" s="69" t="s">
        <v>160</v>
      </c>
      <c r="EX52" s="69" t="s">
        <v>160</v>
      </c>
      <c r="EY52" s="69" t="s">
        <v>160</v>
      </c>
      <c r="EZ52" s="69" t="s">
        <v>160</v>
      </c>
      <c r="FA52" s="69" t="s">
        <v>160</v>
      </c>
      <c r="FB52" s="69" t="s">
        <v>160</v>
      </c>
      <c r="FC52" s="69" t="s">
        <v>160</v>
      </c>
      <c r="FD52" s="69" t="s">
        <v>160</v>
      </c>
    </row>
    <row r="53" spans="1:160">
      <c r="A53" s="103" t="s">
        <v>453</v>
      </c>
      <c r="B53" s="20" t="s">
        <v>163</v>
      </c>
      <c r="C53" s="50" t="s">
        <v>172</v>
      </c>
      <c r="G53" s="51" t="str">
        <f t="shared" si="0"/>
        <v>Software Code</v>
      </c>
      <c r="H53" s="51" t="s">
        <v>2</v>
      </c>
      <c r="I53" s="64">
        <v>44743</v>
      </c>
      <c r="J53" s="64">
        <v>44924</v>
      </c>
      <c r="K53" s="64">
        <v>44743</v>
      </c>
      <c r="L53" s="64">
        <v>45077</v>
      </c>
      <c r="M53" s="64" t="s">
        <v>174</v>
      </c>
      <c r="N53" s="64" t="b">
        <f t="shared" si="7"/>
        <v>1</v>
      </c>
      <c r="O53" s="64"/>
      <c r="P53" s="24">
        <v>0.9</v>
      </c>
      <c r="R53" s="51" t="s">
        <v>2</v>
      </c>
      <c r="S53" s="68" t="s">
        <v>160</v>
      </c>
      <c r="T53" s="69" t="s">
        <v>160</v>
      </c>
      <c r="U53" s="69" t="s">
        <v>160</v>
      </c>
      <c r="V53" s="69" t="s">
        <v>160</v>
      </c>
      <c r="W53" s="80" t="s">
        <v>160</v>
      </c>
      <c r="X53" s="80" t="s">
        <v>160</v>
      </c>
      <c r="Y53" s="69" t="s">
        <v>160</v>
      </c>
      <c r="Z53" s="69" t="s">
        <v>160</v>
      </c>
      <c r="AA53" s="69" t="s">
        <v>160</v>
      </c>
      <c r="AB53" s="69" t="s">
        <v>160</v>
      </c>
      <c r="AC53" s="69" t="s">
        <v>160</v>
      </c>
      <c r="AD53" s="69" t="s">
        <v>160</v>
      </c>
      <c r="AE53" s="69" t="s">
        <v>160</v>
      </c>
      <c r="AF53" s="69" t="s">
        <v>160</v>
      </c>
      <c r="AG53" s="69" t="s">
        <v>160</v>
      </c>
      <c r="AH53" s="69" t="s">
        <v>160</v>
      </c>
      <c r="AI53" s="69" t="s">
        <v>160</v>
      </c>
      <c r="AJ53" s="69" t="s">
        <v>160</v>
      </c>
      <c r="AK53" s="69" t="s">
        <v>160</v>
      </c>
      <c r="AL53" s="69" t="s">
        <v>160</v>
      </c>
      <c r="AM53" s="69" t="s">
        <v>160</v>
      </c>
      <c r="AN53" s="69" t="s">
        <v>160</v>
      </c>
      <c r="AO53" s="69" t="s">
        <v>160</v>
      </c>
      <c r="AP53" s="69" t="s">
        <v>160</v>
      </c>
      <c r="AQ53" s="69" t="s">
        <v>160</v>
      </c>
      <c r="AR53" s="69" t="s">
        <v>160</v>
      </c>
      <c r="AS53" s="69" t="s">
        <v>160</v>
      </c>
      <c r="AT53" s="69" t="s">
        <v>160</v>
      </c>
      <c r="AU53" s="69" t="s">
        <v>160</v>
      </c>
      <c r="AV53" s="69" t="s">
        <v>160</v>
      </c>
      <c r="AW53" s="69" t="s">
        <v>160</v>
      </c>
      <c r="AX53" s="69" t="s">
        <v>160</v>
      </c>
      <c r="AY53" s="69" t="s">
        <v>160</v>
      </c>
      <c r="AZ53" s="69" t="s">
        <v>160</v>
      </c>
      <c r="BA53" s="69" t="s">
        <v>160</v>
      </c>
      <c r="BB53" s="69" t="s">
        <v>160</v>
      </c>
      <c r="BC53" s="69" t="s">
        <v>160</v>
      </c>
      <c r="BD53" s="69" t="s">
        <v>160</v>
      </c>
      <c r="BE53" s="69" t="s">
        <v>160</v>
      </c>
      <c r="BF53" s="69" t="s">
        <v>160</v>
      </c>
      <c r="BG53" s="69" t="s">
        <v>160</v>
      </c>
      <c r="BH53" s="69" t="s">
        <v>160</v>
      </c>
      <c r="BI53" s="69" t="s">
        <v>160</v>
      </c>
      <c r="BJ53" s="69" t="s">
        <v>160</v>
      </c>
      <c r="BK53" s="69" t="s">
        <v>160</v>
      </c>
      <c r="BL53" s="69" t="s">
        <v>160</v>
      </c>
      <c r="BM53" s="69" t="s">
        <v>160</v>
      </c>
      <c r="BN53" s="69" t="s">
        <v>160</v>
      </c>
      <c r="BO53" s="69" t="s">
        <v>160</v>
      </c>
      <c r="BP53" s="69" t="s">
        <v>160</v>
      </c>
      <c r="BQ53" s="69" t="s">
        <v>160</v>
      </c>
      <c r="BR53" s="69" t="s">
        <v>160</v>
      </c>
      <c r="BS53" s="69" t="s">
        <v>160</v>
      </c>
      <c r="BT53" s="69" t="s">
        <v>160</v>
      </c>
      <c r="BU53" s="69" t="s">
        <v>160</v>
      </c>
      <c r="BV53" s="69" t="s">
        <v>160</v>
      </c>
      <c r="BW53" s="69" t="s">
        <v>160</v>
      </c>
      <c r="BX53" s="69" t="s">
        <v>160</v>
      </c>
      <c r="BY53" s="69" t="s">
        <v>160</v>
      </c>
      <c r="BZ53" s="69" t="s">
        <v>160</v>
      </c>
      <c r="CA53" s="69" t="s">
        <v>160</v>
      </c>
      <c r="CB53" s="69" t="s">
        <v>160</v>
      </c>
      <c r="CC53" s="69" t="s">
        <v>160</v>
      </c>
      <c r="CD53" s="69" t="s">
        <v>160</v>
      </c>
      <c r="CE53" s="69" t="s">
        <v>160</v>
      </c>
      <c r="CF53" s="69" t="s">
        <v>160</v>
      </c>
      <c r="CG53" s="69" t="s">
        <v>160</v>
      </c>
      <c r="CH53" s="69" t="s">
        <v>160</v>
      </c>
      <c r="CI53" s="69" t="s">
        <v>160</v>
      </c>
      <c r="CJ53" s="69" t="s">
        <v>160</v>
      </c>
      <c r="CK53" s="69" t="s">
        <v>160</v>
      </c>
      <c r="CL53" s="69" t="s">
        <v>160</v>
      </c>
      <c r="CM53" s="69" t="s">
        <v>160</v>
      </c>
      <c r="CN53" s="69" t="s">
        <v>160</v>
      </c>
      <c r="CO53" s="69" t="s">
        <v>160</v>
      </c>
      <c r="CP53" s="69" t="s">
        <v>160</v>
      </c>
      <c r="CQ53" s="69" t="s">
        <v>160</v>
      </c>
      <c r="CR53" s="69" t="s">
        <v>160</v>
      </c>
      <c r="CS53" s="69" t="s">
        <v>160</v>
      </c>
      <c r="CT53" s="69" t="s">
        <v>160</v>
      </c>
      <c r="CU53" s="69" t="s">
        <v>160</v>
      </c>
      <c r="CV53" s="69" t="s">
        <v>160</v>
      </c>
      <c r="CW53" s="69" t="s">
        <v>160</v>
      </c>
      <c r="CX53" s="69" t="s">
        <v>160</v>
      </c>
      <c r="CY53" s="69" t="s">
        <v>160</v>
      </c>
      <c r="CZ53" s="69" t="s">
        <v>160</v>
      </c>
      <c r="DA53" s="69" t="s">
        <v>160</v>
      </c>
      <c r="DB53" s="69" t="s">
        <v>160</v>
      </c>
      <c r="DC53" s="69" t="s">
        <v>160</v>
      </c>
      <c r="DD53" s="69" t="s">
        <v>160</v>
      </c>
      <c r="DE53" s="69" t="s">
        <v>160</v>
      </c>
      <c r="DF53" s="69" t="s">
        <v>160</v>
      </c>
      <c r="DG53" s="69" t="s">
        <v>160</v>
      </c>
      <c r="DH53" s="69" t="s">
        <v>160</v>
      </c>
      <c r="DI53" s="69" t="s">
        <v>160</v>
      </c>
      <c r="DJ53" s="69" t="s">
        <v>160</v>
      </c>
      <c r="DK53" s="69" t="s">
        <v>160</v>
      </c>
      <c r="DL53" s="69" t="s">
        <v>160</v>
      </c>
      <c r="DM53" s="69" t="s">
        <v>160</v>
      </c>
      <c r="DN53" s="69" t="s">
        <v>160</v>
      </c>
      <c r="DO53" s="69" t="s">
        <v>160</v>
      </c>
      <c r="DP53" s="69" t="s">
        <v>160</v>
      </c>
      <c r="DQ53" s="69" t="s">
        <v>160</v>
      </c>
      <c r="DR53" s="69" t="s">
        <v>160</v>
      </c>
      <c r="DS53" s="69" t="s">
        <v>160</v>
      </c>
      <c r="DT53" s="69" t="s">
        <v>160</v>
      </c>
      <c r="DU53" s="69" t="s">
        <v>160</v>
      </c>
      <c r="DV53" s="69" t="s">
        <v>160</v>
      </c>
      <c r="DW53" s="69" t="s">
        <v>160</v>
      </c>
      <c r="DX53" s="69" t="s">
        <v>160</v>
      </c>
      <c r="DY53" s="69" t="s">
        <v>160</v>
      </c>
      <c r="DZ53" s="69" t="s">
        <v>160</v>
      </c>
      <c r="EA53" s="69" t="s">
        <v>160</v>
      </c>
      <c r="EB53" s="69" t="s">
        <v>160</v>
      </c>
      <c r="EC53" s="69" t="s">
        <v>160</v>
      </c>
      <c r="ED53" s="69" t="s">
        <v>160</v>
      </c>
      <c r="EE53" s="69" t="s">
        <v>160</v>
      </c>
      <c r="EF53" s="69" t="s">
        <v>160</v>
      </c>
      <c r="EG53" s="69" t="s">
        <v>160</v>
      </c>
      <c r="EH53" s="69" t="s">
        <v>160</v>
      </c>
      <c r="EI53" s="69" t="s">
        <v>160</v>
      </c>
      <c r="EJ53" s="69" t="s">
        <v>160</v>
      </c>
      <c r="EK53" s="69" t="s">
        <v>160</v>
      </c>
      <c r="EL53" s="69" t="s">
        <v>160</v>
      </c>
      <c r="EM53" s="69" t="s">
        <v>160</v>
      </c>
      <c r="EN53" s="69" t="s">
        <v>160</v>
      </c>
      <c r="EO53" s="69" t="s">
        <v>160</v>
      </c>
      <c r="EP53" s="69" t="s">
        <v>160</v>
      </c>
      <c r="EQ53" s="69" t="s">
        <v>160</v>
      </c>
      <c r="ER53" s="69" t="s">
        <v>160</v>
      </c>
      <c r="ES53" s="69" t="s">
        <v>160</v>
      </c>
      <c r="ET53" s="69" t="s">
        <v>160</v>
      </c>
      <c r="EU53" s="69" t="s">
        <v>160</v>
      </c>
      <c r="EV53" s="69" t="s">
        <v>160</v>
      </c>
      <c r="EW53" s="69" t="s">
        <v>160</v>
      </c>
      <c r="EX53" s="69" t="s">
        <v>160</v>
      </c>
      <c r="EY53" s="69" t="s">
        <v>160</v>
      </c>
      <c r="EZ53" s="69" t="s">
        <v>160</v>
      </c>
      <c r="FA53" s="69" t="s">
        <v>160</v>
      </c>
      <c r="FB53" s="69" t="s">
        <v>160</v>
      </c>
      <c r="FC53" s="69" t="s">
        <v>160</v>
      </c>
      <c r="FD53" s="69" t="s">
        <v>160</v>
      </c>
    </row>
    <row r="54" spans="1:160">
      <c r="A54" s="103" t="s">
        <v>454</v>
      </c>
      <c r="B54" s="21" t="s">
        <v>163</v>
      </c>
      <c r="C54" s="50" t="s">
        <v>173</v>
      </c>
      <c r="G54" s="51" t="str">
        <f t="shared" si="0"/>
        <v>Deployment Procedure of the code</v>
      </c>
      <c r="H54" s="51" t="s">
        <v>2</v>
      </c>
      <c r="I54" s="64">
        <v>44743</v>
      </c>
      <c r="J54" s="64">
        <v>44924</v>
      </c>
      <c r="K54" s="64">
        <v>44743</v>
      </c>
      <c r="L54" s="64">
        <v>45077</v>
      </c>
      <c r="M54" s="64" t="s">
        <v>174</v>
      </c>
      <c r="N54" s="64" t="b">
        <f t="shared" si="7"/>
        <v>1</v>
      </c>
      <c r="O54" s="64"/>
      <c r="P54" s="24">
        <v>0.9</v>
      </c>
      <c r="R54" s="51" t="s">
        <v>2</v>
      </c>
      <c r="S54" s="68" t="s">
        <v>160</v>
      </c>
      <c r="T54" s="69" t="s">
        <v>160</v>
      </c>
      <c r="U54" s="69" t="s">
        <v>160</v>
      </c>
      <c r="V54" s="69" t="s">
        <v>160</v>
      </c>
      <c r="W54" s="69" t="s">
        <v>160</v>
      </c>
      <c r="X54" s="69" t="s">
        <v>160</v>
      </c>
      <c r="Y54" s="80" t="s">
        <v>160</v>
      </c>
      <c r="Z54" s="69" t="s">
        <v>160</v>
      </c>
      <c r="AA54" s="69" t="s">
        <v>160</v>
      </c>
      <c r="AB54" s="69" t="s">
        <v>160</v>
      </c>
      <c r="AC54" s="69" t="s">
        <v>160</v>
      </c>
      <c r="AD54" s="69" t="s">
        <v>160</v>
      </c>
      <c r="AE54" s="69" t="s">
        <v>160</v>
      </c>
      <c r="AF54" s="69" t="s">
        <v>160</v>
      </c>
      <c r="AG54" s="69" t="s">
        <v>160</v>
      </c>
      <c r="AH54" s="69" t="s">
        <v>160</v>
      </c>
      <c r="AI54" s="69" t="s">
        <v>160</v>
      </c>
      <c r="AJ54" s="69" t="s">
        <v>160</v>
      </c>
      <c r="AK54" s="69" t="s">
        <v>160</v>
      </c>
      <c r="AL54" s="69" t="s">
        <v>160</v>
      </c>
      <c r="AM54" s="69" t="s">
        <v>160</v>
      </c>
      <c r="AN54" s="69" t="s">
        <v>160</v>
      </c>
      <c r="AO54" s="69" t="s">
        <v>160</v>
      </c>
      <c r="AP54" s="69" t="s">
        <v>160</v>
      </c>
      <c r="AQ54" s="69" t="s">
        <v>160</v>
      </c>
      <c r="AR54" s="69" t="s">
        <v>160</v>
      </c>
      <c r="AS54" s="69" t="s">
        <v>160</v>
      </c>
      <c r="AT54" s="69" t="s">
        <v>160</v>
      </c>
      <c r="AU54" s="69" t="s">
        <v>160</v>
      </c>
      <c r="AV54" s="69" t="s">
        <v>160</v>
      </c>
      <c r="AW54" s="69" t="s">
        <v>160</v>
      </c>
      <c r="AX54" s="69" t="s">
        <v>160</v>
      </c>
      <c r="AY54" s="69" t="s">
        <v>160</v>
      </c>
      <c r="AZ54" s="69" t="s">
        <v>160</v>
      </c>
      <c r="BA54" s="69" t="s">
        <v>160</v>
      </c>
      <c r="BB54" s="69" t="s">
        <v>160</v>
      </c>
      <c r="BC54" s="69" t="s">
        <v>160</v>
      </c>
      <c r="BD54" s="69" t="s">
        <v>160</v>
      </c>
      <c r="BE54" s="69" t="s">
        <v>160</v>
      </c>
      <c r="BF54" s="69" t="s">
        <v>160</v>
      </c>
      <c r="BG54" s="69" t="s">
        <v>160</v>
      </c>
      <c r="BH54" s="69" t="s">
        <v>160</v>
      </c>
      <c r="BI54" s="69" t="s">
        <v>160</v>
      </c>
      <c r="BJ54" s="69" t="s">
        <v>160</v>
      </c>
      <c r="BK54" s="69" t="s">
        <v>160</v>
      </c>
      <c r="BL54" s="69" t="s">
        <v>160</v>
      </c>
      <c r="BM54" s="69" t="s">
        <v>160</v>
      </c>
      <c r="BN54" s="69" t="s">
        <v>160</v>
      </c>
      <c r="BO54" s="69" t="s">
        <v>160</v>
      </c>
      <c r="BP54" s="69" t="s">
        <v>160</v>
      </c>
      <c r="BQ54" s="69" t="s">
        <v>160</v>
      </c>
      <c r="BR54" s="69" t="s">
        <v>160</v>
      </c>
      <c r="BS54" s="69" t="s">
        <v>160</v>
      </c>
      <c r="BT54" s="69" t="s">
        <v>160</v>
      </c>
      <c r="BU54" s="69" t="s">
        <v>160</v>
      </c>
      <c r="BV54" s="69" t="s">
        <v>160</v>
      </c>
      <c r="BW54" s="69" t="s">
        <v>160</v>
      </c>
      <c r="BX54" s="69" t="s">
        <v>160</v>
      </c>
      <c r="BY54" s="69" t="s">
        <v>160</v>
      </c>
      <c r="BZ54" s="69" t="s">
        <v>160</v>
      </c>
      <c r="CA54" s="69" t="s">
        <v>160</v>
      </c>
      <c r="CB54" s="69" t="s">
        <v>160</v>
      </c>
      <c r="CC54" s="69" t="s">
        <v>160</v>
      </c>
      <c r="CD54" s="69" t="s">
        <v>160</v>
      </c>
      <c r="CE54" s="69" t="s">
        <v>160</v>
      </c>
      <c r="CF54" s="69" t="s">
        <v>160</v>
      </c>
      <c r="CG54" s="69" t="s">
        <v>160</v>
      </c>
      <c r="CH54" s="69" t="s">
        <v>160</v>
      </c>
      <c r="CI54" s="69" t="s">
        <v>160</v>
      </c>
      <c r="CJ54" s="69" t="s">
        <v>160</v>
      </c>
      <c r="CK54" s="69" t="s">
        <v>160</v>
      </c>
      <c r="CL54" s="69" t="s">
        <v>160</v>
      </c>
      <c r="CM54" s="69" t="s">
        <v>160</v>
      </c>
      <c r="CN54" s="69" t="s">
        <v>160</v>
      </c>
      <c r="CO54" s="69" t="s">
        <v>160</v>
      </c>
      <c r="CP54" s="69" t="s">
        <v>160</v>
      </c>
      <c r="CQ54" s="69" t="s">
        <v>160</v>
      </c>
      <c r="CR54" s="69" t="s">
        <v>160</v>
      </c>
      <c r="CS54" s="69" t="s">
        <v>160</v>
      </c>
      <c r="CT54" s="69" t="s">
        <v>160</v>
      </c>
      <c r="CU54" s="69" t="s">
        <v>160</v>
      </c>
      <c r="CV54" s="69" t="s">
        <v>160</v>
      </c>
      <c r="CW54" s="69" t="s">
        <v>160</v>
      </c>
      <c r="CX54" s="69" t="s">
        <v>160</v>
      </c>
      <c r="CY54" s="69" t="s">
        <v>160</v>
      </c>
      <c r="CZ54" s="69" t="s">
        <v>160</v>
      </c>
      <c r="DA54" s="69" t="s">
        <v>160</v>
      </c>
      <c r="DB54" s="69" t="s">
        <v>160</v>
      </c>
      <c r="DC54" s="69" t="s">
        <v>160</v>
      </c>
      <c r="DD54" s="69" t="s">
        <v>160</v>
      </c>
      <c r="DE54" s="69" t="s">
        <v>160</v>
      </c>
      <c r="DF54" s="69" t="s">
        <v>160</v>
      </c>
      <c r="DG54" s="69" t="s">
        <v>160</v>
      </c>
      <c r="DH54" s="69" t="s">
        <v>160</v>
      </c>
      <c r="DI54" s="69" t="s">
        <v>160</v>
      </c>
      <c r="DJ54" s="69" t="s">
        <v>160</v>
      </c>
      <c r="DK54" s="69" t="s">
        <v>160</v>
      </c>
      <c r="DL54" s="69" t="s">
        <v>160</v>
      </c>
      <c r="DM54" s="69" t="s">
        <v>160</v>
      </c>
      <c r="DN54" s="69" t="s">
        <v>160</v>
      </c>
      <c r="DO54" s="69" t="s">
        <v>160</v>
      </c>
      <c r="DP54" s="69" t="s">
        <v>160</v>
      </c>
      <c r="DQ54" s="69" t="s">
        <v>160</v>
      </c>
      <c r="DR54" s="69" t="s">
        <v>160</v>
      </c>
      <c r="DS54" s="69" t="s">
        <v>160</v>
      </c>
      <c r="DT54" s="69" t="s">
        <v>160</v>
      </c>
      <c r="DU54" s="69" t="s">
        <v>160</v>
      </c>
      <c r="DV54" s="69" t="s">
        <v>160</v>
      </c>
      <c r="DW54" s="69" t="s">
        <v>160</v>
      </c>
      <c r="DX54" s="69" t="s">
        <v>160</v>
      </c>
      <c r="DY54" s="69" t="s">
        <v>160</v>
      </c>
      <c r="DZ54" s="69" t="s">
        <v>160</v>
      </c>
      <c r="EA54" s="69" t="s">
        <v>160</v>
      </c>
      <c r="EB54" s="69" t="s">
        <v>160</v>
      </c>
      <c r="EC54" s="69" t="s">
        <v>160</v>
      </c>
      <c r="ED54" s="69" t="s">
        <v>160</v>
      </c>
      <c r="EE54" s="69" t="s">
        <v>160</v>
      </c>
      <c r="EF54" s="69" t="s">
        <v>160</v>
      </c>
      <c r="EG54" s="69" t="s">
        <v>160</v>
      </c>
      <c r="EH54" s="69" t="s">
        <v>160</v>
      </c>
      <c r="EI54" s="69" t="s">
        <v>160</v>
      </c>
      <c r="EJ54" s="69" t="s">
        <v>160</v>
      </c>
      <c r="EK54" s="69" t="s">
        <v>160</v>
      </c>
      <c r="EL54" s="69" t="s">
        <v>160</v>
      </c>
      <c r="EM54" s="69" t="s">
        <v>160</v>
      </c>
      <c r="EN54" s="69" t="s">
        <v>160</v>
      </c>
      <c r="EO54" s="69" t="s">
        <v>160</v>
      </c>
      <c r="EP54" s="69" t="s">
        <v>160</v>
      </c>
      <c r="EQ54" s="69" t="s">
        <v>160</v>
      </c>
      <c r="ER54" s="69" t="s">
        <v>160</v>
      </c>
      <c r="ES54" s="69" t="s">
        <v>160</v>
      </c>
      <c r="ET54" s="69" t="s">
        <v>160</v>
      </c>
      <c r="EU54" s="69" t="s">
        <v>160</v>
      </c>
      <c r="EV54" s="69" t="s">
        <v>160</v>
      </c>
      <c r="EW54" s="69" t="s">
        <v>160</v>
      </c>
      <c r="EX54" s="69" t="s">
        <v>160</v>
      </c>
      <c r="EY54" s="69" t="s">
        <v>160</v>
      </c>
      <c r="EZ54" s="69" t="s">
        <v>160</v>
      </c>
      <c r="FA54" s="69" t="s">
        <v>160</v>
      </c>
      <c r="FB54" s="69" t="s">
        <v>160</v>
      </c>
      <c r="FC54" s="69" t="s">
        <v>160</v>
      </c>
      <c r="FD54" s="69" t="s">
        <v>160</v>
      </c>
    </row>
    <row r="55" spans="1:160">
      <c r="A55" s="103" t="s">
        <v>455</v>
      </c>
      <c r="B55" s="21" t="s">
        <v>163</v>
      </c>
      <c r="C55" s="50" t="s">
        <v>175</v>
      </c>
      <c r="G55" s="51" t="str">
        <f t="shared" si="0"/>
        <v>Product usage guide with examples for all the functional usecases</v>
      </c>
      <c r="H55" s="51" t="s">
        <v>2</v>
      </c>
      <c r="I55" s="64">
        <v>44743</v>
      </c>
      <c r="J55" s="64">
        <v>44924</v>
      </c>
      <c r="K55" s="64">
        <v>44743</v>
      </c>
      <c r="L55" s="64">
        <v>45077</v>
      </c>
      <c r="M55" s="64" t="s">
        <v>174</v>
      </c>
      <c r="N55" s="64" t="b">
        <f t="shared" si="7"/>
        <v>1</v>
      </c>
      <c r="O55" s="64"/>
      <c r="P55" s="24">
        <v>0.9</v>
      </c>
      <c r="R55" s="51" t="s">
        <v>2</v>
      </c>
      <c r="S55" s="68" t="s">
        <v>160</v>
      </c>
      <c r="T55" s="69" t="s">
        <v>160</v>
      </c>
      <c r="U55" s="69" t="s">
        <v>160</v>
      </c>
      <c r="V55" s="69" t="s">
        <v>160</v>
      </c>
      <c r="W55" s="69" t="s">
        <v>160</v>
      </c>
      <c r="X55" s="69" t="s">
        <v>160</v>
      </c>
      <c r="Y55" s="80" t="s">
        <v>160</v>
      </c>
      <c r="Z55" s="69" t="s">
        <v>160</v>
      </c>
      <c r="AA55" s="69" t="s">
        <v>160</v>
      </c>
      <c r="AB55" s="69" t="s">
        <v>160</v>
      </c>
      <c r="AC55" s="69" t="s">
        <v>160</v>
      </c>
      <c r="AD55" s="69" t="s">
        <v>160</v>
      </c>
      <c r="AE55" s="69" t="s">
        <v>160</v>
      </c>
      <c r="AF55" s="69" t="s">
        <v>160</v>
      </c>
      <c r="AG55" s="69" t="s">
        <v>160</v>
      </c>
      <c r="AH55" s="69" t="s">
        <v>160</v>
      </c>
      <c r="AI55" s="69" t="s">
        <v>160</v>
      </c>
      <c r="AJ55" s="69" t="s">
        <v>160</v>
      </c>
      <c r="AK55" s="69" t="s">
        <v>160</v>
      </c>
      <c r="AL55" s="69" t="s">
        <v>160</v>
      </c>
      <c r="AM55" s="69" t="s">
        <v>160</v>
      </c>
      <c r="AN55" s="69" t="s">
        <v>160</v>
      </c>
      <c r="AO55" s="69" t="s">
        <v>160</v>
      </c>
      <c r="AP55" s="69" t="s">
        <v>160</v>
      </c>
      <c r="AQ55" s="69" t="s">
        <v>160</v>
      </c>
      <c r="AR55" s="69" t="s">
        <v>160</v>
      </c>
      <c r="AS55" s="69" t="s">
        <v>160</v>
      </c>
      <c r="AT55" s="69" t="s">
        <v>160</v>
      </c>
      <c r="AU55" s="69" t="s">
        <v>160</v>
      </c>
      <c r="AV55" s="69" t="s">
        <v>160</v>
      </c>
      <c r="AW55" s="69" t="s">
        <v>160</v>
      </c>
      <c r="AX55" s="69" t="s">
        <v>160</v>
      </c>
      <c r="AY55" s="69" t="s">
        <v>160</v>
      </c>
      <c r="AZ55" s="69" t="s">
        <v>160</v>
      </c>
      <c r="BA55" s="69" t="s">
        <v>160</v>
      </c>
      <c r="BB55" s="69" t="s">
        <v>160</v>
      </c>
      <c r="BC55" s="69" t="s">
        <v>160</v>
      </c>
      <c r="BD55" s="69" t="s">
        <v>160</v>
      </c>
      <c r="BE55" s="69" t="s">
        <v>160</v>
      </c>
      <c r="BF55" s="69" t="s">
        <v>160</v>
      </c>
      <c r="BG55" s="69" t="s">
        <v>160</v>
      </c>
      <c r="BH55" s="69" t="s">
        <v>160</v>
      </c>
      <c r="BI55" s="69" t="s">
        <v>160</v>
      </c>
      <c r="BJ55" s="69" t="s">
        <v>160</v>
      </c>
      <c r="BK55" s="69" t="s">
        <v>160</v>
      </c>
      <c r="BL55" s="69" t="s">
        <v>160</v>
      </c>
      <c r="BM55" s="69" t="s">
        <v>160</v>
      </c>
      <c r="BN55" s="69" t="s">
        <v>160</v>
      </c>
      <c r="BO55" s="69" t="s">
        <v>160</v>
      </c>
      <c r="BP55" s="69" t="s">
        <v>160</v>
      </c>
      <c r="BQ55" s="69" t="s">
        <v>160</v>
      </c>
      <c r="BR55" s="69" t="s">
        <v>160</v>
      </c>
      <c r="BS55" s="69" t="s">
        <v>160</v>
      </c>
      <c r="BT55" s="69" t="s">
        <v>160</v>
      </c>
      <c r="BU55" s="69" t="s">
        <v>160</v>
      </c>
      <c r="BV55" s="69" t="s">
        <v>160</v>
      </c>
      <c r="BW55" s="69" t="s">
        <v>160</v>
      </c>
      <c r="BX55" s="69" t="s">
        <v>160</v>
      </c>
      <c r="BY55" s="69" t="s">
        <v>160</v>
      </c>
      <c r="BZ55" s="69" t="s">
        <v>160</v>
      </c>
      <c r="CA55" s="69" t="s">
        <v>160</v>
      </c>
      <c r="CB55" s="69" t="s">
        <v>160</v>
      </c>
      <c r="CC55" s="69" t="s">
        <v>160</v>
      </c>
      <c r="CD55" s="69" t="s">
        <v>160</v>
      </c>
      <c r="CE55" s="69" t="s">
        <v>160</v>
      </c>
      <c r="CF55" s="69" t="s">
        <v>160</v>
      </c>
      <c r="CG55" s="69" t="s">
        <v>160</v>
      </c>
      <c r="CH55" s="69" t="s">
        <v>160</v>
      </c>
      <c r="CI55" s="69" t="s">
        <v>160</v>
      </c>
      <c r="CJ55" s="69" t="s">
        <v>160</v>
      </c>
      <c r="CK55" s="69" t="s">
        <v>160</v>
      </c>
      <c r="CL55" s="69" t="s">
        <v>160</v>
      </c>
      <c r="CM55" s="69" t="s">
        <v>160</v>
      </c>
      <c r="CN55" s="69" t="s">
        <v>160</v>
      </c>
      <c r="CO55" s="69" t="s">
        <v>160</v>
      </c>
      <c r="CP55" s="69" t="s">
        <v>160</v>
      </c>
      <c r="CQ55" s="69" t="s">
        <v>160</v>
      </c>
      <c r="CR55" s="69" t="s">
        <v>160</v>
      </c>
      <c r="CS55" s="69" t="s">
        <v>160</v>
      </c>
      <c r="CT55" s="69" t="s">
        <v>160</v>
      </c>
      <c r="CU55" s="69" t="s">
        <v>160</v>
      </c>
      <c r="CV55" s="69" t="s">
        <v>160</v>
      </c>
      <c r="CW55" s="69" t="s">
        <v>160</v>
      </c>
      <c r="CX55" s="69" t="s">
        <v>160</v>
      </c>
      <c r="CY55" s="69" t="s">
        <v>160</v>
      </c>
      <c r="CZ55" s="69" t="s">
        <v>160</v>
      </c>
      <c r="DA55" s="69" t="s">
        <v>160</v>
      </c>
      <c r="DB55" s="69" t="s">
        <v>160</v>
      </c>
      <c r="DC55" s="69" t="s">
        <v>160</v>
      </c>
      <c r="DD55" s="69" t="s">
        <v>160</v>
      </c>
      <c r="DE55" s="69" t="s">
        <v>160</v>
      </c>
      <c r="DF55" s="69" t="s">
        <v>160</v>
      </c>
      <c r="DG55" s="69" t="s">
        <v>160</v>
      </c>
      <c r="DH55" s="69" t="s">
        <v>160</v>
      </c>
      <c r="DI55" s="69" t="s">
        <v>160</v>
      </c>
      <c r="DJ55" s="69" t="s">
        <v>160</v>
      </c>
      <c r="DK55" s="69" t="s">
        <v>160</v>
      </c>
      <c r="DL55" s="69" t="s">
        <v>160</v>
      </c>
      <c r="DM55" s="69" t="s">
        <v>160</v>
      </c>
      <c r="DN55" s="69" t="s">
        <v>160</v>
      </c>
      <c r="DO55" s="69" t="s">
        <v>160</v>
      </c>
      <c r="DP55" s="69" t="s">
        <v>160</v>
      </c>
      <c r="DQ55" s="69" t="s">
        <v>160</v>
      </c>
      <c r="DR55" s="69" t="s">
        <v>160</v>
      </c>
      <c r="DS55" s="69" t="s">
        <v>160</v>
      </c>
      <c r="DT55" s="69" t="s">
        <v>160</v>
      </c>
      <c r="DU55" s="69" t="s">
        <v>160</v>
      </c>
      <c r="DV55" s="69" t="s">
        <v>160</v>
      </c>
      <c r="DW55" s="69" t="s">
        <v>160</v>
      </c>
      <c r="DX55" s="69" t="s">
        <v>160</v>
      </c>
      <c r="DY55" s="69" t="s">
        <v>160</v>
      </c>
      <c r="DZ55" s="69" t="s">
        <v>160</v>
      </c>
      <c r="EA55" s="69" t="s">
        <v>160</v>
      </c>
      <c r="EB55" s="69" t="s">
        <v>160</v>
      </c>
      <c r="EC55" s="69" t="s">
        <v>160</v>
      </c>
      <c r="ED55" s="69" t="s">
        <v>160</v>
      </c>
      <c r="EE55" s="69" t="s">
        <v>160</v>
      </c>
      <c r="EF55" s="69" t="s">
        <v>160</v>
      </c>
      <c r="EG55" s="69" t="s">
        <v>160</v>
      </c>
      <c r="EH55" s="69" t="s">
        <v>160</v>
      </c>
      <c r="EI55" s="69" t="s">
        <v>160</v>
      </c>
      <c r="EJ55" s="69" t="s">
        <v>160</v>
      </c>
      <c r="EK55" s="69" t="s">
        <v>160</v>
      </c>
      <c r="EL55" s="69" t="s">
        <v>160</v>
      </c>
      <c r="EM55" s="69" t="s">
        <v>160</v>
      </c>
      <c r="EN55" s="69" t="s">
        <v>160</v>
      </c>
      <c r="EO55" s="69" t="s">
        <v>160</v>
      </c>
      <c r="EP55" s="69" t="s">
        <v>160</v>
      </c>
      <c r="EQ55" s="69" t="s">
        <v>160</v>
      </c>
      <c r="ER55" s="69" t="s">
        <v>160</v>
      </c>
      <c r="ES55" s="69" t="s">
        <v>160</v>
      </c>
      <c r="ET55" s="69" t="s">
        <v>160</v>
      </c>
      <c r="EU55" s="69" t="s">
        <v>160</v>
      </c>
      <c r="EV55" s="69" t="s">
        <v>160</v>
      </c>
      <c r="EW55" s="69" t="s">
        <v>160</v>
      </c>
      <c r="EX55" s="69" t="s">
        <v>160</v>
      </c>
      <c r="EY55" s="69" t="s">
        <v>160</v>
      </c>
      <c r="EZ55" s="69" t="s">
        <v>160</v>
      </c>
      <c r="FA55" s="69" t="s">
        <v>160</v>
      </c>
      <c r="FB55" s="69" t="s">
        <v>160</v>
      </c>
      <c r="FC55" s="69" t="s">
        <v>160</v>
      </c>
      <c r="FD55" s="69" t="s">
        <v>160</v>
      </c>
    </row>
    <row r="56" spans="1:160" s="71" customFormat="1" ht="18.5" thickBot="1">
      <c r="A56" s="104" t="s">
        <v>456</v>
      </c>
      <c r="B56" s="108" t="s">
        <v>163</v>
      </c>
      <c r="C56" s="76" t="s">
        <v>176</v>
      </c>
      <c r="G56" s="71" t="str">
        <f t="shared" si="0"/>
        <v xml:space="preserve">Test report </v>
      </c>
      <c r="H56" s="71" t="s">
        <v>2</v>
      </c>
      <c r="I56" s="72">
        <v>44743</v>
      </c>
      <c r="J56" s="72">
        <v>44924</v>
      </c>
      <c r="K56" s="72">
        <v>44743</v>
      </c>
      <c r="L56" s="72">
        <v>45077</v>
      </c>
      <c r="M56" s="72" t="s">
        <v>174</v>
      </c>
      <c r="N56" s="72" t="b">
        <f t="shared" si="7"/>
        <v>1</v>
      </c>
      <c r="O56" s="72"/>
      <c r="P56" s="89">
        <v>0.9</v>
      </c>
      <c r="Q56" s="89"/>
      <c r="R56" s="71" t="s">
        <v>2</v>
      </c>
      <c r="S56" s="74" t="s">
        <v>160</v>
      </c>
      <c r="T56" s="75" t="s">
        <v>160</v>
      </c>
      <c r="U56" s="75" t="s">
        <v>160</v>
      </c>
      <c r="V56" s="75" t="s">
        <v>160</v>
      </c>
      <c r="W56" s="75" t="s">
        <v>160</v>
      </c>
      <c r="X56" s="75" t="s">
        <v>160</v>
      </c>
      <c r="Y56" s="81" t="s">
        <v>160</v>
      </c>
      <c r="Z56" s="75" t="s">
        <v>160</v>
      </c>
      <c r="AA56" s="75" t="s">
        <v>160</v>
      </c>
      <c r="AB56" s="75" t="s">
        <v>160</v>
      </c>
      <c r="AC56" s="75" t="s">
        <v>160</v>
      </c>
      <c r="AD56" s="75" t="s">
        <v>160</v>
      </c>
      <c r="AE56" s="75" t="s">
        <v>160</v>
      </c>
      <c r="AF56" s="75" t="s">
        <v>160</v>
      </c>
      <c r="AG56" s="75" t="s">
        <v>160</v>
      </c>
      <c r="AH56" s="75" t="s">
        <v>160</v>
      </c>
      <c r="AI56" s="75" t="s">
        <v>160</v>
      </c>
      <c r="AJ56" s="75" t="s">
        <v>160</v>
      </c>
      <c r="AK56" s="75" t="s">
        <v>160</v>
      </c>
      <c r="AL56" s="75" t="s">
        <v>160</v>
      </c>
      <c r="AM56" s="75" t="s">
        <v>160</v>
      </c>
      <c r="AN56" s="75" t="s">
        <v>160</v>
      </c>
      <c r="AO56" s="75" t="s">
        <v>160</v>
      </c>
      <c r="AP56" s="75" t="s">
        <v>160</v>
      </c>
      <c r="AQ56" s="75" t="s">
        <v>160</v>
      </c>
      <c r="AR56" s="75" t="s">
        <v>160</v>
      </c>
      <c r="AS56" s="75" t="s">
        <v>160</v>
      </c>
      <c r="AT56" s="75" t="s">
        <v>160</v>
      </c>
      <c r="AU56" s="75" t="s">
        <v>160</v>
      </c>
      <c r="AV56" s="75" t="s">
        <v>160</v>
      </c>
      <c r="AW56" s="75" t="s">
        <v>160</v>
      </c>
      <c r="AX56" s="75" t="s">
        <v>160</v>
      </c>
      <c r="AY56" s="75" t="s">
        <v>160</v>
      </c>
      <c r="AZ56" s="75" t="s">
        <v>160</v>
      </c>
      <c r="BA56" s="75" t="s">
        <v>160</v>
      </c>
      <c r="BB56" s="75" t="s">
        <v>160</v>
      </c>
      <c r="BC56" s="75" t="s">
        <v>160</v>
      </c>
      <c r="BD56" s="75" t="s">
        <v>160</v>
      </c>
      <c r="BE56" s="75" t="s">
        <v>160</v>
      </c>
      <c r="BF56" s="75" t="s">
        <v>160</v>
      </c>
      <c r="BG56" s="75" t="s">
        <v>160</v>
      </c>
      <c r="BH56" s="75" t="s">
        <v>160</v>
      </c>
      <c r="BI56" s="75" t="s">
        <v>160</v>
      </c>
      <c r="BJ56" s="75" t="s">
        <v>160</v>
      </c>
      <c r="BK56" s="75" t="s">
        <v>160</v>
      </c>
      <c r="BL56" s="75" t="s">
        <v>160</v>
      </c>
      <c r="BM56" s="75" t="s">
        <v>160</v>
      </c>
      <c r="BN56" s="75" t="s">
        <v>160</v>
      </c>
      <c r="BO56" s="75" t="s">
        <v>160</v>
      </c>
      <c r="BP56" s="75" t="s">
        <v>160</v>
      </c>
      <c r="BQ56" s="75" t="s">
        <v>160</v>
      </c>
      <c r="BR56" s="75" t="s">
        <v>160</v>
      </c>
      <c r="BS56" s="75" t="s">
        <v>160</v>
      </c>
      <c r="BT56" s="75" t="s">
        <v>160</v>
      </c>
      <c r="BU56" s="75" t="s">
        <v>160</v>
      </c>
      <c r="BV56" s="75" t="s">
        <v>160</v>
      </c>
      <c r="BW56" s="75" t="s">
        <v>160</v>
      </c>
      <c r="BX56" s="75" t="s">
        <v>160</v>
      </c>
      <c r="BY56" s="75" t="s">
        <v>160</v>
      </c>
      <c r="BZ56" s="75" t="s">
        <v>160</v>
      </c>
      <c r="CA56" s="75" t="s">
        <v>160</v>
      </c>
      <c r="CB56" s="75" t="s">
        <v>160</v>
      </c>
      <c r="CC56" s="75" t="s">
        <v>160</v>
      </c>
      <c r="CD56" s="75" t="s">
        <v>160</v>
      </c>
      <c r="CE56" s="75" t="s">
        <v>160</v>
      </c>
      <c r="CF56" s="75" t="s">
        <v>160</v>
      </c>
      <c r="CG56" s="75" t="s">
        <v>160</v>
      </c>
      <c r="CH56" s="75" t="s">
        <v>160</v>
      </c>
      <c r="CI56" s="75" t="s">
        <v>160</v>
      </c>
      <c r="CJ56" s="75" t="s">
        <v>160</v>
      </c>
      <c r="CK56" s="75" t="s">
        <v>160</v>
      </c>
      <c r="CL56" s="75" t="s">
        <v>160</v>
      </c>
      <c r="CM56" s="75" t="s">
        <v>160</v>
      </c>
      <c r="CN56" s="75" t="s">
        <v>160</v>
      </c>
      <c r="CO56" s="75" t="s">
        <v>160</v>
      </c>
      <c r="CP56" s="75" t="s">
        <v>160</v>
      </c>
      <c r="CQ56" s="75" t="s">
        <v>160</v>
      </c>
      <c r="CR56" s="75" t="s">
        <v>160</v>
      </c>
      <c r="CS56" s="75" t="s">
        <v>160</v>
      </c>
      <c r="CT56" s="75" t="s">
        <v>160</v>
      </c>
      <c r="CU56" s="75" t="s">
        <v>160</v>
      </c>
      <c r="CV56" s="75" t="s">
        <v>160</v>
      </c>
      <c r="CW56" s="75" t="s">
        <v>160</v>
      </c>
      <c r="CX56" s="75" t="s">
        <v>160</v>
      </c>
      <c r="CY56" s="75" t="s">
        <v>160</v>
      </c>
      <c r="CZ56" s="75" t="s">
        <v>160</v>
      </c>
      <c r="DA56" s="75" t="s">
        <v>160</v>
      </c>
      <c r="DB56" s="75" t="s">
        <v>160</v>
      </c>
      <c r="DC56" s="75" t="s">
        <v>160</v>
      </c>
      <c r="DD56" s="75" t="s">
        <v>160</v>
      </c>
      <c r="DE56" s="75" t="s">
        <v>160</v>
      </c>
      <c r="DF56" s="75" t="s">
        <v>160</v>
      </c>
      <c r="DG56" s="75" t="s">
        <v>160</v>
      </c>
      <c r="DH56" s="75" t="s">
        <v>160</v>
      </c>
      <c r="DI56" s="75" t="s">
        <v>160</v>
      </c>
      <c r="DJ56" s="75" t="s">
        <v>160</v>
      </c>
      <c r="DK56" s="75" t="s">
        <v>160</v>
      </c>
      <c r="DL56" s="75" t="s">
        <v>160</v>
      </c>
      <c r="DM56" s="75" t="s">
        <v>160</v>
      </c>
      <c r="DN56" s="75" t="s">
        <v>160</v>
      </c>
      <c r="DO56" s="75" t="s">
        <v>160</v>
      </c>
      <c r="DP56" s="75" t="s">
        <v>160</v>
      </c>
      <c r="DQ56" s="75" t="s">
        <v>160</v>
      </c>
      <c r="DR56" s="75" t="s">
        <v>160</v>
      </c>
      <c r="DS56" s="75" t="s">
        <v>160</v>
      </c>
      <c r="DT56" s="75" t="s">
        <v>160</v>
      </c>
      <c r="DU56" s="75" t="s">
        <v>160</v>
      </c>
      <c r="DV56" s="75" t="s">
        <v>160</v>
      </c>
      <c r="DW56" s="75" t="s">
        <v>160</v>
      </c>
      <c r="DX56" s="75" t="s">
        <v>160</v>
      </c>
      <c r="DY56" s="75" t="s">
        <v>160</v>
      </c>
      <c r="DZ56" s="75" t="s">
        <v>160</v>
      </c>
      <c r="EA56" s="75" t="s">
        <v>160</v>
      </c>
      <c r="EB56" s="75" t="s">
        <v>160</v>
      </c>
      <c r="EC56" s="75" t="s">
        <v>160</v>
      </c>
      <c r="ED56" s="75" t="s">
        <v>160</v>
      </c>
      <c r="EE56" s="75" t="s">
        <v>160</v>
      </c>
      <c r="EF56" s="75" t="s">
        <v>160</v>
      </c>
      <c r="EG56" s="75" t="s">
        <v>160</v>
      </c>
      <c r="EH56" s="75" t="s">
        <v>160</v>
      </c>
      <c r="EI56" s="75" t="s">
        <v>160</v>
      </c>
      <c r="EJ56" s="75" t="s">
        <v>160</v>
      </c>
      <c r="EK56" s="75" t="s">
        <v>160</v>
      </c>
      <c r="EL56" s="75" t="s">
        <v>160</v>
      </c>
      <c r="EM56" s="75" t="s">
        <v>160</v>
      </c>
      <c r="EN56" s="75" t="s">
        <v>160</v>
      </c>
      <c r="EO56" s="75" t="s">
        <v>160</v>
      </c>
      <c r="EP56" s="75" t="s">
        <v>160</v>
      </c>
      <c r="EQ56" s="75" t="s">
        <v>160</v>
      </c>
      <c r="ER56" s="75" t="s">
        <v>160</v>
      </c>
      <c r="ES56" s="75" t="s">
        <v>160</v>
      </c>
      <c r="ET56" s="75" t="s">
        <v>160</v>
      </c>
      <c r="EU56" s="75" t="s">
        <v>160</v>
      </c>
      <c r="EV56" s="75" t="s">
        <v>160</v>
      </c>
      <c r="EW56" s="75" t="s">
        <v>160</v>
      </c>
      <c r="EX56" s="75" t="s">
        <v>160</v>
      </c>
      <c r="EY56" s="75" t="s">
        <v>160</v>
      </c>
      <c r="EZ56" s="75" t="s">
        <v>160</v>
      </c>
      <c r="FA56" s="75" t="s">
        <v>160</v>
      </c>
      <c r="FB56" s="75" t="s">
        <v>160</v>
      </c>
      <c r="FC56" s="75" t="s">
        <v>160</v>
      </c>
      <c r="FD56" s="75" t="s">
        <v>160</v>
      </c>
    </row>
    <row r="57" spans="1:160">
      <c r="A57" s="103" t="s">
        <v>458</v>
      </c>
      <c r="B57" s="23" t="s">
        <v>198</v>
      </c>
      <c r="G57" s="51" t="str">
        <f t="shared" si="0"/>
        <v>M7. Android UI Dashboard &amp; Alerts for Energy Optimization</v>
      </c>
      <c r="H57" s="51" t="s">
        <v>2</v>
      </c>
      <c r="I57" s="64">
        <f ca="1">IF(SUM(I58:INDIRECT("I"&amp;$O57))=0,"",MIN(I58:INDIRECT("I"&amp;$O57)))</f>
        <v>44743</v>
      </c>
      <c r="J57" s="64">
        <f ca="1">IF(SUM(J58:INDIRECT("J"&amp;$O57))=0,"",MAX(J58:INDIRECT("J"&amp;$O57)))</f>
        <v>45899</v>
      </c>
      <c r="K57" s="64">
        <f ca="1">IF(SUM(K58:INDIRECT("K"&amp;$O57))=0,"",MIN(K58:INDIRECT("K"&amp;$O57)))</f>
        <v>44743</v>
      </c>
      <c r="L57" s="64">
        <f ca="1">IF(SUM(L58:INDIRECT("L"&amp;$O57))=0,"",MAX(L58:INDIRECT("L"&amp;$O57)))</f>
        <v>45077</v>
      </c>
      <c r="M57" s="64">
        <f ca="1">IF(N57,TODAY(),IF(SUM(M58:INDIRECT("M"&amp;$O57))=0,"",MAX(M58:INDIRECT("M"&amp;$O57))))</f>
        <v>45096</v>
      </c>
      <c r="N57" s="64" t="b">
        <f ca="1">OR(N58:INDIRECT("N"&amp;O57))</f>
        <v>1</v>
      </c>
      <c r="O57" s="65">
        <f>ROW()+COUNTA(N58:N63)</f>
        <v>63</v>
      </c>
      <c r="P57" s="66">
        <f>AVERAGE(P58:P63)</f>
        <v>0.9</v>
      </c>
      <c r="R57" s="51" t="s">
        <v>2</v>
      </c>
      <c r="S57" s="68" t="s">
        <v>160</v>
      </c>
      <c r="T57" s="69" t="s">
        <v>160</v>
      </c>
      <c r="U57" s="69" t="s">
        <v>160</v>
      </c>
      <c r="V57" s="69" t="s">
        <v>160</v>
      </c>
      <c r="W57" s="69" t="s">
        <v>160</v>
      </c>
      <c r="X57" s="69" t="s">
        <v>160</v>
      </c>
      <c r="Y57" s="69" t="s">
        <v>160</v>
      </c>
      <c r="Z57" s="78" t="s">
        <v>160</v>
      </c>
      <c r="AA57" s="69" t="s">
        <v>160</v>
      </c>
      <c r="AB57" s="69" t="s">
        <v>160</v>
      </c>
      <c r="AC57" s="69" t="s">
        <v>160</v>
      </c>
      <c r="AD57" s="69" t="s">
        <v>160</v>
      </c>
      <c r="AE57" s="69" t="s">
        <v>160</v>
      </c>
      <c r="AF57" s="69" t="s">
        <v>160</v>
      </c>
      <c r="AG57" s="69" t="s">
        <v>160</v>
      </c>
      <c r="AH57" s="69" t="s">
        <v>160</v>
      </c>
      <c r="AI57" s="69" t="s">
        <v>160</v>
      </c>
      <c r="AJ57" s="69" t="s">
        <v>160</v>
      </c>
      <c r="AK57" s="69" t="s">
        <v>160</v>
      </c>
      <c r="AL57" s="69" t="s">
        <v>160</v>
      </c>
      <c r="AM57" s="69" t="s">
        <v>160</v>
      </c>
      <c r="AN57" s="69" t="s">
        <v>160</v>
      </c>
      <c r="AO57" s="69" t="s">
        <v>160</v>
      </c>
      <c r="AP57" s="69" t="s">
        <v>160</v>
      </c>
      <c r="AQ57" s="69" t="s">
        <v>160</v>
      </c>
      <c r="AR57" s="69" t="s">
        <v>160</v>
      </c>
      <c r="AS57" s="69" t="s">
        <v>160</v>
      </c>
      <c r="AT57" s="69" t="s">
        <v>160</v>
      </c>
      <c r="AU57" s="69" t="s">
        <v>160</v>
      </c>
      <c r="AV57" s="69" t="s">
        <v>160</v>
      </c>
      <c r="AW57" s="69" t="s">
        <v>160</v>
      </c>
      <c r="AX57" s="69" t="s">
        <v>160</v>
      </c>
      <c r="AY57" s="69" t="s">
        <v>160</v>
      </c>
      <c r="AZ57" s="69" t="s">
        <v>160</v>
      </c>
      <c r="BA57" s="69" t="s">
        <v>160</v>
      </c>
      <c r="BB57" s="69" t="s">
        <v>160</v>
      </c>
      <c r="BC57" s="69" t="s">
        <v>160</v>
      </c>
      <c r="BD57" s="69" t="s">
        <v>160</v>
      </c>
      <c r="BE57" s="69" t="s">
        <v>160</v>
      </c>
      <c r="BF57" s="69" t="s">
        <v>160</v>
      </c>
      <c r="BG57" s="69" t="s">
        <v>160</v>
      </c>
      <c r="BH57" s="69" t="s">
        <v>160</v>
      </c>
      <c r="BI57" s="69" t="s">
        <v>160</v>
      </c>
      <c r="BJ57" s="69" t="s">
        <v>160</v>
      </c>
      <c r="BK57" s="69" t="s">
        <v>160</v>
      </c>
      <c r="BL57" s="69" t="s">
        <v>160</v>
      </c>
      <c r="BM57" s="69" t="s">
        <v>160</v>
      </c>
      <c r="BN57" s="69" t="s">
        <v>160</v>
      </c>
      <c r="BO57" s="69" t="s">
        <v>160</v>
      </c>
      <c r="BP57" s="69" t="s">
        <v>160</v>
      </c>
      <c r="BQ57" s="69" t="s">
        <v>160</v>
      </c>
      <c r="BR57" s="69" t="s">
        <v>160</v>
      </c>
      <c r="BS57" s="69" t="s">
        <v>160</v>
      </c>
      <c r="BT57" s="69" t="s">
        <v>160</v>
      </c>
      <c r="BU57" s="69" t="s">
        <v>160</v>
      </c>
      <c r="BV57" s="69" t="s">
        <v>160</v>
      </c>
      <c r="BW57" s="69" t="s">
        <v>160</v>
      </c>
      <c r="BX57" s="69" t="s">
        <v>160</v>
      </c>
      <c r="BY57" s="69" t="s">
        <v>160</v>
      </c>
      <c r="BZ57" s="69" t="s">
        <v>160</v>
      </c>
      <c r="CA57" s="69" t="s">
        <v>160</v>
      </c>
      <c r="CB57" s="69" t="s">
        <v>160</v>
      </c>
      <c r="CC57" s="69" t="s">
        <v>160</v>
      </c>
      <c r="CD57" s="69" t="s">
        <v>160</v>
      </c>
      <c r="CE57" s="69" t="s">
        <v>160</v>
      </c>
      <c r="CF57" s="69" t="s">
        <v>160</v>
      </c>
      <c r="CG57" s="69" t="s">
        <v>160</v>
      </c>
      <c r="CH57" s="69" t="s">
        <v>160</v>
      </c>
      <c r="CI57" s="69" t="s">
        <v>160</v>
      </c>
      <c r="CJ57" s="69" t="s">
        <v>160</v>
      </c>
      <c r="CK57" s="69" t="s">
        <v>160</v>
      </c>
      <c r="CL57" s="69" t="s">
        <v>160</v>
      </c>
      <c r="CM57" s="69" t="s">
        <v>160</v>
      </c>
      <c r="CN57" s="69" t="s">
        <v>160</v>
      </c>
      <c r="CO57" s="69" t="s">
        <v>160</v>
      </c>
      <c r="CP57" s="69" t="s">
        <v>160</v>
      </c>
      <c r="CQ57" s="69" t="s">
        <v>160</v>
      </c>
      <c r="CR57" s="69" t="s">
        <v>160</v>
      </c>
      <c r="CS57" s="69" t="s">
        <v>160</v>
      </c>
      <c r="CT57" s="69" t="s">
        <v>160</v>
      </c>
      <c r="CU57" s="69" t="s">
        <v>160</v>
      </c>
      <c r="CV57" s="69" t="s">
        <v>160</v>
      </c>
      <c r="CW57" s="69" t="s">
        <v>160</v>
      </c>
      <c r="CX57" s="69" t="s">
        <v>160</v>
      </c>
      <c r="CY57" s="69" t="s">
        <v>160</v>
      </c>
      <c r="CZ57" s="69" t="s">
        <v>160</v>
      </c>
      <c r="DA57" s="69" t="s">
        <v>160</v>
      </c>
      <c r="DB57" s="69" t="s">
        <v>160</v>
      </c>
      <c r="DC57" s="69" t="s">
        <v>160</v>
      </c>
      <c r="DD57" s="69" t="s">
        <v>160</v>
      </c>
      <c r="DE57" s="69" t="s">
        <v>160</v>
      </c>
      <c r="DF57" s="69" t="s">
        <v>160</v>
      </c>
      <c r="DG57" s="69" t="s">
        <v>160</v>
      </c>
      <c r="DH57" s="69" t="s">
        <v>160</v>
      </c>
      <c r="DI57" s="69" t="s">
        <v>160</v>
      </c>
      <c r="DJ57" s="69" t="s">
        <v>160</v>
      </c>
      <c r="DK57" s="69" t="s">
        <v>160</v>
      </c>
      <c r="DL57" s="69" t="s">
        <v>160</v>
      </c>
      <c r="DM57" s="69" t="s">
        <v>160</v>
      </c>
      <c r="DN57" s="69" t="s">
        <v>160</v>
      </c>
      <c r="DO57" s="69" t="s">
        <v>160</v>
      </c>
      <c r="DP57" s="69" t="s">
        <v>160</v>
      </c>
      <c r="DQ57" s="69" t="s">
        <v>160</v>
      </c>
      <c r="DR57" s="69" t="s">
        <v>160</v>
      </c>
      <c r="DS57" s="69" t="s">
        <v>160</v>
      </c>
      <c r="DT57" s="69" t="s">
        <v>160</v>
      </c>
      <c r="DU57" s="69" t="s">
        <v>160</v>
      </c>
      <c r="DV57" s="69" t="s">
        <v>160</v>
      </c>
      <c r="DW57" s="69" t="s">
        <v>160</v>
      </c>
      <c r="DX57" s="69" t="s">
        <v>160</v>
      </c>
      <c r="DY57" s="69" t="s">
        <v>160</v>
      </c>
      <c r="DZ57" s="69" t="s">
        <v>160</v>
      </c>
      <c r="EA57" s="69" t="s">
        <v>160</v>
      </c>
      <c r="EB57" s="69" t="s">
        <v>160</v>
      </c>
      <c r="EC57" s="69" t="s">
        <v>160</v>
      </c>
      <c r="ED57" s="69" t="s">
        <v>160</v>
      </c>
      <c r="EE57" s="69" t="s">
        <v>160</v>
      </c>
      <c r="EF57" s="69" t="s">
        <v>160</v>
      </c>
      <c r="EG57" s="69" t="s">
        <v>160</v>
      </c>
      <c r="EH57" s="69" t="s">
        <v>160</v>
      </c>
      <c r="EI57" s="69" t="s">
        <v>160</v>
      </c>
      <c r="EJ57" s="69" t="s">
        <v>160</v>
      </c>
      <c r="EK57" s="69" t="s">
        <v>160</v>
      </c>
      <c r="EL57" s="69" t="s">
        <v>160</v>
      </c>
      <c r="EM57" s="69" t="s">
        <v>160</v>
      </c>
      <c r="EN57" s="69" t="s">
        <v>160</v>
      </c>
      <c r="EO57" s="69" t="s">
        <v>160</v>
      </c>
      <c r="EP57" s="69" t="s">
        <v>160</v>
      </c>
      <c r="EQ57" s="69" t="s">
        <v>160</v>
      </c>
      <c r="ER57" s="69" t="s">
        <v>160</v>
      </c>
      <c r="ES57" s="69" t="s">
        <v>160</v>
      </c>
      <c r="ET57" s="69" t="s">
        <v>160</v>
      </c>
      <c r="EU57" s="69" t="s">
        <v>160</v>
      </c>
      <c r="EV57" s="69" t="s">
        <v>160</v>
      </c>
      <c r="EW57" s="69" t="s">
        <v>160</v>
      </c>
      <c r="EX57" s="69" t="s">
        <v>160</v>
      </c>
      <c r="EY57" s="69" t="s">
        <v>160</v>
      </c>
      <c r="EZ57" s="69" t="s">
        <v>160</v>
      </c>
      <c r="FA57" s="69" t="s">
        <v>160</v>
      </c>
      <c r="FB57" s="69" t="s">
        <v>160</v>
      </c>
      <c r="FC57" s="69" t="s">
        <v>160</v>
      </c>
      <c r="FD57" s="69" t="s">
        <v>160</v>
      </c>
    </row>
    <row r="58" spans="1:160">
      <c r="A58" s="103" t="s">
        <v>459</v>
      </c>
      <c r="C58" s="50" t="s">
        <v>197</v>
      </c>
      <c r="G58" s="51" t="str">
        <f t="shared" si="0"/>
        <v>Note : First Version for above use cases</v>
      </c>
      <c r="H58" s="51" t="s">
        <v>2</v>
      </c>
      <c r="I58" s="64"/>
      <c r="J58" s="64"/>
      <c r="K58" s="64"/>
      <c r="L58" s="64"/>
      <c r="M58" s="64"/>
      <c r="N58" s="64" t="b">
        <f>ISNUMBER(SEARCH("*Waiting*",M58))</f>
        <v>0</v>
      </c>
      <c r="O58" s="64"/>
      <c r="R58" s="51" t="s">
        <v>2</v>
      </c>
      <c r="S58" s="68" t="s">
        <v>160</v>
      </c>
      <c r="T58" s="69" t="s">
        <v>160</v>
      </c>
      <c r="U58" s="69" t="s">
        <v>160</v>
      </c>
      <c r="V58" s="69" t="s">
        <v>160</v>
      </c>
      <c r="W58" s="69" t="s">
        <v>160</v>
      </c>
      <c r="X58" s="69" t="s">
        <v>160</v>
      </c>
      <c r="Y58" s="69" t="s">
        <v>160</v>
      </c>
      <c r="Z58" s="69" t="s">
        <v>160</v>
      </c>
      <c r="AA58" s="69" t="s">
        <v>160</v>
      </c>
      <c r="AB58" s="69" t="s">
        <v>160</v>
      </c>
      <c r="AC58" s="69" t="s">
        <v>160</v>
      </c>
      <c r="AD58" s="69" t="s">
        <v>160</v>
      </c>
      <c r="AE58" s="69" t="s">
        <v>160</v>
      </c>
      <c r="AF58" s="69" t="s">
        <v>160</v>
      </c>
      <c r="AG58" s="69" t="s">
        <v>160</v>
      </c>
      <c r="AH58" s="69" t="s">
        <v>160</v>
      </c>
      <c r="AI58" s="69" t="s">
        <v>160</v>
      </c>
      <c r="AJ58" s="69" t="s">
        <v>160</v>
      </c>
      <c r="AK58" s="69" t="s">
        <v>160</v>
      </c>
      <c r="AL58" s="69" t="s">
        <v>160</v>
      </c>
      <c r="AM58" s="69" t="s">
        <v>160</v>
      </c>
      <c r="AN58" s="69" t="s">
        <v>160</v>
      </c>
      <c r="AO58" s="69" t="s">
        <v>160</v>
      </c>
      <c r="AP58" s="69" t="s">
        <v>160</v>
      </c>
      <c r="AQ58" s="69" t="s">
        <v>160</v>
      </c>
      <c r="AR58" s="69" t="s">
        <v>160</v>
      </c>
      <c r="AS58" s="69" t="s">
        <v>160</v>
      </c>
      <c r="AT58" s="69" t="s">
        <v>160</v>
      </c>
      <c r="AU58" s="69" t="s">
        <v>160</v>
      </c>
      <c r="AV58" s="69" t="s">
        <v>160</v>
      </c>
      <c r="AW58" s="69" t="s">
        <v>160</v>
      </c>
      <c r="AX58" s="69" t="s">
        <v>160</v>
      </c>
      <c r="AY58" s="69" t="s">
        <v>160</v>
      </c>
      <c r="AZ58" s="69" t="s">
        <v>160</v>
      </c>
      <c r="BA58" s="69" t="s">
        <v>160</v>
      </c>
      <c r="BB58" s="69" t="s">
        <v>160</v>
      </c>
      <c r="BC58" s="69" t="s">
        <v>160</v>
      </c>
      <c r="BD58" s="69" t="s">
        <v>160</v>
      </c>
      <c r="BE58" s="69" t="s">
        <v>160</v>
      </c>
      <c r="BF58" s="69" t="s">
        <v>160</v>
      </c>
      <c r="BG58" s="69" t="s">
        <v>160</v>
      </c>
      <c r="BH58" s="69" t="s">
        <v>160</v>
      </c>
      <c r="BI58" s="69" t="s">
        <v>160</v>
      </c>
      <c r="BJ58" s="69" t="s">
        <v>160</v>
      </c>
      <c r="BK58" s="69" t="s">
        <v>160</v>
      </c>
      <c r="BL58" s="69" t="s">
        <v>160</v>
      </c>
      <c r="BM58" s="69" t="s">
        <v>160</v>
      </c>
      <c r="BN58" s="69" t="s">
        <v>160</v>
      </c>
      <c r="BO58" s="69" t="s">
        <v>160</v>
      </c>
      <c r="BP58" s="69" t="s">
        <v>160</v>
      </c>
      <c r="BQ58" s="69" t="s">
        <v>160</v>
      </c>
      <c r="BR58" s="69" t="s">
        <v>160</v>
      </c>
      <c r="BS58" s="69" t="s">
        <v>160</v>
      </c>
      <c r="BT58" s="69" t="s">
        <v>160</v>
      </c>
      <c r="BU58" s="69" t="s">
        <v>160</v>
      </c>
      <c r="BV58" s="69" t="s">
        <v>160</v>
      </c>
      <c r="BW58" s="69" t="s">
        <v>160</v>
      </c>
      <c r="BX58" s="69" t="s">
        <v>160</v>
      </c>
      <c r="BY58" s="69" t="s">
        <v>160</v>
      </c>
      <c r="BZ58" s="69" t="s">
        <v>160</v>
      </c>
      <c r="CA58" s="69" t="s">
        <v>160</v>
      </c>
      <c r="CB58" s="69" t="s">
        <v>160</v>
      </c>
      <c r="CC58" s="69" t="s">
        <v>160</v>
      </c>
      <c r="CD58" s="69" t="s">
        <v>160</v>
      </c>
      <c r="CE58" s="69" t="s">
        <v>160</v>
      </c>
      <c r="CF58" s="69" t="s">
        <v>160</v>
      </c>
      <c r="CG58" s="69" t="s">
        <v>160</v>
      </c>
      <c r="CH58" s="69" t="s">
        <v>160</v>
      </c>
      <c r="CI58" s="69" t="s">
        <v>160</v>
      </c>
      <c r="CJ58" s="69" t="s">
        <v>160</v>
      </c>
      <c r="CK58" s="69" t="s">
        <v>160</v>
      </c>
      <c r="CL58" s="69" t="s">
        <v>160</v>
      </c>
      <c r="CM58" s="69" t="s">
        <v>160</v>
      </c>
      <c r="CN58" s="69" t="s">
        <v>160</v>
      </c>
      <c r="CO58" s="69" t="s">
        <v>160</v>
      </c>
      <c r="CP58" s="69" t="s">
        <v>160</v>
      </c>
      <c r="CQ58" s="69" t="s">
        <v>160</v>
      </c>
      <c r="CR58" s="69" t="s">
        <v>160</v>
      </c>
      <c r="CS58" s="69" t="s">
        <v>160</v>
      </c>
      <c r="CT58" s="69" t="s">
        <v>160</v>
      </c>
      <c r="CU58" s="69" t="s">
        <v>160</v>
      </c>
      <c r="CV58" s="69" t="s">
        <v>160</v>
      </c>
      <c r="CW58" s="69" t="s">
        <v>160</v>
      </c>
      <c r="CX58" s="69" t="s">
        <v>160</v>
      </c>
      <c r="CY58" s="69" t="s">
        <v>160</v>
      </c>
      <c r="CZ58" s="69" t="s">
        <v>160</v>
      </c>
      <c r="DA58" s="69" t="s">
        <v>160</v>
      </c>
      <c r="DB58" s="69" t="s">
        <v>160</v>
      </c>
      <c r="DC58" s="69" t="s">
        <v>160</v>
      </c>
      <c r="DD58" s="69" t="s">
        <v>160</v>
      </c>
      <c r="DE58" s="69" t="s">
        <v>160</v>
      </c>
      <c r="DF58" s="69" t="s">
        <v>160</v>
      </c>
      <c r="DG58" s="69" t="s">
        <v>160</v>
      </c>
      <c r="DH58" s="69" t="s">
        <v>160</v>
      </c>
      <c r="DI58" s="69" t="s">
        <v>160</v>
      </c>
      <c r="DJ58" s="69" t="s">
        <v>160</v>
      </c>
      <c r="DK58" s="69" t="s">
        <v>160</v>
      </c>
      <c r="DL58" s="69" t="s">
        <v>160</v>
      </c>
      <c r="DM58" s="69" t="s">
        <v>160</v>
      </c>
      <c r="DN58" s="69" t="s">
        <v>160</v>
      </c>
      <c r="DO58" s="69" t="s">
        <v>160</v>
      </c>
      <c r="DP58" s="69" t="s">
        <v>160</v>
      </c>
      <c r="DQ58" s="69" t="s">
        <v>160</v>
      </c>
      <c r="DR58" s="69" t="s">
        <v>160</v>
      </c>
      <c r="DS58" s="69" t="s">
        <v>160</v>
      </c>
      <c r="DT58" s="69" t="s">
        <v>160</v>
      </c>
      <c r="DU58" s="69" t="s">
        <v>160</v>
      </c>
      <c r="DV58" s="69" t="s">
        <v>160</v>
      </c>
      <c r="DW58" s="69" t="s">
        <v>160</v>
      </c>
      <c r="DX58" s="69" t="s">
        <v>160</v>
      </c>
      <c r="DY58" s="69" t="s">
        <v>160</v>
      </c>
      <c r="DZ58" s="69" t="s">
        <v>160</v>
      </c>
      <c r="EA58" s="69" t="s">
        <v>160</v>
      </c>
      <c r="EB58" s="69" t="s">
        <v>160</v>
      </c>
      <c r="EC58" s="69" t="s">
        <v>160</v>
      </c>
      <c r="ED58" s="69" t="s">
        <v>160</v>
      </c>
      <c r="EE58" s="69" t="s">
        <v>160</v>
      </c>
      <c r="EF58" s="69" t="s">
        <v>160</v>
      </c>
      <c r="EG58" s="69" t="s">
        <v>160</v>
      </c>
      <c r="EH58" s="69" t="s">
        <v>160</v>
      </c>
      <c r="EI58" s="69" t="s">
        <v>160</v>
      </c>
      <c r="EJ58" s="69" t="s">
        <v>160</v>
      </c>
      <c r="EK58" s="69" t="s">
        <v>160</v>
      </c>
      <c r="EL58" s="69" t="s">
        <v>160</v>
      </c>
      <c r="EM58" s="69" t="s">
        <v>160</v>
      </c>
      <c r="EN58" s="69" t="s">
        <v>160</v>
      </c>
      <c r="EO58" s="69" t="s">
        <v>160</v>
      </c>
      <c r="EP58" s="69" t="s">
        <v>160</v>
      </c>
      <c r="EQ58" s="69" t="s">
        <v>160</v>
      </c>
      <c r="ER58" s="69" t="s">
        <v>160</v>
      </c>
      <c r="ES58" s="69" t="s">
        <v>160</v>
      </c>
      <c r="ET58" s="69" t="s">
        <v>160</v>
      </c>
      <c r="EU58" s="69" t="s">
        <v>160</v>
      </c>
      <c r="EV58" s="69" t="s">
        <v>160</v>
      </c>
      <c r="EW58" s="69" t="s">
        <v>160</v>
      </c>
      <c r="EX58" s="69" t="s">
        <v>160</v>
      </c>
      <c r="EY58" s="69" t="s">
        <v>160</v>
      </c>
      <c r="EZ58" s="69" t="s">
        <v>160</v>
      </c>
      <c r="FA58" s="69" t="s">
        <v>160</v>
      </c>
      <c r="FB58" s="69" t="s">
        <v>160</v>
      </c>
      <c r="FC58" s="69" t="s">
        <v>160</v>
      </c>
      <c r="FD58" s="69" t="s">
        <v>160</v>
      </c>
    </row>
    <row r="59" spans="1:160">
      <c r="A59" s="103" t="s">
        <v>460</v>
      </c>
      <c r="B59" s="21" t="s">
        <v>163</v>
      </c>
      <c r="C59" s="50" t="s">
        <v>171</v>
      </c>
      <c r="G59" s="51" t="str">
        <f t="shared" si="0"/>
        <v>Technical design document explaining the data schema and algorithm</v>
      </c>
      <c r="H59" s="51" t="s">
        <v>2</v>
      </c>
      <c r="I59" s="64">
        <v>44743</v>
      </c>
      <c r="J59" s="64">
        <v>45899</v>
      </c>
      <c r="K59" s="64">
        <v>44743</v>
      </c>
      <c r="L59" s="64">
        <v>45077</v>
      </c>
      <c r="M59" s="64" t="s">
        <v>174</v>
      </c>
      <c r="N59" s="64" t="b">
        <f t="shared" ref="N59:N63" si="8">ISNUMBER(SEARCH("*Waiting*",M59))</f>
        <v>1</v>
      </c>
      <c r="O59" s="64"/>
      <c r="P59" s="24">
        <v>0.9</v>
      </c>
      <c r="R59" s="51" t="s">
        <v>2</v>
      </c>
      <c r="S59" s="68" t="s">
        <v>160</v>
      </c>
      <c r="T59" s="69" t="s">
        <v>160</v>
      </c>
      <c r="U59" s="69" t="s">
        <v>160</v>
      </c>
      <c r="V59" s="69" t="s">
        <v>160</v>
      </c>
      <c r="W59" s="69" t="s">
        <v>160</v>
      </c>
      <c r="X59" s="69" t="s">
        <v>160</v>
      </c>
      <c r="Y59" s="69" t="s">
        <v>160</v>
      </c>
      <c r="Z59" s="80" t="s">
        <v>160</v>
      </c>
      <c r="AA59" s="69" t="s">
        <v>160</v>
      </c>
      <c r="AB59" s="69" t="s">
        <v>160</v>
      </c>
      <c r="AC59" s="69" t="s">
        <v>160</v>
      </c>
      <c r="AD59" s="69" t="s">
        <v>160</v>
      </c>
      <c r="AE59" s="69" t="s">
        <v>160</v>
      </c>
      <c r="AF59" s="69" t="s">
        <v>160</v>
      </c>
      <c r="AG59" s="69" t="s">
        <v>160</v>
      </c>
      <c r="AH59" s="69" t="s">
        <v>160</v>
      </c>
      <c r="AI59" s="69" t="s">
        <v>160</v>
      </c>
      <c r="AJ59" s="69" t="s">
        <v>160</v>
      </c>
      <c r="AK59" s="69" t="s">
        <v>160</v>
      </c>
      <c r="AL59" s="69" t="s">
        <v>160</v>
      </c>
      <c r="AM59" s="69" t="s">
        <v>160</v>
      </c>
      <c r="AN59" s="69" t="s">
        <v>160</v>
      </c>
      <c r="AO59" s="69" t="s">
        <v>160</v>
      </c>
      <c r="AP59" s="69" t="s">
        <v>160</v>
      </c>
      <c r="AQ59" s="69" t="s">
        <v>160</v>
      </c>
      <c r="AR59" s="69" t="s">
        <v>160</v>
      </c>
      <c r="AS59" s="69" t="s">
        <v>160</v>
      </c>
      <c r="AT59" s="69" t="s">
        <v>160</v>
      </c>
      <c r="AU59" s="69" t="s">
        <v>160</v>
      </c>
      <c r="AV59" s="69" t="s">
        <v>160</v>
      </c>
      <c r="AW59" s="69" t="s">
        <v>160</v>
      </c>
      <c r="AX59" s="69" t="s">
        <v>160</v>
      </c>
      <c r="AY59" s="69" t="s">
        <v>160</v>
      </c>
      <c r="AZ59" s="69" t="s">
        <v>160</v>
      </c>
      <c r="BA59" s="69" t="s">
        <v>160</v>
      </c>
      <c r="BB59" s="69" t="s">
        <v>160</v>
      </c>
      <c r="BC59" s="69" t="s">
        <v>160</v>
      </c>
      <c r="BD59" s="69" t="s">
        <v>160</v>
      </c>
      <c r="BE59" s="69" t="s">
        <v>160</v>
      </c>
      <c r="BF59" s="69" t="s">
        <v>160</v>
      </c>
      <c r="BG59" s="69" t="s">
        <v>160</v>
      </c>
      <c r="BH59" s="69" t="s">
        <v>160</v>
      </c>
      <c r="BI59" s="69" t="s">
        <v>160</v>
      </c>
      <c r="BJ59" s="69" t="s">
        <v>160</v>
      </c>
      <c r="BK59" s="69" t="s">
        <v>160</v>
      </c>
      <c r="BL59" s="69" t="s">
        <v>160</v>
      </c>
      <c r="BM59" s="69" t="s">
        <v>160</v>
      </c>
      <c r="BN59" s="69" t="s">
        <v>160</v>
      </c>
      <c r="BO59" s="69" t="s">
        <v>160</v>
      </c>
      <c r="BP59" s="69" t="s">
        <v>160</v>
      </c>
      <c r="BQ59" s="69" t="s">
        <v>160</v>
      </c>
      <c r="BR59" s="69" t="s">
        <v>160</v>
      </c>
      <c r="BS59" s="69" t="s">
        <v>160</v>
      </c>
      <c r="BT59" s="69" t="s">
        <v>160</v>
      </c>
      <c r="BU59" s="69" t="s">
        <v>160</v>
      </c>
      <c r="BV59" s="69" t="s">
        <v>160</v>
      </c>
      <c r="BW59" s="69" t="s">
        <v>160</v>
      </c>
      <c r="BX59" s="69" t="s">
        <v>160</v>
      </c>
      <c r="BY59" s="69" t="s">
        <v>160</v>
      </c>
      <c r="BZ59" s="69" t="s">
        <v>160</v>
      </c>
      <c r="CA59" s="69" t="s">
        <v>160</v>
      </c>
      <c r="CB59" s="69" t="s">
        <v>160</v>
      </c>
      <c r="CC59" s="69" t="s">
        <v>160</v>
      </c>
      <c r="CD59" s="69" t="s">
        <v>160</v>
      </c>
      <c r="CE59" s="69" t="s">
        <v>160</v>
      </c>
      <c r="CF59" s="69" t="s">
        <v>160</v>
      </c>
      <c r="CG59" s="69" t="s">
        <v>160</v>
      </c>
      <c r="CH59" s="69" t="s">
        <v>160</v>
      </c>
      <c r="CI59" s="69" t="s">
        <v>160</v>
      </c>
      <c r="CJ59" s="69" t="s">
        <v>160</v>
      </c>
      <c r="CK59" s="69" t="s">
        <v>160</v>
      </c>
      <c r="CL59" s="69" t="s">
        <v>160</v>
      </c>
      <c r="CM59" s="69" t="s">
        <v>160</v>
      </c>
      <c r="CN59" s="69" t="s">
        <v>160</v>
      </c>
      <c r="CO59" s="69" t="s">
        <v>160</v>
      </c>
      <c r="CP59" s="69" t="s">
        <v>160</v>
      </c>
      <c r="CQ59" s="69" t="s">
        <v>160</v>
      </c>
      <c r="CR59" s="69" t="s">
        <v>160</v>
      </c>
      <c r="CS59" s="69" t="s">
        <v>160</v>
      </c>
      <c r="CT59" s="69" t="s">
        <v>160</v>
      </c>
      <c r="CU59" s="69" t="s">
        <v>160</v>
      </c>
      <c r="CV59" s="69" t="s">
        <v>160</v>
      </c>
      <c r="CW59" s="69" t="s">
        <v>160</v>
      </c>
      <c r="CX59" s="69" t="s">
        <v>160</v>
      </c>
      <c r="CY59" s="69" t="s">
        <v>160</v>
      </c>
      <c r="CZ59" s="69" t="s">
        <v>160</v>
      </c>
      <c r="DA59" s="69" t="s">
        <v>160</v>
      </c>
      <c r="DB59" s="69" t="s">
        <v>160</v>
      </c>
      <c r="DC59" s="69" t="s">
        <v>160</v>
      </c>
      <c r="DD59" s="69" t="s">
        <v>160</v>
      </c>
      <c r="DE59" s="69" t="s">
        <v>160</v>
      </c>
      <c r="DF59" s="69" t="s">
        <v>160</v>
      </c>
      <c r="DG59" s="69" t="s">
        <v>160</v>
      </c>
      <c r="DH59" s="69" t="s">
        <v>160</v>
      </c>
      <c r="DI59" s="69" t="s">
        <v>160</v>
      </c>
      <c r="DJ59" s="69" t="s">
        <v>160</v>
      </c>
      <c r="DK59" s="69" t="s">
        <v>160</v>
      </c>
      <c r="DL59" s="69" t="s">
        <v>160</v>
      </c>
      <c r="DM59" s="69" t="s">
        <v>160</v>
      </c>
      <c r="DN59" s="69" t="s">
        <v>160</v>
      </c>
      <c r="DO59" s="69" t="s">
        <v>160</v>
      </c>
      <c r="DP59" s="69" t="s">
        <v>160</v>
      </c>
      <c r="DQ59" s="69" t="s">
        <v>160</v>
      </c>
      <c r="DR59" s="69" t="s">
        <v>160</v>
      </c>
      <c r="DS59" s="69" t="s">
        <v>160</v>
      </c>
      <c r="DT59" s="69" t="s">
        <v>160</v>
      </c>
      <c r="DU59" s="69" t="s">
        <v>160</v>
      </c>
      <c r="DV59" s="69" t="s">
        <v>160</v>
      </c>
      <c r="DW59" s="69" t="s">
        <v>160</v>
      </c>
      <c r="DX59" s="69" t="s">
        <v>160</v>
      </c>
      <c r="DY59" s="69" t="s">
        <v>160</v>
      </c>
      <c r="DZ59" s="69" t="s">
        <v>160</v>
      </c>
      <c r="EA59" s="69" t="s">
        <v>160</v>
      </c>
      <c r="EB59" s="69" t="s">
        <v>160</v>
      </c>
      <c r="EC59" s="69" t="s">
        <v>160</v>
      </c>
      <c r="ED59" s="69" t="s">
        <v>160</v>
      </c>
      <c r="EE59" s="69" t="s">
        <v>160</v>
      </c>
      <c r="EF59" s="69" t="s">
        <v>160</v>
      </c>
      <c r="EG59" s="69" t="s">
        <v>160</v>
      </c>
      <c r="EH59" s="69" t="s">
        <v>160</v>
      </c>
      <c r="EI59" s="69" t="s">
        <v>160</v>
      </c>
      <c r="EJ59" s="69" t="s">
        <v>160</v>
      </c>
      <c r="EK59" s="69" t="s">
        <v>160</v>
      </c>
      <c r="EL59" s="69" t="s">
        <v>160</v>
      </c>
      <c r="EM59" s="69" t="s">
        <v>160</v>
      </c>
      <c r="EN59" s="69" t="s">
        <v>160</v>
      </c>
      <c r="EO59" s="69" t="s">
        <v>160</v>
      </c>
      <c r="EP59" s="69" t="s">
        <v>160</v>
      </c>
      <c r="EQ59" s="69" t="s">
        <v>160</v>
      </c>
      <c r="ER59" s="69" t="s">
        <v>160</v>
      </c>
      <c r="ES59" s="69" t="s">
        <v>160</v>
      </c>
      <c r="ET59" s="69" t="s">
        <v>160</v>
      </c>
      <c r="EU59" s="69" t="s">
        <v>160</v>
      </c>
      <c r="EV59" s="69" t="s">
        <v>160</v>
      </c>
      <c r="EW59" s="69" t="s">
        <v>160</v>
      </c>
      <c r="EX59" s="69" t="s">
        <v>160</v>
      </c>
      <c r="EY59" s="69" t="s">
        <v>160</v>
      </c>
      <c r="EZ59" s="69" t="s">
        <v>160</v>
      </c>
      <c r="FA59" s="69" t="s">
        <v>160</v>
      </c>
      <c r="FB59" s="69" t="s">
        <v>160</v>
      </c>
      <c r="FC59" s="69" t="s">
        <v>160</v>
      </c>
      <c r="FD59" s="69" t="s">
        <v>160</v>
      </c>
    </row>
    <row r="60" spans="1:160">
      <c r="A60" s="103" t="s">
        <v>461</v>
      </c>
      <c r="B60" s="20" t="s">
        <v>163</v>
      </c>
      <c r="C60" s="50" t="s">
        <v>172</v>
      </c>
      <c r="G60" s="51" t="str">
        <f t="shared" si="0"/>
        <v>Software Code</v>
      </c>
      <c r="H60" s="51" t="s">
        <v>2</v>
      </c>
      <c r="I60" s="64">
        <v>44743</v>
      </c>
      <c r="J60" s="64">
        <v>45899</v>
      </c>
      <c r="K60" s="64">
        <v>44743</v>
      </c>
      <c r="L60" s="64">
        <v>45077</v>
      </c>
      <c r="M60" s="64" t="s">
        <v>174</v>
      </c>
      <c r="N60" s="64" t="b">
        <f t="shared" si="8"/>
        <v>1</v>
      </c>
      <c r="O60" s="64"/>
      <c r="P60" s="24">
        <v>0.9</v>
      </c>
      <c r="R60" s="51" t="s">
        <v>2</v>
      </c>
      <c r="S60" s="68" t="s">
        <v>160</v>
      </c>
      <c r="T60" s="69" t="s">
        <v>160</v>
      </c>
      <c r="U60" s="69" t="s">
        <v>160</v>
      </c>
      <c r="V60" s="69" t="s">
        <v>160</v>
      </c>
      <c r="W60" s="69" t="s">
        <v>160</v>
      </c>
      <c r="X60" s="69" t="s">
        <v>160</v>
      </c>
      <c r="Y60" s="69" t="s">
        <v>160</v>
      </c>
      <c r="Z60" s="80" t="s">
        <v>160</v>
      </c>
      <c r="AA60" s="69" t="s">
        <v>160</v>
      </c>
      <c r="AB60" s="69" t="s">
        <v>160</v>
      </c>
      <c r="AC60" s="69" t="s">
        <v>160</v>
      </c>
      <c r="AD60" s="69" t="s">
        <v>160</v>
      </c>
      <c r="AE60" s="69" t="s">
        <v>160</v>
      </c>
      <c r="AF60" s="69" t="s">
        <v>160</v>
      </c>
      <c r="AG60" s="69" t="s">
        <v>160</v>
      </c>
      <c r="AH60" s="69" t="s">
        <v>160</v>
      </c>
      <c r="AI60" s="69" t="s">
        <v>160</v>
      </c>
      <c r="AJ60" s="69" t="s">
        <v>160</v>
      </c>
      <c r="AK60" s="69" t="s">
        <v>160</v>
      </c>
      <c r="AL60" s="69" t="s">
        <v>160</v>
      </c>
      <c r="AM60" s="69" t="s">
        <v>160</v>
      </c>
      <c r="AN60" s="69" t="s">
        <v>160</v>
      </c>
      <c r="AO60" s="69" t="s">
        <v>160</v>
      </c>
      <c r="AP60" s="69" t="s">
        <v>160</v>
      </c>
      <c r="AQ60" s="69" t="s">
        <v>160</v>
      </c>
      <c r="AR60" s="69" t="s">
        <v>160</v>
      </c>
      <c r="AS60" s="69" t="s">
        <v>160</v>
      </c>
      <c r="AT60" s="69" t="s">
        <v>160</v>
      </c>
      <c r="AU60" s="69" t="s">
        <v>160</v>
      </c>
      <c r="AV60" s="69" t="s">
        <v>160</v>
      </c>
      <c r="AW60" s="69" t="s">
        <v>160</v>
      </c>
      <c r="AX60" s="69" t="s">
        <v>160</v>
      </c>
      <c r="AY60" s="69" t="s">
        <v>160</v>
      </c>
      <c r="AZ60" s="69" t="s">
        <v>160</v>
      </c>
      <c r="BA60" s="69" t="s">
        <v>160</v>
      </c>
      <c r="BB60" s="69" t="s">
        <v>160</v>
      </c>
      <c r="BC60" s="69" t="s">
        <v>160</v>
      </c>
      <c r="BD60" s="69" t="s">
        <v>160</v>
      </c>
      <c r="BE60" s="69" t="s">
        <v>160</v>
      </c>
      <c r="BF60" s="69" t="s">
        <v>160</v>
      </c>
      <c r="BG60" s="69" t="s">
        <v>160</v>
      </c>
      <c r="BH60" s="69" t="s">
        <v>160</v>
      </c>
      <c r="BI60" s="69" t="s">
        <v>160</v>
      </c>
      <c r="BJ60" s="69" t="s">
        <v>160</v>
      </c>
      <c r="BK60" s="69" t="s">
        <v>160</v>
      </c>
      <c r="BL60" s="69" t="s">
        <v>160</v>
      </c>
      <c r="BM60" s="69" t="s">
        <v>160</v>
      </c>
      <c r="BN60" s="69" t="s">
        <v>160</v>
      </c>
      <c r="BO60" s="69" t="s">
        <v>160</v>
      </c>
      <c r="BP60" s="69" t="s">
        <v>160</v>
      </c>
      <c r="BQ60" s="69" t="s">
        <v>160</v>
      </c>
      <c r="BR60" s="69" t="s">
        <v>160</v>
      </c>
      <c r="BS60" s="69" t="s">
        <v>160</v>
      </c>
      <c r="BT60" s="69" t="s">
        <v>160</v>
      </c>
      <c r="BU60" s="69" t="s">
        <v>160</v>
      </c>
      <c r="BV60" s="69" t="s">
        <v>160</v>
      </c>
      <c r="BW60" s="69" t="s">
        <v>160</v>
      </c>
      <c r="BX60" s="69" t="s">
        <v>160</v>
      </c>
      <c r="BY60" s="69" t="s">
        <v>160</v>
      </c>
      <c r="BZ60" s="69" t="s">
        <v>160</v>
      </c>
      <c r="CA60" s="69" t="s">
        <v>160</v>
      </c>
      <c r="CB60" s="69" t="s">
        <v>160</v>
      </c>
      <c r="CC60" s="69" t="s">
        <v>160</v>
      </c>
      <c r="CD60" s="69" t="s">
        <v>160</v>
      </c>
      <c r="CE60" s="69" t="s">
        <v>160</v>
      </c>
      <c r="CF60" s="69" t="s">
        <v>160</v>
      </c>
      <c r="CG60" s="69" t="s">
        <v>160</v>
      </c>
      <c r="CH60" s="69" t="s">
        <v>160</v>
      </c>
      <c r="CI60" s="69" t="s">
        <v>160</v>
      </c>
      <c r="CJ60" s="69" t="s">
        <v>160</v>
      </c>
      <c r="CK60" s="69" t="s">
        <v>160</v>
      </c>
      <c r="CL60" s="69" t="s">
        <v>160</v>
      </c>
      <c r="CM60" s="69" t="s">
        <v>160</v>
      </c>
      <c r="CN60" s="69" t="s">
        <v>160</v>
      </c>
      <c r="CO60" s="69" t="s">
        <v>160</v>
      </c>
      <c r="CP60" s="69" t="s">
        <v>160</v>
      </c>
      <c r="CQ60" s="69" t="s">
        <v>160</v>
      </c>
      <c r="CR60" s="69" t="s">
        <v>160</v>
      </c>
      <c r="CS60" s="69" t="s">
        <v>160</v>
      </c>
      <c r="CT60" s="69" t="s">
        <v>160</v>
      </c>
      <c r="CU60" s="69" t="s">
        <v>160</v>
      </c>
      <c r="CV60" s="69" t="s">
        <v>160</v>
      </c>
      <c r="CW60" s="69" t="s">
        <v>160</v>
      </c>
      <c r="CX60" s="69" t="s">
        <v>160</v>
      </c>
      <c r="CY60" s="69" t="s">
        <v>160</v>
      </c>
      <c r="CZ60" s="69" t="s">
        <v>160</v>
      </c>
      <c r="DA60" s="69" t="s">
        <v>160</v>
      </c>
      <c r="DB60" s="69" t="s">
        <v>160</v>
      </c>
      <c r="DC60" s="69" t="s">
        <v>160</v>
      </c>
      <c r="DD60" s="69" t="s">
        <v>160</v>
      </c>
      <c r="DE60" s="69" t="s">
        <v>160</v>
      </c>
      <c r="DF60" s="69" t="s">
        <v>160</v>
      </c>
      <c r="DG60" s="69" t="s">
        <v>160</v>
      </c>
      <c r="DH60" s="69" t="s">
        <v>160</v>
      </c>
      <c r="DI60" s="69" t="s">
        <v>160</v>
      </c>
      <c r="DJ60" s="69" t="s">
        <v>160</v>
      </c>
      <c r="DK60" s="69" t="s">
        <v>160</v>
      </c>
      <c r="DL60" s="69" t="s">
        <v>160</v>
      </c>
      <c r="DM60" s="69" t="s">
        <v>160</v>
      </c>
      <c r="DN60" s="69" t="s">
        <v>160</v>
      </c>
      <c r="DO60" s="69" t="s">
        <v>160</v>
      </c>
      <c r="DP60" s="69" t="s">
        <v>160</v>
      </c>
      <c r="DQ60" s="69" t="s">
        <v>160</v>
      </c>
      <c r="DR60" s="69" t="s">
        <v>160</v>
      </c>
      <c r="DS60" s="69" t="s">
        <v>160</v>
      </c>
      <c r="DT60" s="69" t="s">
        <v>160</v>
      </c>
      <c r="DU60" s="69" t="s">
        <v>160</v>
      </c>
      <c r="DV60" s="69" t="s">
        <v>160</v>
      </c>
      <c r="DW60" s="69" t="s">
        <v>160</v>
      </c>
      <c r="DX60" s="69" t="s">
        <v>160</v>
      </c>
      <c r="DY60" s="69" t="s">
        <v>160</v>
      </c>
      <c r="DZ60" s="69" t="s">
        <v>160</v>
      </c>
      <c r="EA60" s="69" t="s">
        <v>160</v>
      </c>
      <c r="EB60" s="69" t="s">
        <v>160</v>
      </c>
      <c r="EC60" s="69" t="s">
        <v>160</v>
      </c>
      <c r="ED60" s="69" t="s">
        <v>160</v>
      </c>
      <c r="EE60" s="69" t="s">
        <v>160</v>
      </c>
      <c r="EF60" s="69" t="s">
        <v>160</v>
      </c>
      <c r="EG60" s="69" t="s">
        <v>160</v>
      </c>
      <c r="EH60" s="69" t="s">
        <v>160</v>
      </c>
      <c r="EI60" s="69" t="s">
        <v>160</v>
      </c>
      <c r="EJ60" s="69" t="s">
        <v>160</v>
      </c>
      <c r="EK60" s="69" t="s">
        <v>160</v>
      </c>
      <c r="EL60" s="69" t="s">
        <v>160</v>
      </c>
      <c r="EM60" s="69" t="s">
        <v>160</v>
      </c>
      <c r="EN60" s="69" t="s">
        <v>160</v>
      </c>
      <c r="EO60" s="69" t="s">
        <v>160</v>
      </c>
      <c r="EP60" s="69" t="s">
        <v>160</v>
      </c>
      <c r="EQ60" s="69" t="s">
        <v>160</v>
      </c>
      <c r="ER60" s="69" t="s">
        <v>160</v>
      </c>
      <c r="ES60" s="69" t="s">
        <v>160</v>
      </c>
      <c r="ET60" s="69" t="s">
        <v>160</v>
      </c>
      <c r="EU60" s="69" t="s">
        <v>160</v>
      </c>
      <c r="EV60" s="69" t="s">
        <v>160</v>
      </c>
      <c r="EW60" s="69" t="s">
        <v>160</v>
      </c>
      <c r="EX60" s="69" t="s">
        <v>160</v>
      </c>
      <c r="EY60" s="69" t="s">
        <v>160</v>
      </c>
      <c r="EZ60" s="69" t="s">
        <v>160</v>
      </c>
      <c r="FA60" s="69" t="s">
        <v>160</v>
      </c>
      <c r="FB60" s="69" t="s">
        <v>160</v>
      </c>
      <c r="FC60" s="69" t="s">
        <v>160</v>
      </c>
      <c r="FD60" s="69" t="s">
        <v>160</v>
      </c>
    </row>
    <row r="61" spans="1:160">
      <c r="A61" s="103" t="s">
        <v>462</v>
      </c>
      <c r="B61" s="21" t="s">
        <v>163</v>
      </c>
      <c r="C61" s="50" t="s">
        <v>173</v>
      </c>
      <c r="G61" s="51" t="str">
        <f t="shared" si="0"/>
        <v>Deployment Procedure of the code</v>
      </c>
      <c r="H61" s="51" t="s">
        <v>2</v>
      </c>
      <c r="I61" s="64">
        <v>44743</v>
      </c>
      <c r="J61" s="64">
        <v>45899</v>
      </c>
      <c r="K61" s="64">
        <v>44743</v>
      </c>
      <c r="L61" s="64">
        <v>45077</v>
      </c>
      <c r="M61" s="64" t="s">
        <v>174</v>
      </c>
      <c r="N61" s="64" t="b">
        <f t="shared" si="8"/>
        <v>1</v>
      </c>
      <c r="O61" s="64"/>
      <c r="P61" s="24">
        <v>0.9</v>
      </c>
      <c r="R61" s="51" t="s">
        <v>2</v>
      </c>
      <c r="S61" s="68" t="s">
        <v>160</v>
      </c>
      <c r="T61" s="69" t="s">
        <v>160</v>
      </c>
      <c r="U61" s="69" t="s">
        <v>160</v>
      </c>
      <c r="V61" s="69" t="s">
        <v>160</v>
      </c>
      <c r="W61" s="69" t="s">
        <v>160</v>
      </c>
      <c r="X61" s="69" t="s">
        <v>160</v>
      </c>
      <c r="Y61" s="69" t="s">
        <v>160</v>
      </c>
      <c r="Z61" s="80" t="s">
        <v>160</v>
      </c>
      <c r="AA61" s="69" t="s">
        <v>160</v>
      </c>
      <c r="AB61" s="69" t="s">
        <v>160</v>
      </c>
      <c r="AC61" s="69" t="s">
        <v>160</v>
      </c>
      <c r="AD61" s="69" t="s">
        <v>160</v>
      </c>
      <c r="AE61" s="69" t="s">
        <v>160</v>
      </c>
      <c r="AF61" s="69" t="s">
        <v>160</v>
      </c>
      <c r="AG61" s="69" t="s">
        <v>160</v>
      </c>
      <c r="AH61" s="69" t="s">
        <v>160</v>
      </c>
      <c r="AI61" s="69" t="s">
        <v>160</v>
      </c>
      <c r="AJ61" s="69" t="s">
        <v>160</v>
      </c>
      <c r="AK61" s="69" t="s">
        <v>160</v>
      </c>
      <c r="AL61" s="69" t="s">
        <v>160</v>
      </c>
      <c r="AM61" s="69" t="s">
        <v>160</v>
      </c>
      <c r="AN61" s="69" t="s">
        <v>160</v>
      </c>
      <c r="AO61" s="69" t="s">
        <v>160</v>
      </c>
      <c r="AP61" s="69" t="s">
        <v>160</v>
      </c>
      <c r="AQ61" s="69" t="s">
        <v>160</v>
      </c>
      <c r="AR61" s="69" t="s">
        <v>160</v>
      </c>
      <c r="AS61" s="69" t="s">
        <v>160</v>
      </c>
      <c r="AT61" s="69" t="s">
        <v>160</v>
      </c>
      <c r="AU61" s="69" t="s">
        <v>160</v>
      </c>
      <c r="AV61" s="69" t="s">
        <v>160</v>
      </c>
      <c r="AW61" s="69" t="s">
        <v>160</v>
      </c>
      <c r="AX61" s="69" t="s">
        <v>160</v>
      </c>
      <c r="AY61" s="69" t="s">
        <v>160</v>
      </c>
      <c r="AZ61" s="69" t="s">
        <v>160</v>
      </c>
      <c r="BA61" s="69" t="s">
        <v>160</v>
      </c>
      <c r="BB61" s="69" t="s">
        <v>160</v>
      </c>
      <c r="BC61" s="69" t="s">
        <v>160</v>
      </c>
      <c r="BD61" s="69" t="s">
        <v>160</v>
      </c>
      <c r="BE61" s="69" t="s">
        <v>160</v>
      </c>
      <c r="BF61" s="69" t="s">
        <v>160</v>
      </c>
      <c r="BG61" s="69" t="s">
        <v>160</v>
      </c>
      <c r="BH61" s="69" t="s">
        <v>160</v>
      </c>
      <c r="BI61" s="69" t="s">
        <v>160</v>
      </c>
      <c r="BJ61" s="69" t="s">
        <v>160</v>
      </c>
      <c r="BK61" s="69" t="s">
        <v>160</v>
      </c>
      <c r="BL61" s="69" t="s">
        <v>160</v>
      </c>
      <c r="BM61" s="69" t="s">
        <v>160</v>
      </c>
      <c r="BN61" s="69" t="s">
        <v>160</v>
      </c>
      <c r="BO61" s="69" t="s">
        <v>160</v>
      </c>
      <c r="BP61" s="69" t="s">
        <v>160</v>
      </c>
      <c r="BQ61" s="69" t="s">
        <v>160</v>
      </c>
      <c r="BR61" s="69" t="s">
        <v>160</v>
      </c>
      <c r="BS61" s="69" t="s">
        <v>160</v>
      </c>
      <c r="BT61" s="69" t="s">
        <v>160</v>
      </c>
      <c r="BU61" s="69" t="s">
        <v>160</v>
      </c>
      <c r="BV61" s="69" t="s">
        <v>160</v>
      </c>
      <c r="BW61" s="69" t="s">
        <v>160</v>
      </c>
      <c r="BX61" s="69" t="s">
        <v>160</v>
      </c>
      <c r="BY61" s="69" t="s">
        <v>160</v>
      </c>
      <c r="BZ61" s="69" t="s">
        <v>160</v>
      </c>
      <c r="CA61" s="69" t="s">
        <v>160</v>
      </c>
      <c r="CB61" s="69" t="s">
        <v>160</v>
      </c>
      <c r="CC61" s="69" t="s">
        <v>160</v>
      </c>
      <c r="CD61" s="69" t="s">
        <v>160</v>
      </c>
      <c r="CE61" s="69" t="s">
        <v>160</v>
      </c>
      <c r="CF61" s="69" t="s">
        <v>160</v>
      </c>
      <c r="CG61" s="69" t="s">
        <v>160</v>
      </c>
      <c r="CH61" s="69" t="s">
        <v>160</v>
      </c>
      <c r="CI61" s="69" t="s">
        <v>160</v>
      </c>
      <c r="CJ61" s="69" t="s">
        <v>160</v>
      </c>
      <c r="CK61" s="69" t="s">
        <v>160</v>
      </c>
      <c r="CL61" s="69" t="s">
        <v>160</v>
      </c>
      <c r="CM61" s="69" t="s">
        <v>160</v>
      </c>
      <c r="CN61" s="69" t="s">
        <v>160</v>
      </c>
      <c r="CO61" s="69" t="s">
        <v>160</v>
      </c>
      <c r="CP61" s="69" t="s">
        <v>160</v>
      </c>
      <c r="CQ61" s="69" t="s">
        <v>160</v>
      </c>
      <c r="CR61" s="69" t="s">
        <v>160</v>
      </c>
      <c r="CS61" s="69" t="s">
        <v>160</v>
      </c>
      <c r="CT61" s="69" t="s">
        <v>160</v>
      </c>
      <c r="CU61" s="69" t="s">
        <v>160</v>
      </c>
      <c r="CV61" s="69" t="s">
        <v>160</v>
      </c>
      <c r="CW61" s="69" t="s">
        <v>160</v>
      </c>
      <c r="CX61" s="69" t="s">
        <v>160</v>
      </c>
      <c r="CY61" s="69" t="s">
        <v>160</v>
      </c>
      <c r="CZ61" s="69" t="s">
        <v>160</v>
      </c>
      <c r="DA61" s="69" t="s">
        <v>160</v>
      </c>
      <c r="DB61" s="69" t="s">
        <v>160</v>
      </c>
      <c r="DC61" s="69" t="s">
        <v>160</v>
      </c>
      <c r="DD61" s="69" t="s">
        <v>160</v>
      </c>
      <c r="DE61" s="69" t="s">
        <v>160</v>
      </c>
      <c r="DF61" s="69" t="s">
        <v>160</v>
      </c>
      <c r="DG61" s="69" t="s">
        <v>160</v>
      </c>
      <c r="DH61" s="69" t="s">
        <v>160</v>
      </c>
      <c r="DI61" s="69" t="s">
        <v>160</v>
      </c>
      <c r="DJ61" s="69" t="s">
        <v>160</v>
      </c>
      <c r="DK61" s="69" t="s">
        <v>160</v>
      </c>
      <c r="DL61" s="69" t="s">
        <v>160</v>
      </c>
      <c r="DM61" s="69" t="s">
        <v>160</v>
      </c>
      <c r="DN61" s="69" t="s">
        <v>160</v>
      </c>
      <c r="DO61" s="69" t="s">
        <v>160</v>
      </c>
      <c r="DP61" s="69" t="s">
        <v>160</v>
      </c>
      <c r="DQ61" s="69" t="s">
        <v>160</v>
      </c>
      <c r="DR61" s="69" t="s">
        <v>160</v>
      </c>
      <c r="DS61" s="69" t="s">
        <v>160</v>
      </c>
      <c r="DT61" s="69" t="s">
        <v>160</v>
      </c>
      <c r="DU61" s="69" t="s">
        <v>160</v>
      </c>
      <c r="DV61" s="69" t="s">
        <v>160</v>
      </c>
      <c r="DW61" s="69" t="s">
        <v>160</v>
      </c>
      <c r="DX61" s="69" t="s">
        <v>160</v>
      </c>
      <c r="DY61" s="69" t="s">
        <v>160</v>
      </c>
      <c r="DZ61" s="69" t="s">
        <v>160</v>
      </c>
      <c r="EA61" s="69" t="s">
        <v>160</v>
      </c>
      <c r="EB61" s="69" t="s">
        <v>160</v>
      </c>
      <c r="EC61" s="69" t="s">
        <v>160</v>
      </c>
      <c r="ED61" s="69" t="s">
        <v>160</v>
      </c>
      <c r="EE61" s="69" t="s">
        <v>160</v>
      </c>
      <c r="EF61" s="69" t="s">
        <v>160</v>
      </c>
      <c r="EG61" s="69" t="s">
        <v>160</v>
      </c>
      <c r="EH61" s="69" t="s">
        <v>160</v>
      </c>
      <c r="EI61" s="69" t="s">
        <v>160</v>
      </c>
      <c r="EJ61" s="69" t="s">
        <v>160</v>
      </c>
      <c r="EK61" s="69" t="s">
        <v>160</v>
      </c>
      <c r="EL61" s="69" t="s">
        <v>160</v>
      </c>
      <c r="EM61" s="69" t="s">
        <v>160</v>
      </c>
      <c r="EN61" s="69" t="s">
        <v>160</v>
      </c>
      <c r="EO61" s="69" t="s">
        <v>160</v>
      </c>
      <c r="EP61" s="69" t="s">
        <v>160</v>
      </c>
      <c r="EQ61" s="69" t="s">
        <v>160</v>
      </c>
      <c r="ER61" s="69" t="s">
        <v>160</v>
      </c>
      <c r="ES61" s="69" t="s">
        <v>160</v>
      </c>
      <c r="ET61" s="69" t="s">
        <v>160</v>
      </c>
      <c r="EU61" s="69" t="s">
        <v>160</v>
      </c>
      <c r="EV61" s="69" t="s">
        <v>160</v>
      </c>
      <c r="EW61" s="69" t="s">
        <v>160</v>
      </c>
      <c r="EX61" s="69" t="s">
        <v>160</v>
      </c>
      <c r="EY61" s="69" t="s">
        <v>160</v>
      </c>
      <c r="EZ61" s="69" t="s">
        <v>160</v>
      </c>
      <c r="FA61" s="69" t="s">
        <v>160</v>
      </c>
      <c r="FB61" s="69" t="s">
        <v>160</v>
      </c>
      <c r="FC61" s="69" t="s">
        <v>160</v>
      </c>
      <c r="FD61" s="69" t="s">
        <v>160</v>
      </c>
    </row>
    <row r="62" spans="1:160">
      <c r="A62" s="103" t="s">
        <v>463</v>
      </c>
      <c r="B62" s="21" t="s">
        <v>163</v>
      </c>
      <c r="C62" s="50" t="s">
        <v>175</v>
      </c>
      <c r="G62" s="51" t="str">
        <f t="shared" si="0"/>
        <v>Product usage guide with examples for all the functional usecases</v>
      </c>
      <c r="H62" s="51" t="s">
        <v>2</v>
      </c>
      <c r="I62" s="64">
        <v>44743</v>
      </c>
      <c r="J62" s="64">
        <v>45899</v>
      </c>
      <c r="K62" s="64">
        <v>44743</v>
      </c>
      <c r="L62" s="64">
        <v>45077</v>
      </c>
      <c r="M62" s="64" t="s">
        <v>174</v>
      </c>
      <c r="N62" s="64" t="b">
        <f t="shared" si="8"/>
        <v>1</v>
      </c>
      <c r="O62" s="64"/>
      <c r="P62" s="24">
        <v>0.9</v>
      </c>
      <c r="R62" s="51" t="s">
        <v>2</v>
      </c>
      <c r="S62" s="68" t="s">
        <v>160</v>
      </c>
      <c r="T62" s="69" t="s">
        <v>160</v>
      </c>
      <c r="U62" s="69" t="s">
        <v>160</v>
      </c>
      <c r="V62" s="69" t="s">
        <v>160</v>
      </c>
      <c r="W62" s="69" t="s">
        <v>160</v>
      </c>
      <c r="X62" s="69" t="s">
        <v>160</v>
      </c>
      <c r="Y62" s="69" t="s">
        <v>160</v>
      </c>
      <c r="Z62" s="80" t="s">
        <v>160</v>
      </c>
      <c r="AA62" s="69" t="s">
        <v>160</v>
      </c>
      <c r="AB62" s="69" t="s">
        <v>160</v>
      </c>
      <c r="AC62" s="69" t="s">
        <v>160</v>
      </c>
      <c r="AD62" s="69" t="s">
        <v>160</v>
      </c>
      <c r="AE62" s="69" t="s">
        <v>160</v>
      </c>
      <c r="AF62" s="69" t="s">
        <v>160</v>
      </c>
      <c r="AG62" s="69" t="s">
        <v>160</v>
      </c>
      <c r="AH62" s="69" t="s">
        <v>160</v>
      </c>
      <c r="AI62" s="69" t="s">
        <v>160</v>
      </c>
      <c r="AJ62" s="69" t="s">
        <v>160</v>
      </c>
      <c r="AK62" s="69" t="s">
        <v>160</v>
      </c>
      <c r="AL62" s="69" t="s">
        <v>160</v>
      </c>
      <c r="AM62" s="69" t="s">
        <v>160</v>
      </c>
      <c r="AN62" s="69" t="s">
        <v>160</v>
      </c>
      <c r="AO62" s="69" t="s">
        <v>160</v>
      </c>
      <c r="AP62" s="69" t="s">
        <v>160</v>
      </c>
      <c r="AQ62" s="69" t="s">
        <v>160</v>
      </c>
      <c r="AR62" s="69" t="s">
        <v>160</v>
      </c>
      <c r="AS62" s="69" t="s">
        <v>160</v>
      </c>
      <c r="AT62" s="69" t="s">
        <v>160</v>
      </c>
      <c r="AU62" s="69" t="s">
        <v>160</v>
      </c>
      <c r="AV62" s="69" t="s">
        <v>160</v>
      </c>
      <c r="AW62" s="69" t="s">
        <v>160</v>
      </c>
      <c r="AX62" s="69" t="s">
        <v>160</v>
      </c>
      <c r="AY62" s="69" t="s">
        <v>160</v>
      </c>
      <c r="AZ62" s="69" t="s">
        <v>160</v>
      </c>
      <c r="BA62" s="69" t="s">
        <v>160</v>
      </c>
      <c r="BB62" s="69" t="s">
        <v>160</v>
      </c>
      <c r="BC62" s="69" t="s">
        <v>160</v>
      </c>
      <c r="BD62" s="69" t="s">
        <v>160</v>
      </c>
      <c r="BE62" s="69" t="s">
        <v>160</v>
      </c>
      <c r="BF62" s="69" t="s">
        <v>160</v>
      </c>
      <c r="BG62" s="69" t="s">
        <v>160</v>
      </c>
      <c r="BH62" s="69" t="s">
        <v>160</v>
      </c>
      <c r="BI62" s="69" t="s">
        <v>160</v>
      </c>
      <c r="BJ62" s="69" t="s">
        <v>160</v>
      </c>
      <c r="BK62" s="69" t="s">
        <v>160</v>
      </c>
      <c r="BL62" s="69" t="s">
        <v>160</v>
      </c>
      <c r="BM62" s="69" t="s">
        <v>160</v>
      </c>
      <c r="BN62" s="69" t="s">
        <v>160</v>
      </c>
      <c r="BO62" s="69" t="s">
        <v>160</v>
      </c>
      <c r="BP62" s="69" t="s">
        <v>160</v>
      </c>
      <c r="BQ62" s="69" t="s">
        <v>160</v>
      </c>
      <c r="BR62" s="69" t="s">
        <v>160</v>
      </c>
      <c r="BS62" s="69" t="s">
        <v>160</v>
      </c>
      <c r="BT62" s="69" t="s">
        <v>160</v>
      </c>
      <c r="BU62" s="69" t="s">
        <v>160</v>
      </c>
      <c r="BV62" s="69" t="s">
        <v>160</v>
      </c>
      <c r="BW62" s="69" t="s">
        <v>160</v>
      </c>
      <c r="BX62" s="69" t="s">
        <v>160</v>
      </c>
      <c r="BY62" s="69" t="s">
        <v>160</v>
      </c>
      <c r="BZ62" s="69" t="s">
        <v>160</v>
      </c>
      <c r="CA62" s="69" t="s">
        <v>160</v>
      </c>
      <c r="CB62" s="69" t="s">
        <v>160</v>
      </c>
      <c r="CC62" s="69" t="s">
        <v>160</v>
      </c>
      <c r="CD62" s="69" t="s">
        <v>160</v>
      </c>
      <c r="CE62" s="69" t="s">
        <v>160</v>
      </c>
      <c r="CF62" s="69" t="s">
        <v>160</v>
      </c>
      <c r="CG62" s="69" t="s">
        <v>160</v>
      </c>
      <c r="CH62" s="69" t="s">
        <v>160</v>
      </c>
      <c r="CI62" s="69" t="s">
        <v>160</v>
      </c>
      <c r="CJ62" s="69" t="s">
        <v>160</v>
      </c>
      <c r="CK62" s="69" t="s">
        <v>160</v>
      </c>
      <c r="CL62" s="69" t="s">
        <v>160</v>
      </c>
      <c r="CM62" s="69" t="s">
        <v>160</v>
      </c>
      <c r="CN62" s="69" t="s">
        <v>160</v>
      </c>
      <c r="CO62" s="69" t="s">
        <v>160</v>
      </c>
      <c r="CP62" s="69" t="s">
        <v>160</v>
      </c>
      <c r="CQ62" s="69" t="s">
        <v>160</v>
      </c>
      <c r="CR62" s="69" t="s">
        <v>160</v>
      </c>
      <c r="CS62" s="69" t="s">
        <v>160</v>
      </c>
      <c r="CT62" s="69" t="s">
        <v>160</v>
      </c>
      <c r="CU62" s="69" t="s">
        <v>160</v>
      </c>
      <c r="CV62" s="69" t="s">
        <v>160</v>
      </c>
      <c r="CW62" s="69" t="s">
        <v>160</v>
      </c>
      <c r="CX62" s="69" t="s">
        <v>160</v>
      </c>
      <c r="CY62" s="69" t="s">
        <v>160</v>
      </c>
      <c r="CZ62" s="69" t="s">
        <v>160</v>
      </c>
      <c r="DA62" s="69" t="s">
        <v>160</v>
      </c>
      <c r="DB62" s="69" t="s">
        <v>160</v>
      </c>
      <c r="DC62" s="69" t="s">
        <v>160</v>
      </c>
      <c r="DD62" s="69" t="s">
        <v>160</v>
      </c>
      <c r="DE62" s="69" t="s">
        <v>160</v>
      </c>
      <c r="DF62" s="69" t="s">
        <v>160</v>
      </c>
      <c r="DG62" s="69" t="s">
        <v>160</v>
      </c>
      <c r="DH62" s="69" t="s">
        <v>160</v>
      </c>
      <c r="DI62" s="69" t="s">
        <v>160</v>
      </c>
      <c r="DJ62" s="69" t="s">
        <v>160</v>
      </c>
      <c r="DK62" s="69" t="s">
        <v>160</v>
      </c>
      <c r="DL62" s="69" t="s">
        <v>160</v>
      </c>
      <c r="DM62" s="69" t="s">
        <v>160</v>
      </c>
      <c r="DN62" s="69" t="s">
        <v>160</v>
      </c>
      <c r="DO62" s="69" t="s">
        <v>160</v>
      </c>
      <c r="DP62" s="69" t="s">
        <v>160</v>
      </c>
      <c r="DQ62" s="69" t="s">
        <v>160</v>
      </c>
      <c r="DR62" s="69" t="s">
        <v>160</v>
      </c>
      <c r="DS62" s="69" t="s">
        <v>160</v>
      </c>
      <c r="DT62" s="69" t="s">
        <v>160</v>
      </c>
      <c r="DU62" s="69" t="s">
        <v>160</v>
      </c>
      <c r="DV62" s="69" t="s">
        <v>160</v>
      </c>
      <c r="DW62" s="69" t="s">
        <v>160</v>
      </c>
      <c r="DX62" s="69" t="s">
        <v>160</v>
      </c>
      <c r="DY62" s="69" t="s">
        <v>160</v>
      </c>
      <c r="DZ62" s="69" t="s">
        <v>160</v>
      </c>
      <c r="EA62" s="69" t="s">
        <v>160</v>
      </c>
      <c r="EB62" s="69" t="s">
        <v>160</v>
      </c>
      <c r="EC62" s="69" t="s">
        <v>160</v>
      </c>
      <c r="ED62" s="69" t="s">
        <v>160</v>
      </c>
      <c r="EE62" s="69" t="s">
        <v>160</v>
      </c>
      <c r="EF62" s="69" t="s">
        <v>160</v>
      </c>
      <c r="EG62" s="69" t="s">
        <v>160</v>
      </c>
      <c r="EH62" s="69" t="s">
        <v>160</v>
      </c>
      <c r="EI62" s="69" t="s">
        <v>160</v>
      </c>
      <c r="EJ62" s="69" t="s">
        <v>160</v>
      </c>
      <c r="EK62" s="69" t="s">
        <v>160</v>
      </c>
      <c r="EL62" s="69" t="s">
        <v>160</v>
      </c>
      <c r="EM62" s="69" t="s">
        <v>160</v>
      </c>
      <c r="EN62" s="69" t="s">
        <v>160</v>
      </c>
      <c r="EO62" s="69" t="s">
        <v>160</v>
      </c>
      <c r="EP62" s="69" t="s">
        <v>160</v>
      </c>
      <c r="EQ62" s="69" t="s">
        <v>160</v>
      </c>
      <c r="ER62" s="69" t="s">
        <v>160</v>
      </c>
      <c r="ES62" s="69" t="s">
        <v>160</v>
      </c>
      <c r="ET62" s="69" t="s">
        <v>160</v>
      </c>
      <c r="EU62" s="69" t="s">
        <v>160</v>
      </c>
      <c r="EV62" s="69" t="s">
        <v>160</v>
      </c>
      <c r="EW62" s="69" t="s">
        <v>160</v>
      </c>
      <c r="EX62" s="69" t="s">
        <v>160</v>
      </c>
      <c r="EY62" s="69" t="s">
        <v>160</v>
      </c>
      <c r="EZ62" s="69" t="s">
        <v>160</v>
      </c>
      <c r="FA62" s="69" t="s">
        <v>160</v>
      </c>
      <c r="FB62" s="69" t="s">
        <v>160</v>
      </c>
      <c r="FC62" s="69" t="s">
        <v>160</v>
      </c>
      <c r="FD62" s="69" t="s">
        <v>160</v>
      </c>
    </row>
    <row r="63" spans="1:160" s="71" customFormat="1" ht="18.5" thickBot="1">
      <c r="A63" s="104" t="s">
        <v>457</v>
      </c>
      <c r="B63" s="108" t="s">
        <v>163</v>
      </c>
      <c r="C63" s="76" t="s">
        <v>176</v>
      </c>
      <c r="G63" s="71" t="str">
        <f t="shared" si="0"/>
        <v xml:space="preserve">Test report </v>
      </c>
      <c r="H63" s="71" t="s">
        <v>2</v>
      </c>
      <c r="I63" s="72">
        <v>44743</v>
      </c>
      <c r="J63" s="72">
        <v>45899</v>
      </c>
      <c r="K63" s="72">
        <v>44743</v>
      </c>
      <c r="L63" s="72">
        <v>45077</v>
      </c>
      <c r="M63" s="72" t="s">
        <v>174</v>
      </c>
      <c r="N63" s="72" t="b">
        <f t="shared" si="8"/>
        <v>1</v>
      </c>
      <c r="O63" s="72"/>
      <c r="P63" s="89">
        <v>0.9</v>
      </c>
      <c r="Q63" s="89"/>
      <c r="R63" s="71" t="s">
        <v>2</v>
      </c>
      <c r="S63" s="74" t="s">
        <v>160</v>
      </c>
      <c r="T63" s="75" t="s">
        <v>160</v>
      </c>
      <c r="U63" s="75" t="s">
        <v>160</v>
      </c>
      <c r="V63" s="75" t="s">
        <v>160</v>
      </c>
      <c r="W63" s="75" t="s">
        <v>160</v>
      </c>
      <c r="X63" s="75" t="s">
        <v>160</v>
      </c>
      <c r="Y63" s="75" t="s">
        <v>160</v>
      </c>
      <c r="Z63" s="75" t="s">
        <v>160</v>
      </c>
      <c r="AA63" s="75" t="s">
        <v>160</v>
      </c>
      <c r="AB63" s="75" t="s">
        <v>160</v>
      </c>
      <c r="AC63" s="75" t="s">
        <v>160</v>
      </c>
      <c r="AD63" s="75" t="s">
        <v>160</v>
      </c>
      <c r="AE63" s="75" t="s">
        <v>160</v>
      </c>
      <c r="AF63" s="75" t="s">
        <v>160</v>
      </c>
      <c r="AG63" s="75" t="s">
        <v>160</v>
      </c>
      <c r="AH63" s="75" t="s">
        <v>160</v>
      </c>
      <c r="AI63" s="75" t="s">
        <v>160</v>
      </c>
      <c r="AJ63" s="75" t="s">
        <v>160</v>
      </c>
      <c r="AK63" s="75" t="s">
        <v>160</v>
      </c>
      <c r="AL63" s="75" t="s">
        <v>160</v>
      </c>
      <c r="AM63" s="75" t="s">
        <v>160</v>
      </c>
      <c r="AN63" s="75" t="s">
        <v>160</v>
      </c>
      <c r="AO63" s="75" t="s">
        <v>160</v>
      </c>
      <c r="AP63" s="75" t="s">
        <v>160</v>
      </c>
      <c r="AQ63" s="75" t="s">
        <v>160</v>
      </c>
      <c r="AR63" s="75" t="s">
        <v>160</v>
      </c>
      <c r="AS63" s="75" t="s">
        <v>160</v>
      </c>
      <c r="AT63" s="75" t="s">
        <v>160</v>
      </c>
      <c r="AU63" s="75" t="s">
        <v>160</v>
      </c>
      <c r="AV63" s="75" t="s">
        <v>160</v>
      </c>
      <c r="AW63" s="75" t="s">
        <v>160</v>
      </c>
      <c r="AX63" s="75" t="s">
        <v>160</v>
      </c>
      <c r="AY63" s="75" t="s">
        <v>160</v>
      </c>
      <c r="AZ63" s="75" t="s">
        <v>160</v>
      </c>
      <c r="BA63" s="75" t="s">
        <v>160</v>
      </c>
      <c r="BB63" s="75" t="s">
        <v>160</v>
      </c>
      <c r="BC63" s="75" t="s">
        <v>160</v>
      </c>
      <c r="BD63" s="75" t="s">
        <v>160</v>
      </c>
      <c r="BE63" s="75" t="s">
        <v>160</v>
      </c>
      <c r="BF63" s="75" t="s">
        <v>160</v>
      </c>
      <c r="BG63" s="75" t="s">
        <v>160</v>
      </c>
      <c r="BH63" s="75" t="s">
        <v>160</v>
      </c>
      <c r="BI63" s="75" t="s">
        <v>160</v>
      </c>
      <c r="BJ63" s="75" t="s">
        <v>160</v>
      </c>
      <c r="BK63" s="75" t="s">
        <v>160</v>
      </c>
      <c r="BL63" s="75" t="s">
        <v>160</v>
      </c>
      <c r="BM63" s="75" t="s">
        <v>160</v>
      </c>
      <c r="BN63" s="75" t="s">
        <v>160</v>
      </c>
      <c r="BO63" s="75" t="s">
        <v>160</v>
      </c>
      <c r="BP63" s="75" t="s">
        <v>160</v>
      </c>
      <c r="BQ63" s="75" t="s">
        <v>160</v>
      </c>
      <c r="BR63" s="75" t="s">
        <v>160</v>
      </c>
      <c r="BS63" s="75" t="s">
        <v>160</v>
      </c>
      <c r="BT63" s="75" t="s">
        <v>160</v>
      </c>
      <c r="BU63" s="75" t="s">
        <v>160</v>
      </c>
      <c r="BV63" s="75" t="s">
        <v>160</v>
      </c>
      <c r="BW63" s="75" t="s">
        <v>160</v>
      </c>
      <c r="BX63" s="75" t="s">
        <v>160</v>
      </c>
      <c r="BY63" s="75" t="s">
        <v>160</v>
      </c>
      <c r="BZ63" s="75" t="s">
        <v>160</v>
      </c>
      <c r="CA63" s="75" t="s">
        <v>160</v>
      </c>
      <c r="CB63" s="75" t="s">
        <v>160</v>
      </c>
      <c r="CC63" s="75" t="s">
        <v>160</v>
      </c>
      <c r="CD63" s="75" t="s">
        <v>160</v>
      </c>
      <c r="CE63" s="75" t="s">
        <v>160</v>
      </c>
      <c r="CF63" s="75" t="s">
        <v>160</v>
      </c>
      <c r="CG63" s="75" t="s">
        <v>160</v>
      </c>
      <c r="CH63" s="75" t="s">
        <v>160</v>
      </c>
      <c r="CI63" s="75" t="s">
        <v>160</v>
      </c>
      <c r="CJ63" s="75" t="s">
        <v>160</v>
      </c>
      <c r="CK63" s="75" t="s">
        <v>160</v>
      </c>
      <c r="CL63" s="75" t="s">
        <v>160</v>
      </c>
      <c r="CM63" s="75" t="s">
        <v>160</v>
      </c>
      <c r="CN63" s="75" t="s">
        <v>160</v>
      </c>
      <c r="CO63" s="75" t="s">
        <v>160</v>
      </c>
      <c r="CP63" s="75" t="s">
        <v>160</v>
      </c>
      <c r="CQ63" s="75" t="s">
        <v>160</v>
      </c>
      <c r="CR63" s="75" t="s">
        <v>160</v>
      </c>
      <c r="CS63" s="75" t="s">
        <v>160</v>
      </c>
      <c r="CT63" s="75" t="s">
        <v>160</v>
      </c>
      <c r="CU63" s="75" t="s">
        <v>160</v>
      </c>
      <c r="CV63" s="75" t="s">
        <v>160</v>
      </c>
      <c r="CW63" s="75" t="s">
        <v>160</v>
      </c>
      <c r="CX63" s="75" t="s">
        <v>160</v>
      </c>
      <c r="CY63" s="75" t="s">
        <v>160</v>
      </c>
      <c r="CZ63" s="75" t="s">
        <v>160</v>
      </c>
      <c r="DA63" s="75" t="s">
        <v>160</v>
      </c>
      <c r="DB63" s="75" t="s">
        <v>160</v>
      </c>
      <c r="DC63" s="75" t="s">
        <v>160</v>
      </c>
      <c r="DD63" s="75" t="s">
        <v>160</v>
      </c>
      <c r="DE63" s="75" t="s">
        <v>160</v>
      </c>
      <c r="DF63" s="75" t="s">
        <v>160</v>
      </c>
      <c r="DG63" s="75" t="s">
        <v>160</v>
      </c>
      <c r="DH63" s="75" t="s">
        <v>160</v>
      </c>
      <c r="DI63" s="75" t="s">
        <v>160</v>
      </c>
      <c r="DJ63" s="75" t="s">
        <v>160</v>
      </c>
      <c r="DK63" s="75" t="s">
        <v>160</v>
      </c>
      <c r="DL63" s="75" t="s">
        <v>160</v>
      </c>
      <c r="DM63" s="75" t="s">
        <v>160</v>
      </c>
      <c r="DN63" s="75" t="s">
        <v>160</v>
      </c>
      <c r="DO63" s="75" t="s">
        <v>160</v>
      </c>
      <c r="DP63" s="75" t="s">
        <v>160</v>
      </c>
      <c r="DQ63" s="75" t="s">
        <v>160</v>
      </c>
      <c r="DR63" s="75" t="s">
        <v>160</v>
      </c>
      <c r="DS63" s="75" t="s">
        <v>160</v>
      </c>
      <c r="DT63" s="75" t="s">
        <v>160</v>
      </c>
      <c r="DU63" s="75" t="s">
        <v>160</v>
      </c>
      <c r="DV63" s="75" t="s">
        <v>160</v>
      </c>
      <c r="DW63" s="75" t="s">
        <v>160</v>
      </c>
      <c r="DX63" s="75" t="s">
        <v>160</v>
      </c>
      <c r="DY63" s="75" t="s">
        <v>160</v>
      </c>
      <c r="DZ63" s="75" t="s">
        <v>160</v>
      </c>
      <c r="EA63" s="75" t="s">
        <v>160</v>
      </c>
      <c r="EB63" s="75" t="s">
        <v>160</v>
      </c>
      <c r="EC63" s="75" t="s">
        <v>160</v>
      </c>
      <c r="ED63" s="75" t="s">
        <v>160</v>
      </c>
      <c r="EE63" s="75" t="s">
        <v>160</v>
      </c>
      <c r="EF63" s="75" t="s">
        <v>160</v>
      </c>
      <c r="EG63" s="75" t="s">
        <v>160</v>
      </c>
      <c r="EH63" s="75" t="s">
        <v>160</v>
      </c>
      <c r="EI63" s="75" t="s">
        <v>160</v>
      </c>
      <c r="EJ63" s="75" t="s">
        <v>160</v>
      </c>
      <c r="EK63" s="75" t="s">
        <v>160</v>
      </c>
      <c r="EL63" s="75" t="s">
        <v>160</v>
      </c>
      <c r="EM63" s="75" t="s">
        <v>160</v>
      </c>
      <c r="EN63" s="75" t="s">
        <v>160</v>
      </c>
      <c r="EO63" s="75" t="s">
        <v>160</v>
      </c>
      <c r="EP63" s="75" t="s">
        <v>160</v>
      </c>
      <c r="EQ63" s="75" t="s">
        <v>160</v>
      </c>
      <c r="ER63" s="75" t="s">
        <v>160</v>
      </c>
      <c r="ES63" s="75" t="s">
        <v>160</v>
      </c>
      <c r="ET63" s="75" t="s">
        <v>160</v>
      </c>
      <c r="EU63" s="75" t="s">
        <v>160</v>
      </c>
      <c r="EV63" s="75" t="s">
        <v>160</v>
      </c>
      <c r="EW63" s="75" t="s">
        <v>160</v>
      </c>
      <c r="EX63" s="75" t="s">
        <v>160</v>
      </c>
      <c r="EY63" s="75" t="s">
        <v>160</v>
      </c>
      <c r="EZ63" s="75" t="s">
        <v>160</v>
      </c>
      <c r="FA63" s="75" t="s">
        <v>160</v>
      </c>
      <c r="FB63" s="75" t="s">
        <v>160</v>
      </c>
      <c r="FC63" s="75" t="s">
        <v>160</v>
      </c>
      <c r="FD63" s="75" t="s">
        <v>160</v>
      </c>
    </row>
    <row r="64" spans="1:160">
      <c r="A64" s="103" t="s">
        <v>465</v>
      </c>
      <c r="B64" s="20" t="s">
        <v>199</v>
      </c>
      <c r="G64" s="51" t="str">
        <f t="shared" si="0"/>
        <v>M8. Decision Engine AI/ML models - Safety and security</v>
      </c>
      <c r="H64" s="51" t="s">
        <v>2</v>
      </c>
      <c r="I64" s="64">
        <f ca="1">IF(SUM(I65:INDIRECT("I"&amp;$O64))=0,"",MIN(I65:INDIRECT("I"&amp;$O64)))</f>
        <v>45293</v>
      </c>
      <c r="J64" s="64">
        <f ca="1">IF(SUM(J65:INDIRECT("J"&amp;$O64))=0,"",MAX(J65:INDIRECT("J"&amp;$O64)))</f>
        <v>45412</v>
      </c>
      <c r="K64" s="64" t="str">
        <f ca="1">IF(SUM(K65:INDIRECT("K"&amp;$O64))=0,"",MIN(K65:INDIRECT("K"&amp;$O64)))</f>
        <v/>
      </c>
      <c r="L64" s="64" t="str">
        <f ca="1">IF(SUM(L65:INDIRECT("L"&amp;$O64))=0,"",MAX(L65:INDIRECT("L"&amp;$O64)))</f>
        <v/>
      </c>
      <c r="M64" s="64" t="str">
        <f ca="1">IF(N64,TODAY(),IF(SUM(M65:INDIRECT("M"&amp;$O64))=0,"",MAX(M65:INDIRECT("M"&amp;$O64))))</f>
        <v/>
      </c>
      <c r="N64" s="64" t="b">
        <f ca="1">OR(N65:INDIRECT("N"&amp;O64))</f>
        <v>0</v>
      </c>
      <c r="O64" s="65">
        <f>ROW()+COUNTA(N65:N72)</f>
        <v>72</v>
      </c>
      <c r="P64" s="66">
        <f>AVERAGE(P65:P72)</f>
        <v>0</v>
      </c>
      <c r="R64" s="51" t="s">
        <v>2</v>
      </c>
      <c r="S64" s="68" t="s">
        <v>160</v>
      </c>
      <c r="T64" s="69" t="s">
        <v>160</v>
      </c>
      <c r="U64" s="69" t="s">
        <v>160</v>
      </c>
      <c r="V64" s="69" t="s">
        <v>160</v>
      </c>
      <c r="W64" s="69" t="s">
        <v>160</v>
      </c>
      <c r="X64" s="69" t="s">
        <v>160</v>
      </c>
      <c r="Y64" s="69" t="s">
        <v>160</v>
      </c>
      <c r="Z64" s="69" t="s">
        <v>160</v>
      </c>
      <c r="AA64" s="69" t="s">
        <v>160</v>
      </c>
      <c r="AB64" s="69" t="s">
        <v>160</v>
      </c>
      <c r="AC64" s="69" t="s">
        <v>160</v>
      </c>
      <c r="AD64" s="69" t="s">
        <v>160</v>
      </c>
      <c r="AE64" s="69" t="s">
        <v>160</v>
      </c>
      <c r="AF64" s="69" t="s">
        <v>160</v>
      </c>
      <c r="AG64" s="69" t="s">
        <v>160</v>
      </c>
      <c r="AH64" s="69" t="s">
        <v>160</v>
      </c>
      <c r="AI64" s="69" t="s">
        <v>160</v>
      </c>
      <c r="AJ64" s="69" t="s">
        <v>160</v>
      </c>
      <c r="AK64" s="69" t="s">
        <v>160</v>
      </c>
      <c r="AL64" s="69" t="s">
        <v>160</v>
      </c>
      <c r="AM64" s="69" t="s">
        <v>160</v>
      </c>
      <c r="AN64" s="69" t="s">
        <v>160</v>
      </c>
      <c r="AO64" s="69" t="s">
        <v>160</v>
      </c>
      <c r="AP64" s="69" t="s">
        <v>160</v>
      </c>
      <c r="AQ64" s="69" t="s">
        <v>160</v>
      </c>
      <c r="AR64" s="69" t="s">
        <v>160</v>
      </c>
      <c r="AS64" s="69" t="s">
        <v>160</v>
      </c>
      <c r="AT64" s="69" t="s">
        <v>160</v>
      </c>
      <c r="AU64" s="69" t="s">
        <v>160</v>
      </c>
      <c r="AV64" s="69" t="s">
        <v>160</v>
      </c>
      <c r="AW64" s="69" t="s">
        <v>160</v>
      </c>
      <c r="AX64" s="69" t="s">
        <v>160</v>
      </c>
      <c r="AY64" s="69" t="s">
        <v>160</v>
      </c>
      <c r="AZ64" s="69" t="s">
        <v>160</v>
      </c>
      <c r="BA64" s="69" t="s">
        <v>160</v>
      </c>
      <c r="BB64" s="69" t="s">
        <v>160</v>
      </c>
      <c r="BC64" s="69" t="s">
        <v>160</v>
      </c>
      <c r="BD64" s="69" t="s">
        <v>160</v>
      </c>
      <c r="BE64" s="69" t="s">
        <v>160</v>
      </c>
      <c r="BF64" s="69" t="s">
        <v>160</v>
      </c>
      <c r="BG64" s="69" t="s">
        <v>160</v>
      </c>
      <c r="BH64" s="69" t="s">
        <v>160</v>
      </c>
      <c r="BI64" s="69" t="s">
        <v>160</v>
      </c>
      <c r="BJ64" s="90" t="s">
        <v>160</v>
      </c>
      <c r="BK64" s="90" t="s">
        <v>160</v>
      </c>
      <c r="BL64" s="90" t="s">
        <v>160</v>
      </c>
      <c r="BM64" s="90" t="s">
        <v>160</v>
      </c>
      <c r="BN64" s="90" t="s">
        <v>160</v>
      </c>
      <c r="BO64" s="90" t="s">
        <v>160</v>
      </c>
      <c r="BP64" s="90" t="s">
        <v>160</v>
      </c>
      <c r="BQ64" s="90" t="s">
        <v>160</v>
      </c>
      <c r="BR64" s="90" t="s">
        <v>160</v>
      </c>
      <c r="BS64" s="90" t="s">
        <v>160</v>
      </c>
      <c r="BT64" s="90" t="s">
        <v>160</v>
      </c>
      <c r="BU64" s="90" t="s">
        <v>160</v>
      </c>
      <c r="BV64" s="90" t="s">
        <v>160</v>
      </c>
      <c r="BW64" s="69" t="s">
        <v>160</v>
      </c>
      <c r="BX64" s="69" t="s">
        <v>160</v>
      </c>
      <c r="BY64" s="69" t="s">
        <v>160</v>
      </c>
      <c r="BZ64" s="69" t="s">
        <v>160</v>
      </c>
      <c r="CA64" s="69" t="s">
        <v>160</v>
      </c>
      <c r="CB64" s="69" t="s">
        <v>160</v>
      </c>
      <c r="CC64" s="69" t="s">
        <v>160</v>
      </c>
      <c r="CD64" s="69" t="s">
        <v>160</v>
      </c>
      <c r="CE64" s="69" t="s">
        <v>160</v>
      </c>
      <c r="CF64" s="69" t="s">
        <v>160</v>
      </c>
      <c r="CG64" s="69" t="s">
        <v>160</v>
      </c>
      <c r="CH64" s="69" t="s">
        <v>160</v>
      </c>
      <c r="CI64" s="69" t="s">
        <v>160</v>
      </c>
      <c r="CJ64" s="69" t="s">
        <v>160</v>
      </c>
      <c r="CK64" s="69" t="s">
        <v>160</v>
      </c>
      <c r="CL64" s="69" t="s">
        <v>160</v>
      </c>
      <c r="CM64" s="69" t="s">
        <v>160</v>
      </c>
      <c r="CN64" s="69" t="s">
        <v>160</v>
      </c>
      <c r="CO64" s="69" t="s">
        <v>160</v>
      </c>
      <c r="CP64" s="69" t="s">
        <v>160</v>
      </c>
      <c r="CQ64" s="69" t="s">
        <v>160</v>
      </c>
      <c r="CR64" s="69" t="s">
        <v>160</v>
      </c>
      <c r="CS64" s="69" t="s">
        <v>160</v>
      </c>
      <c r="CT64" s="69" t="s">
        <v>160</v>
      </c>
      <c r="CU64" s="69" t="s">
        <v>160</v>
      </c>
      <c r="CV64" s="69" t="s">
        <v>160</v>
      </c>
      <c r="CW64" s="69" t="s">
        <v>160</v>
      </c>
      <c r="CX64" s="69" t="s">
        <v>160</v>
      </c>
      <c r="CY64" s="69" t="s">
        <v>160</v>
      </c>
      <c r="CZ64" s="69" t="s">
        <v>160</v>
      </c>
      <c r="DA64" s="69" t="s">
        <v>160</v>
      </c>
      <c r="DB64" s="69" t="s">
        <v>160</v>
      </c>
      <c r="DC64" s="69" t="s">
        <v>160</v>
      </c>
      <c r="DD64" s="69" t="s">
        <v>160</v>
      </c>
      <c r="DE64" s="69" t="s">
        <v>160</v>
      </c>
      <c r="DF64" s="69" t="s">
        <v>160</v>
      </c>
      <c r="DG64" s="69" t="s">
        <v>160</v>
      </c>
      <c r="DH64" s="69" t="s">
        <v>160</v>
      </c>
      <c r="DI64" s="69" t="s">
        <v>160</v>
      </c>
      <c r="DJ64" s="69" t="s">
        <v>160</v>
      </c>
      <c r="DK64" s="69" t="s">
        <v>160</v>
      </c>
      <c r="DL64" s="69" t="s">
        <v>160</v>
      </c>
      <c r="DM64" s="69" t="s">
        <v>160</v>
      </c>
      <c r="DN64" s="69" t="s">
        <v>160</v>
      </c>
      <c r="DO64" s="69" t="s">
        <v>160</v>
      </c>
      <c r="DP64" s="69" t="s">
        <v>160</v>
      </c>
      <c r="DQ64" s="69" t="s">
        <v>160</v>
      </c>
      <c r="DR64" s="69" t="s">
        <v>160</v>
      </c>
      <c r="DS64" s="69" t="s">
        <v>160</v>
      </c>
      <c r="DT64" s="69" t="s">
        <v>160</v>
      </c>
      <c r="DU64" s="69" t="s">
        <v>160</v>
      </c>
      <c r="DV64" s="69" t="s">
        <v>160</v>
      </c>
      <c r="DW64" s="69" t="s">
        <v>160</v>
      </c>
      <c r="DX64" s="69" t="s">
        <v>160</v>
      </c>
      <c r="DY64" s="69" t="s">
        <v>160</v>
      </c>
      <c r="DZ64" s="69" t="s">
        <v>160</v>
      </c>
      <c r="EA64" s="69" t="s">
        <v>160</v>
      </c>
      <c r="EB64" s="69" t="s">
        <v>160</v>
      </c>
      <c r="EC64" s="69" t="s">
        <v>160</v>
      </c>
      <c r="ED64" s="69" t="s">
        <v>160</v>
      </c>
      <c r="EE64" s="69" t="s">
        <v>160</v>
      </c>
      <c r="EF64" s="69" t="s">
        <v>160</v>
      </c>
      <c r="EG64" s="69" t="s">
        <v>160</v>
      </c>
      <c r="EH64" s="69" t="s">
        <v>160</v>
      </c>
      <c r="EI64" s="69" t="s">
        <v>160</v>
      </c>
      <c r="EJ64" s="69" t="s">
        <v>160</v>
      </c>
      <c r="EK64" s="69" t="s">
        <v>160</v>
      </c>
      <c r="EL64" s="69" t="s">
        <v>160</v>
      </c>
      <c r="EM64" s="69" t="s">
        <v>160</v>
      </c>
      <c r="EN64" s="69" t="s">
        <v>160</v>
      </c>
      <c r="EO64" s="69" t="s">
        <v>160</v>
      </c>
      <c r="EP64" s="69" t="s">
        <v>160</v>
      </c>
      <c r="EQ64" s="69" t="s">
        <v>160</v>
      </c>
      <c r="ER64" s="69" t="s">
        <v>160</v>
      </c>
      <c r="ES64" s="69" t="s">
        <v>160</v>
      </c>
      <c r="ET64" s="69" t="s">
        <v>160</v>
      </c>
      <c r="EU64" s="69" t="s">
        <v>160</v>
      </c>
      <c r="EV64" s="69" t="s">
        <v>160</v>
      </c>
      <c r="EW64" s="69" t="s">
        <v>160</v>
      </c>
      <c r="EX64" s="69" t="s">
        <v>160</v>
      </c>
      <c r="EY64" s="69" t="s">
        <v>160</v>
      </c>
      <c r="EZ64" s="69" t="s">
        <v>160</v>
      </c>
      <c r="FA64" s="69" t="s">
        <v>160</v>
      </c>
      <c r="FB64" s="69" t="s">
        <v>160</v>
      </c>
      <c r="FC64" s="69" t="s">
        <v>160</v>
      </c>
      <c r="FD64" s="69" t="s">
        <v>160</v>
      </c>
    </row>
    <row r="65" spans="1:160">
      <c r="A65" s="103" t="s">
        <v>466</v>
      </c>
      <c r="C65" s="50" t="s">
        <v>200</v>
      </c>
      <c r="G65" s="51" t="str">
        <f t="shared" si="0"/>
        <v>Note : Personnel access surveillance and safety alert</v>
      </c>
      <c r="H65" s="51" t="s">
        <v>2</v>
      </c>
      <c r="I65" s="64"/>
      <c r="J65" s="64"/>
      <c r="K65" s="64"/>
      <c r="L65" s="64"/>
      <c r="M65" s="64"/>
      <c r="N65" s="64" t="b">
        <f>ISNUMBER(SEARCH("*Waiting*",M65))</f>
        <v>0</v>
      </c>
      <c r="O65" s="64"/>
      <c r="R65" s="51" t="s">
        <v>2</v>
      </c>
      <c r="S65" s="68" t="s">
        <v>160</v>
      </c>
      <c r="T65" s="69" t="s">
        <v>160</v>
      </c>
      <c r="U65" s="69" t="s">
        <v>160</v>
      </c>
      <c r="V65" s="69" t="s">
        <v>160</v>
      </c>
      <c r="W65" s="69" t="s">
        <v>160</v>
      </c>
      <c r="X65" s="69" t="s">
        <v>160</v>
      </c>
      <c r="Y65" s="69" t="s">
        <v>160</v>
      </c>
      <c r="Z65" s="69" t="s">
        <v>160</v>
      </c>
      <c r="AA65" s="69" t="s">
        <v>160</v>
      </c>
      <c r="AB65" s="69" t="s">
        <v>160</v>
      </c>
      <c r="AC65" s="69" t="s">
        <v>160</v>
      </c>
      <c r="AD65" s="69" t="s">
        <v>160</v>
      </c>
      <c r="AE65" s="69" t="s">
        <v>160</v>
      </c>
      <c r="AF65" s="69" t="s">
        <v>160</v>
      </c>
      <c r="AG65" s="69" t="s">
        <v>160</v>
      </c>
      <c r="AH65" s="69" t="s">
        <v>160</v>
      </c>
      <c r="AI65" s="69" t="s">
        <v>160</v>
      </c>
      <c r="AJ65" s="69" t="s">
        <v>160</v>
      </c>
      <c r="AK65" s="69" t="s">
        <v>160</v>
      </c>
      <c r="AL65" s="69" t="s">
        <v>160</v>
      </c>
      <c r="AM65" s="69" t="s">
        <v>160</v>
      </c>
      <c r="AN65" s="69" t="s">
        <v>160</v>
      </c>
      <c r="AO65" s="69" t="s">
        <v>160</v>
      </c>
      <c r="AP65" s="69" t="s">
        <v>160</v>
      </c>
      <c r="AQ65" s="69" t="s">
        <v>160</v>
      </c>
      <c r="AR65" s="69" t="s">
        <v>160</v>
      </c>
      <c r="AS65" s="69" t="s">
        <v>160</v>
      </c>
      <c r="AT65" s="69" t="s">
        <v>160</v>
      </c>
      <c r="AU65" s="69" t="s">
        <v>160</v>
      </c>
      <c r="AV65" s="69" t="s">
        <v>160</v>
      </c>
      <c r="AW65" s="69" t="s">
        <v>160</v>
      </c>
      <c r="AX65" s="69" t="s">
        <v>160</v>
      </c>
      <c r="AY65" s="69" t="s">
        <v>160</v>
      </c>
      <c r="AZ65" s="69" t="s">
        <v>160</v>
      </c>
      <c r="BA65" s="69" t="s">
        <v>160</v>
      </c>
      <c r="BB65" s="69" t="s">
        <v>160</v>
      </c>
      <c r="BC65" s="69" t="s">
        <v>160</v>
      </c>
      <c r="BD65" s="69" t="s">
        <v>160</v>
      </c>
      <c r="BE65" s="69" t="s">
        <v>160</v>
      </c>
      <c r="BF65" s="69" t="s">
        <v>160</v>
      </c>
      <c r="BG65" s="69" t="s">
        <v>160</v>
      </c>
      <c r="BH65" s="69" t="s">
        <v>160</v>
      </c>
      <c r="BI65" s="69" t="s">
        <v>160</v>
      </c>
      <c r="BJ65" s="69" t="s">
        <v>160</v>
      </c>
      <c r="BK65" s="69" t="s">
        <v>160</v>
      </c>
      <c r="BL65" s="69" t="s">
        <v>160</v>
      </c>
      <c r="BM65" s="69" t="s">
        <v>160</v>
      </c>
      <c r="BN65" s="69" t="s">
        <v>160</v>
      </c>
      <c r="BO65" s="69" t="s">
        <v>160</v>
      </c>
      <c r="BP65" s="69" t="s">
        <v>160</v>
      </c>
      <c r="BQ65" s="69" t="s">
        <v>160</v>
      </c>
      <c r="BR65" s="69" t="s">
        <v>160</v>
      </c>
      <c r="BS65" s="69" t="s">
        <v>160</v>
      </c>
      <c r="BT65" s="69" t="s">
        <v>160</v>
      </c>
      <c r="BU65" s="69" t="s">
        <v>160</v>
      </c>
      <c r="BV65" s="69" t="s">
        <v>160</v>
      </c>
      <c r="BW65" s="69" t="s">
        <v>160</v>
      </c>
      <c r="BX65" s="69" t="s">
        <v>160</v>
      </c>
      <c r="BY65" s="69" t="s">
        <v>160</v>
      </c>
      <c r="BZ65" s="69" t="s">
        <v>160</v>
      </c>
      <c r="CA65" s="69" t="s">
        <v>160</v>
      </c>
      <c r="CB65" s="69" t="s">
        <v>160</v>
      </c>
      <c r="CC65" s="69" t="s">
        <v>160</v>
      </c>
      <c r="CD65" s="69" t="s">
        <v>160</v>
      </c>
      <c r="CE65" s="69" t="s">
        <v>160</v>
      </c>
      <c r="CF65" s="69" t="s">
        <v>160</v>
      </c>
      <c r="CG65" s="69" t="s">
        <v>160</v>
      </c>
      <c r="CH65" s="69" t="s">
        <v>160</v>
      </c>
      <c r="CI65" s="69" t="s">
        <v>160</v>
      </c>
      <c r="CJ65" s="69" t="s">
        <v>160</v>
      </c>
      <c r="CK65" s="69" t="s">
        <v>160</v>
      </c>
      <c r="CL65" s="69" t="s">
        <v>160</v>
      </c>
      <c r="CM65" s="69" t="s">
        <v>160</v>
      </c>
      <c r="CN65" s="69" t="s">
        <v>160</v>
      </c>
      <c r="CO65" s="69" t="s">
        <v>160</v>
      </c>
      <c r="CP65" s="69" t="s">
        <v>160</v>
      </c>
      <c r="CQ65" s="69" t="s">
        <v>160</v>
      </c>
      <c r="CR65" s="69" t="s">
        <v>160</v>
      </c>
      <c r="CS65" s="69" t="s">
        <v>160</v>
      </c>
      <c r="CT65" s="69" t="s">
        <v>160</v>
      </c>
      <c r="CU65" s="69" t="s">
        <v>160</v>
      </c>
      <c r="CV65" s="69" t="s">
        <v>160</v>
      </c>
      <c r="CW65" s="69" t="s">
        <v>160</v>
      </c>
      <c r="CX65" s="69" t="s">
        <v>160</v>
      </c>
      <c r="CY65" s="69" t="s">
        <v>160</v>
      </c>
      <c r="CZ65" s="69" t="s">
        <v>160</v>
      </c>
      <c r="DA65" s="69" t="s">
        <v>160</v>
      </c>
      <c r="DB65" s="69" t="s">
        <v>160</v>
      </c>
      <c r="DC65" s="69" t="s">
        <v>160</v>
      </c>
      <c r="DD65" s="69" t="s">
        <v>160</v>
      </c>
      <c r="DE65" s="69" t="s">
        <v>160</v>
      </c>
      <c r="DF65" s="69" t="s">
        <v>160</v>
      </c>
      <c r="DG65" s="69" t="s">
        <v>160</v>
      </c>
      <c r="DH65" s="69" t="s">
        <v>160</v>
      </c>
      <c r="DI65" s="69" t="s">
        <v>160</v>
      </c>
      <c r="DJ65" s="69" t="s">
        <v>160</v>
      </c>
      <c r="DK65" s="69" t="s">
        <v>160</v>
      </c>
      <c r="DL65" s="69" t="s">
        <v>160</v>
      </c>
      <c r="DM65" s="69" t="s">
        <v>160</v>
      </c>
      <c r="DN65" s="69" t="s">
        <v>160</v>
      </c>
      <c r="DO65" s="69" t="s">
        <v>160</v>
      </c>
      <c r="DP65" s="69" t="s">
        <v>160</v>
      </c>
      <c r="DQ65" s="69" t="s">
        <v>160</v>
      </c>
      <c r="DR65" s="69" t="s">
        <v>160</v>
      </c>
      <c r="DS65" s="69" t="s">
        <v>160</v>
      </c>
      <c r="DT65" s="69" t="s">
        <v>160</v>
      </c>
      <c r="DU65" s="69" t="s">
        <v>160</v>
      </c>
      <c r="DV65" s="69" t="s">
        <v>160</v>
      </c>
      <c r="DW65" s="69" t="s">
        <v>160</v>
      </c>
      <c r="DX65" s="69" t="s">
        <v>160</v>
      </c>
      <c r="DY65" s="69" t="s">
        <v>160</v>
      </c>
      <c r="DZ65" s="69" t="s">
        <v>160</v>
      </c>
      <c r="EA65" s="69" t="s">
        <v>160</v>
      </c>
      <c r="EB65" s="69" t="s">
        <v>160</v>
      </c>
      <c r="EC65" s="69" t="s">
        <v>160</v>
      </c>
      <c r="ED65" s="69" t="s">
        <v>160</v>
      </c>
      <c r="EE65" s="69" t="s">
        <v>160</v>
      </c>
      <c r="EF65" s="69" t="s">
        <v>160</v>
      </c>
      <c r="EG65" s="69" t="s">
        <v>160</v>
      </c>
      <c r="EH65" s="69" t="s">
        <v>160</v>
      </c>
      <c r="EI65" s="69" t="s">
        <v>160</v>
      </c>
      <c r="EJ65" s="69" t="s">
        <v>160</v>
      </c>
      <c r="EK65" s="69" t="s">
        <v>160</v>
      </c>
      <c r="EL65" s="69" t="s">
        <v>160</v>
      </c>
      <c r="EM65" s="69" t="s">
        <v>160</v>
      </c>
      <c r="EN65" s="69" t="s">
        <v>160</v>
      </c>
      <c r="EO65" s="69" t="s">
        <v>160</v>
      </c>
      <c r="EP65" s="69" t="s">
        <v>160</v>
      </c>
      <c r="EQ65" s="69" t="s">
        <v>160</v>
      </c>
      <c r="ER65" s="69" t="s">
        <v>160</v>
      </c>
      <c r="ES65" s="69" t="s">
        <v>160</v>
      </c>
      <c r="ET65" s="69" t="s">
        <v>160</v>
      </c>
      <c r="EU65" s="69" t="s">
        <v>160</v>
      </c>
      <c r="EV65" s="69" t="s">
        <v>160</v>
      </c>
      <c r="EW65" s="69" t="s">
        <v>160</v>
      </c>
      <c r="EX65" s="69" t="s">
        <v>160</v>
      </c>
      <c r="EY65" s="69" t="s">
        <v>160</v>
      </c>
      <c r="EZ65" s="69" t="s">
        <v>160</v>
      </c>
      <c r="FA65" s="69" t="s">
        <v>160</v>
      </c>
      <c r="FB65" s="69" t="s">
        <v>160</v>
      </c>
      <c r="FC65" s="69" t="s">
        <v>160</v>
      </c>
      <c r="FD65" s="69" t="s">
        <v>160</v>
      </c>
    </row>
    <row r="66" spans="1:160">
      <c r="A66" s="103" t="s">
        <v>467</v>
      </c>
      <c r="C66" s="50" t="s">
        <v>201</v>
      </c>
      <c r="G66" s="51" t="str">
        <f t="shared" si="0"/>
        <v>Note : 1. Face detection technology for customers and guest entering their premises</v>
      </c>
      <c r="H66" s="51" t="s">
        <v>2</v>
      </c>
      <c r="I66" s="64"/>
      <c r="J66" s="64"/>
      <c r="K66" s="64"/>
      <c r="L66" s="64"/>
      <c r="M66" s="64"/>
      <c r="N66" s="64" t="b">
        <f t="shared" ref="N66:N72" si="9">ISNUMBER(SEARCH("*Waiting*",M66))</f>
        <v>0</v>
      </c>
      <c r="O66" s="64"/>
      <c r="R66" s="51" t="s">
        <v>2</v>
      </c>
      <c r="S66" s="68" t="s">
        <v>160</v>
      </c>
      <c r="T66" s="69" t="s">
        <v>160</v>
      </c>
      <c r="U66" s="69" t="s">
        <v>160</v>
      </c>
      <c r="V66" s="69" t="s">
        <v>160</v>
      </c>
      <c r="W66" s="69" t="s">
        <v>160</v>
      </c>
      <c r="X66" s="69" t="s">
        <v>160</v>
      </c>
      <c r="Y66" s="69" t="s">
        <v>160</v>
      </c>
      <c r="Z66" s="69" t="s">
        <v>160</v>
      </c>
      <c r="AA66" s="69" t="s">
        <v>160</v>
      </c>
      <c r="AB66" s="69" t="s">
        <v>160</v>
      </c>
      <c r="AC66" s="69" t="s">
        <v>160</v>
      </c>
      <c r="AD66" s="69" t="s">
        <v>160</v>
      </c>
      <c r="AE66" s="69" t="s">
        <v>160</v>
      </c>
      <c r="AF66" s="69" t="s">
        <v>160</v>
      </c>
      <c r="AG66" s="69" t="s">
        <v>160</v>
      </c>
      <c r="AH66" s="69" t="s">
        <v>160</v>
      </c>
      <c r="AI66" s="69" t="s">
        <v>160</v>
      </c>
      <c r="AJ66" s="69" t="s">
        <v>160</v>
      </c>
      <c r="AK66" s="69" t="s">
        <v>160</v>
      </c>
      <c r="AL66" s="69" t="s">
        <v>160</v>
      </c>
      <c r="AM66" s="69" t="s">
        <v>160</v>
      </c>
      <c r="AN66" s="69" t="s">
        <v>160</v>
      </c>
      <c r="AO66" s="69" t="s">
        <v>160</v>
      </c>
      <c r="AP66" s="69" t="s">
        <v>160</v>
      </c>
      <c r="AQ66" s="69" t="s">
        <v>160</v>
      </c>
      <c r="AR66" s="69" t="s">
        <v>160</v>
      </c>
      <c r="AS66" s="69" t="s">
        <v>160</v>
      </c>
      <c r="AT66" s="69" t="s">
        <v>160</v>
      </c>
      <c r="AU66" s="69" t="s">
        <v>160</v>
      </c>
      <c r="AV66" s="69" t="s">
        <v>160</v>
      </c>
      <c r="AW66" s="69" t="s">
        <v>160</v>
      </c>
      <c r="AX66" s="69" t="s">
        <v>160</v>
      </c>
      <c r="AY66" s="69" t="s">
        <v>160</v>
      </c>
      <c r="AZ66" s="69" t="s">
        <v>160</v>
      </c>
      <c r="BA66" s="69" t="s">
        <v>160</v>
      </c>
      <c r="BB66" s="69" t="s">
        <v>160</v>
      </c>
      <c r="BC66" s="69" t="s">
        <v>160</v>
      </c>
      <c r="BD66" s="69" t="s">
        <v>160</v>
      </c>
      <c r="BE66" s="69" t="s">
        <v>160</v>
      </c>
      <c r="BF66" s="69" t="s">
        <v>160</v>
      </c>
      <c r="BG66" s="69" t="s">
        <v>160</v>
      </c>
      <c r="BH66" s="69" t="s">
        <v>160</v>
      </c>
      <c r="BI66" s="69" t="s">
        <v>160</v>
      </c>
      <c r="BJ66" s="69" t="s">
        <v>160</v>
      </c>
      <c r="BK66" s="69" t="s">
        <v>160</v>
      </c>
      <c r="BL66" s="69" t="s">
        <v>160</v>
      </c>
      <c r="BM66" s="69" t="s">
        <v>160</v>
      </c>
      <c r="BN66" s="69" t="s">
        <v>160</v>
      </c>
      <c r="BO66" s="69" t="s">
        <v>160</v>
      </c>
      <c r="BP66" s="69" t="s">
        <v>160</v>
      </c>
      <c r="BQ66" s="69" t="s">
        <v>160</v>
      </c>
      <c r="BR66" s="69" t="s">
        <v>160</v>
      </c>
      <c r="BS66" s="69" t="s">
        <v>160</v>
      </c>
      <c r="BT66" s="69" t="s">
        <v>160</v>
      </c>
      <c r="BU66" s="69" t="s">
        <v>160</v>
      </c>
      <c r="BV66" s="69" t="s">
        <v>160</v>
      </c>
      <c r="BW66" s="69" t="s">
        <v>160</v>
      </c>
      <c r="BX66" s="69" t="s">
        <v>160</v>
      </c>
      <c r="BY66" s="69" t="s">
        <v>160</v>
      </c>
      <c r="BZ66" s="69" t="s">
        <v>160</v>
      </c>
      <c r="CA66" s="69" t="s">
        <v>160</v>
      </c>
      <c r="CB66" s="69" t="s">
        <v>160</v>
      </c>
      <c r="CC66" s="69" t="s">
        <v>160</v>
      </c>
      <c r="CD66" s="69" t="s">
        <v>160</v>
      </c>
      <c r="CE66" s="69" t="s">
        <v>160</v>
      </c>
      <c r="CF66" s="69" t="s">
        <v>160</v>
      </c>
      <c r="CG66" s="69" t="s">
        <v>160</v>
      </c>
      <c r="CH66" s="69" t="s">
        <v>160</v>
      </c>
      <c r="CI66" s="69" t="s">
        <v>160</v>
      </c>
      <c r="CJ66" s="69" t="s">
        <v>160</v>
      </c>
      <c r="CK66" s="69" t="s">
        <v>160</v>
      </c>
      <c r="CL66" s="69" t="s">
        <v>160</v>
      </c>
      <c r="CM66" s="69" t="s">
        <v>160</v>
      </c>
      <c r="CN66" s="69" t="s">
        <v>160</v>
      </c>
      <c r="CO66" s="69" t="s">
        <v>160</v>
      </c>
      <c r="CP66" s="69" t="s">
        <v>160</v>
      </c>
      <c r="CQ66" s="69" t="s">
        <v>160</v>
      </c>
      <c r="CR66" s="69" t="s">
        <v>160</v>
      </c>
      <c r="CS66" s="69" t="s">
        <v>160</v>
      </c>
      <c r="CT66" s="69" t="s">
        <v>160</v>
      </c>
      <c r="CU66" s="69" t="s">
        <v>160</v>
      </c>
      <c r="CV66" s="69" t="s">
        <v>160</v>
      </c>
      <c r="CW66" s="69" t="s">
        <v>160</v>
      </c>
      <c r="CX66" s="69" t="s">
        <v>160</v>
      </c>
      <c r="CY66" s="69" t="s">
        <v>160</v>
      </c>
      <c r="CZ66" s="69" t="s">
        <v>160</v>
      </c>
      <c r="DA66" s="69" t="s">
        <v>160</v>
      </c>
      <c r="DB66" s="69" t="s">
        <v>160</v>
      </c>
      <c r="DC66" s="69" t="s">
        <v>160</v>
      </c>
      <c r="DD66" s="69" t="s">
        <v>160</v>
      </c>
      <c r="DE66" s="69" t="s">
        <v>160</v>
      </c>
      <c r="DF66" s="69" t="s">
        <v>160</v>
      </c>
      <c r="DG66" s="69" t="s">
        <v>160</v>
      </c>
      <c r="DH66" s="69" t="s">
        <v>160</v>
      </c>
      <c r="DI66" s="69" t="s">
        <v>160</v>
      </c>
      <c r="DJ66" s="69" t="s">
        <v>160</v>
      </c>
      <c r="DK66" s="69" t="s">
        <v>160</v>
      </c>
      <c r="DL66" s="69" t="s">
        <v>160</v>
      </c>
      <c r="DM66" s="69" t="s">
        <v>160</v>
      </c>
      <c r="DN66" s="69" t="s">
        <v>160</v>
      </c>
      <c r="DO66" s="69" t="s">
        <v>160</v>
      </c>
      <c r="DP66" s="69" t="s">
        <v>160</v>
      </c>
      <c r="DQ66" s="69" t="s">
        <v>160</v>
      </c>
      <c r="DR66" s="69" t="s">
        <v>160</v>
      </c>
      <c r="DS66" s="69" t="s">
        <v>160</v>
      </c>
      <c r="DT66" s="69" t="s">
        <v>160</v>
      </c>
      <c r="DU66" s="69" t="s">
        <v>160</v>
      </c>
      <c r="DV66" s="69" t="s">
        <v>160</v>
      </c>
      <c r="DW66" s="69" t="s">
        <v>160</v>
      </c>
      <c r="DX66" s="69" t="s">
        <v>160</v>
      </c>
      <c r="DY66" s="69" t="s">
        <v>160</v>
      </c>
      <c r="DZ66" s="69" t="s">
        <v>160</v>
      </c>
      <c r="EA66" s="69" t="s">
        <v>160</v>
      </c>
      <c r="EB66" s="69" t="s">
        <v>160</v>
      </c>
      <c r="EC66" s="69" t="s">
        <v>160</v>
      </c>
      <c r="ED66" s="69" t="s">
        <v>160</v>
      </c>
      <c r="EE66" s="69" t="s">
        <v>160</v>
      </c>
      <c r="EF66" s="69" t="s">
        <v>160</v>
      </c>
      <c r="EG66" s="69" t="s">
        <v>160</v>
      </c>
      <c r="EH66" s="69" t="s">
        <v>160</v>
      </c>
      <c r="EI66" s="69" t="s">
        <v>160</v>
      </c>
      <c r="EJ66" s="69" t="s">
        <v>160</v>
      </c>
      <c r="EK66" s="69" t="s">
        <v>160</v>
      </c>
      <c r="EL66" s="69" t="s">
        <v>160</v>
      </c>
      <c r="EM66" s="69" t="s">
        <v>160</v>
      </c>
      <c r="EN66" s="69" t="s">
        <v>160</v>
      </c>
      <c r="EO66" s="69" t="s">
        <v>160</v>
      </c>
      <c r="EP66" s="69" t="s">
        <v>160</v>
      </c>
      <c r="EQ66" s="69" t="s">
        <v>160</v>
      </c>
      <c r="ER66" s="69" t="s">
        <v>160</v>
      </c>
      <c r="ES66" s="69" t="s">
        <v>160</v>
      </c>
      <c r="ET66" s="69" t="s">
        <v>160</v>
      </c>
      <c r="EU66" s="69" t="s">
        <v>160</v>
      </c>
      <c r="EV66" s="69" t="s">
        <v>160</v>
      </c>
      <c r="EW66" s="69" t="s">
        <v>160</v>
      </c>
      <c r="EX66" s="69" t="s">
        <v>160</v>
      </c>
      <c r="EY66" s="69" t="s">
        <v>160</v>
      </c>
      <c r="EZ66" s="69" t="s">
        <v>160</v>
      </c>
      <c r="FA66" s="69" t="s">
        <v>160</v>
      </c>
      <c r="FB66" s="69" t="s">
        <v>160</v>
      </c>
      <c r="FC66" s="69" t="s">
        <v>160</v>
      </c>
      <c r="FD66" s="69" t="s">
        <v>160</v>
      </c>
    </row>
    <row r="67" spans="1:160">
      <c r="A67" s="103" t="s">
        <v>468</v>
      </c>
      <c r="C67" s="50" t="s">
        <v>202</v>
      </c>
      <c r="G67" s="51" t="str">
        <f t="shared" si="0"/>
        <v>Note : 2. unauthorized intrusion (humans and other animals, Fire, smoke and other object to be evaluated). For other details, refer usecase document.</v>
      </c>
      <c r="H67" s="51" t="s">
        <v>2</v>
      </c>
      <c r="I67" s="64"/>
      <c r="J67" s="64"/>
      <c r="K67" s="64"/>
      <c r="L67" s="64"/>
      <c r="M67" s="64"/>
      <c r="N67" s="64" t="b">
        <f t="shared" si="9"/>
        <v>0</v>
      </c>
      <c r="O67" s="64"/>
      <c r="R67" s="51" t="s">
        <v>2</v>
      </c>
      <c r="S67" s="68" t="s">
        <v>160</v>
      </c>
      <c r="T67" s="69" t="s">
        <v>160</v>
      </c>
      <c r="U67" s="69" t="s">
        <v>160</v>
      </c>
      <c r="V67" s="69" t="s">
        <v>160</v>
      </c>
      <c r="W67" s="69" t="s">
        <v>160</v>
      </c>
      <c r="X67" s="69" t="s">
        <v>160</v>
      </c>
      <c r="Y67" s="69" t="s">
        <v>160</v>
      </c>
      <c r="Z67" s="69" t="s">
        <v>160</v>
      </c>
      <c r="AA67" s="69" t="s">
        <v>160</v>
      </c>
      <c r="AB67" s="69" t="s">
        <v>160</v>
      </c>
      <c r="AC67" s="69" t="s">
        <v>160</v>
      </c>
      <c r="AD67" s="69" t="s">
        <v>160</v>
      </c>
      <c r="AE67" s="69" t="s">
        <v>160</v>
      </c>
      <c r="AF67" s="69" t="s">
        <v>160</v>
      </c>
      <c r="AG67" s="69" t="s">
        <v>160</v>
      </c>
      <c r="AH67" s="69" t="s">
        <v>160</v>
      </c>
      <c r="AI67" s="69" t="s">
        <v>160</v>
      </c>
      <c r="AJ67" s="69" t="s">
        <v>160</v>
      </c>
      <c r="AK67" s="69" t="s">
        <v>160</v>
      </c>
      <c r="AL67" s="69" t="s">
        <v>160</v>
      </c>
      <c r="AM67" s="69" t="s">
        <v>160</v>
      </c>
      <c r="AN67" s="69" t="s">
        <v>160</v>
      </c>
      <c r="AO67" s="69" t="s">
        <v>160</v>
      </c>
      <c r="AP67" s="69" t="s">
        <v>160</v>
      </c>
      <c r="AQ67" s="69" t="s">
        <v>160</v>
      </c>
      <c r="AR67" s="69" t="s">
        <v>160</v>
      </c>
      <c r="AS67" s="69" t="s">
        <v>160</v>
      </c>
      <c r="AT67" s="69" t="s">
        <v>160</v>
      </c>
      <c r="AU67" s="69" t="s">
        <v>160</v>
      </c>
      <c r="AV67" s="69" t="s">
        <v>160</v>
      </c>
      <c r="AW67" s="69" t="s">
        <v>160</v>
      </c>
      <c r="AX67" s="69" t="s">
        <v>160</v>
      </c>
      <c r="AY67" s="69" t="s">
        <v>160</v>
      </c>
      <c r="AZ67" s="69" t="s">
        <v>160</v>
      </c>
      <c r="BA67" s="69" t="s">
        <v>160</v>
      </c>
      <c r="BB67" s="69" t="s">
        <v>160</v>
      </c>
      <c r="BC67" s="69" t="s">
        <v>160</v>
      </c>
      <c r="BD67" s="69" t="s">
        <v>160</v>
      </c>
      <c r="BE67" s="69" t="s">
        <v>160</v>
      </c>
      <c r="BF67" s="69" t="s">
        <v>160</v>
      </c>
      <c r="BG67" s="69" t="s">
        <v>160</v>
      </c>
      <c r="BH67" s="69" t="s">
        <v>160</v>
      </c>
      <c r="BI67" s="69" t="s">
        <v>160</v>
      </c>
      <c r="BJ67" s="69" t="s">
        <v>160</v>
      </c>
      <c r="BK67" s="69" t="s">
        <v>160</v>
      </c>
      <c r="BL67" s="69" t="s">
        <v>160</v>
      </c>
      <c r="BM67" s="69" t="s">
        <v>160</v>
      </c>
      <c r="BN67" s="69" t="s">
        <v>160</v>
      </c>
      <c r="BO67" s="69" t="s">
        <v>160</v>
      </c>
      <c r="BP67" s="69" t="s">
        <v>160</v>
      </c>
      <c r="BQ67" s="69" t="s">
        <v>160</v>
      </c>
      <c r="BR67" s="69" t="s">
        <v>160</v>
      </c>
      <c r="BS67" s="69" t="s">
        <v>160</v>
      </c>
      <c r="BT67" s="69" t="s">
        <v>160</v>
      </c>
      <c r="BU67" s="69" t="s">
        <v>160</v>
      </c>
      <c r="BV67" s="69" t="s">
        <v>160</v>
      </c>
      <c r="BW67" s="69" t="s">
        <v>160</v>
      </c>
      <c r="BX67" s="69" t="s">
        <v>160</v>
      </c>
      <c r="BY67" s="69" t="s">
        <v>160</v>
      </c>
      <c r="BZ67" s="69" t="s">
        <v>160</v>
      </c>
      <c r="CA67" s="69" t="s">
        <v>160</v>
      </c>
      <c r="CB67" s="69" t="s">
        <v>160</v>
      </c>
      <c r="CC67" s="69" t="s">
        <v>160</v>
      </c>
      <c r="CD67" s="69" t="s">
        <v>160</v>
      </c>
      <c r="CE67" s="69" t="s">
        <v>160</v>
      </c>
      <c r="CF67" s="69" t="s">
        <v>160</v>
      </c>
      <c r="CG67" s="69" t="s">
        <v>160</v>
      </c>
      <c r="CH67" s="69" t="s">
        <v>160</v>
      </c>
      <c r="CI67" s="69" t="s">
        <v>160</v>
      </c>
      <c r="CJ67" s="69" t="s">
        <v>160</v>
      </c>
      <c r="CK67" s="69" t="s">
        <v>160</v>
      </c>
      <c r="CL67" s="69" t="s">
        <v>160</v>
      </c>
      <c r="CM67" s="69" t="s">
        <v>160</v>
      </c>
      <c r="CN67" s="69" t="s">
        <v>160</v>
      </c>
      <c r="CO67" s="69" t="s">
        <v>160</v>
      </c>
      <c r="CP67" s="69" t="s">
        <v>160</v>
      </c>
      <c r="CQ67" s="69" t="s">
        <v>160</v>
      </c>
      <c r="CR67" s="69" t="s">
        <v>160</v>
      </c>
      <c r="CS67" s="69" t="s">
        <v>160</v>
      </c>
      <c r="CT67" s="69" t="s">
        <v>160</v>
      </c>
      <c r="CU67" s="69" t="s">
        <v>160</v>
      </c>
      <c r="CV67" s="69" t="s">
        <v>160</v>
      </c>
      <c r="CW67" s="69" t="s">
        <v>160</v>
      </c>
      <c r="CX67" s="69" t="s">
        <v>160</v>
      </c>
      <c r="CY67" s="69" t="s">
        <v>160</v>
      </c>
      <c r="CZ67" s="69" t="s">
        <v>160</v>
      </c>
      <c r="DA67" s="69" t="s">
        <v>160</v>
      </c>
      <c r="DB67" s="69" t="s">
        <v>160</v>
      </c>
      <c r="DC67" s="69" t="s">
        <v>160</v>
      </c>
      <c r="DD67" s="69" t="s">
        <v>160</v>
      </c>
      <c r="DE67" s="69" t="s">
        <v>160</v>
      </c>
      <c r="DF67" s="69" t="s">
        <v>160</v>
      </c>
      <c r="DG67" s="69" t="s">
        <v>160</v>
      </c>
      <c r="DH67" s="69" t="s">
        <v>160</v>
      </c>
      <c r="DI67" s="69" t="s">
        <v>160</v>
      </c>
      <c r="DJ67" s="69" t="s">
        <v>160</v>
      </c>
      <c r="DK67" s="69" t="s">
        <v>160</v>
      </c>
      <c r="DL67" s="69" t="s">
        <v>160</v>
      </c>
      <c r="DM67" s="69" t="s">
        <v>160</v>
      </c>
      <c r="DN67" s="69" t="s">
        <v>160</v>
      </c>
      <c r="DO67" s="69" t="s">
        <v>160</v>
      </c>
      <c r="DP67" s="69" t="s">
        <v>160</v>
      </c>
      <c r="DQ67" s="69" t="s">
        <v>160</v>
      </c>
      <c r="DR67" s="69" t="s">
        <v>160</v>
      </c>
      <c r="DS67" s="69" t="s">
        <v>160</v>
      </c>
      <c r="DT67" s="69" t="s">
        <v>160</v>
      </c>
      <c r="DU67" s="69" t="s">
        <v>160</v>
      </c>
      <c r="DV67" s="69" t="s">
        <v>160</v>
      </c>
      <c r="DW67" s="69" t="s">
        <v>160</v>
      </c>
      <c r="DX67" s="69" t="s">
        <v>160</v>
      </c>
      <c r="DY67" s="69" t="s">
        <v>160</v>
      </c>
      <c r="DZ67" s="69" t="s">
        <v>160</v>
      </c>
      <c r="EA67" s="69" t="s">
        <v>160</v>
      </c>
      <c r="EB67" s="69" t="s">
        <v>160</v>
      </c>
      <c r="EC67" s="69" t="s">
        <v>160</v>
      </c>
      <c r="ED67" s="69" t="s">
        <v>160</v>
      </c>
      <c r="EE67" s="69" t="s">
        <v>160</v>
      </c>
      <c r="EF67" s="69" t="s">
        <v>160</v>
      </c>
      <c r="EG67" s="69" t="s">
        <v>160</v>
      </c>
      <c r="EH67" s="69" t="s">
        <v>160</v>
      </c>
      <c r="EI67" s="69" t="s">
        <v>160</v>
      </c>
      <c r="EJ67" s="69" t="s">
        <v>160</v>
      </c>
      <c r="EK67" s="69" t="s">
        <v>160</v>
      </c>
      <c r="EL67" s="69" t="s">
        <v>160</v>
      </c>
      <c r="EM67" s="69" t="s">
        <v>160</v>
      </c>
      <c r="EN67" s="69" t="s">
        <v>160</v>
      </c>
      <c r="EO67" s="69" t="s">
        <v>160</v>
      </c>
      <c r="EP67" s="69" t="s">
        <v>160</v>
      </c>
      <c r="EQ67" s="69" t="s">
        <v>160</v>
      </c>
      <c r="ER67" s="69" t="s">
        <v>160</v>
      </c>
      <c r="ES67" s="69" t="s">
        <v>160</v>
      </c>
      <c r="ET67" s="69" t="s">
        <v>160</v>
      </c>
      <c r="EU67" s="69" t="s">
        <v>160</v>
      </c>
      <c r="EV67" s="69" t="s">
        <v>160</v>
      </c>
      <c r="EW67" s="69" t="s">
        <v>160</v>
      </c>
      <c r="EX67" s="69" t="s">
        <v>160</v>
      </c>
      <c r="EY67" s="69" t="s">
        <v>160</v>
      </c>
      <c r="EZ67" s="69" t="s">
        <v>160</v>
      </c>
      <c r="FA67" s="69" t="s">
        <v>160</v>
      </c>
      <c r="FB67" s="69" t="s">
        <v>160</v>
      </c>
      <c r="FC67" s="69" t="s">
        <v>160</v>
      </c>
      <c r="FD67" s="69" t="s">
        <v>160</v>
      </c>
    </row>
    <row r="68" spans="1:160">
      <c r="A68" s="103" t="s">
        <v>469</v>
      </c>
      <c r="B68" s="20" t="s">
        <v>163</v>
      </c>
      <c r="C68" s="91" t="s">
        <v>171</v>
      </c>
      <c r="G68" s="51" t="str">
        <f t="shared" si="0"/>
        <v>Technical design document explaining the data schema and algorithm</v>
      </c>
      <c r="H68" s="51" t="s">
        <v>2</v>
      </c>
      <c r="I68" s="64">
        <v>45293</v>
      </c>
      <c r="J68" s="64">
        <v>45412</v>
      </c>
      <c r="K68" s="64"/>
      <c r="L68" s="64"/>
      <c r="M68" s="64"/>
      <c r="N68" s="64" t="b">
        <f t="shared" si="9"/>
        <v>0</v>
      </c>
      <c r="O68" s="64"/>
      <c r="P68" s="24">
        <v>0</v>
      </c>
      <c r="R68" s="51" t="s">
        <v>2</v>
      </c>
      <c r="S68" s="68" t="s">
        <v>160</v>
      </c>
      <c r="T68" s="69" t="s">
        <v>160</v>
      </c>
      <c r="U68" s="69" t="s">
        <v>160</v>
      </c>
      <c r="V68" s="69" t="s">
        <v>160</v>
      </c>
      <c r="W68" s="69" t="s">
        <v>160</v>
      </c>
      <c r="X68" s="69" t="s">
        <v>160</v>
      </c>
      <c r="Y68" s="69" t="s">
        <v>160</v>
      </c>
      <c r="Z68" s="69" t="s">
        <v>160</v>
      </c>
      <c r="AA68" s="69" t="s">
        <v>160</v>
      </c>
      <c r="AB68" s="69" t="s">
        <v>160</v>
      </c>
      <c r="AC68" s="69" t="s">
        <v>160</v>
      </c>
      <c r="AD68" s="69" t="s">
        <v>160</v>
      </c>
      <c r="AE68" s="69" t="s">
        <v>160</v>
      </c>
      <c r="AF68" s="69" t="s">
        <v>160</v>
      </c>
      <c r="AG68" s="69" t="s">
        <v>160</v>
      </c>
      <c r="AH68" s="69" t="s">
        <v>160</v>
      </c>
      <c r="AI68" s="69" t="s">
        <v>160</v>
      </c>
      <c r="AJ68" s="69" t="s">
        <v>160</v>
      </c>
      <c r="AK68" s="69" t="s">
        <v>160</v>
      </c>
      <c r="AL68" s="69" t="s">
        <v>160</v>
      </c>
      <c r="AM68" s="69" t="s">
        <v>160</v>
      </c>
      <c r="AN68" s="69" t="s">
        <v>160</v>
      </c>
      <c r="AO68" s="69" t="s">
        <v>160</v>
      </c>
      <c r="AP68" s="69" t="s">
        <v>160</v>
      </c>
      <c r="AQ68" s="69" t="s">
        <v>160</v>
      </c>
      <c r="AR68" s="69" t="s">
        <v>160</v>
      </c>
      <c r="AS68" s="69" t="s">
        <v>160</v>
      </c>
      <c r="AT68" s="69" t="s">
        <v>160</v>
      </c>
      <c r="AU68" s="69" t="s">
        <v>160</v>
      </c>
      <c r="AV68" s="69" t="s">
        <v>160</v>
      </c>
      <c r="AW68" s="69" t="s">
        <v>160</v>
      </c>
      <c r="AX68" s="69" t="s">
        <v>160</v>
      </c>
      <c r="AY68" s="69" t="s">
        <v>160</v>
      </c>
      <c r="AZ68" s="69" t="s">
        <v>160</v>
      </c>
      <c r="BA68" s="69" t="s">
        <v>160</v>
      </c>
      <c r="BB68" s="69" t="s">
        <v>160</v>
      </c>
      <c r="BC68" s="69" t="s">
        <v>160</v>
      </c>
      <c r="BD68" s="69" t="s">
        <v>160</v>
      </c>
      <c r="BE68" s="69" t="s">
        <v>160</v>
      </c>
      <c r="BF68" s="69" t="s">
        <v>160</v>
      </c>
      <c r="BG68" s="69" t="s">
        <v>160</v>
      </c>
      <c r="BH68" s="69" t="s">
        <v>160</v>
      </c>
      <c r="BI68" s="69" t="s">
        <v>160</v>
      </c>
      <c r="BJ68" s="69" t="s">
        <v>160</v>
      </c>
      <c r="BK68" s="69" t="s">
        <v>160</v>
      </c>
      <c r="BL68" s="69" t="s">
        <v>160</v>
      </c>
      <c r="BM68" s="69" t="s">
        <v>160</v>
      </c>
      <c r="BN68" s="69" t="s">
        <v>160</v>
      </c>
      <c r="BO68" s="69" t="s">
        <v>160</v>
      </c>
      <c r="BP68" s="69" t="s">
        <v>160</v>
      </c>
      <c r="BQ68" s="69" t="s">
        <v>160</v>
      </c>
      <c r="BR68" s="69" t="s">
        <v>160</v>
      </c>
      <c r="BS68" s="69" t="s">
        <v>160</v>
      </c>
      <c r="BT68" s="69" t="s">
        <v>160</v>
      </c>
      <c r="BU68" s="69" t="s">
        <v>160</v>
      </c>
      <c r="BV68" s="69" t="s">
        <v>160</v>
      </c>
      <c r="BW68" s="69" t="s">
        <v>160</v>
      </c>
      <c r="BX68" s="69" t="s">
        <v>160</v>
      </c>
      <c r="BY68" s="69" t="s">
        <v>160</v>
      </c>
      <c r="BZ68" s="69" t="s">
        <v>160</v>
      </c>
      <c r="CA68" s="69" t="s">
        <v>160</v>
      </c>
      <c r="CB68" s="69" t="s">
        <v>160</v>
      </c>
      <c r="CC68" s="69" t="s">
        <v>160</v>
      </c>
      <c r="CD68" s="69" t="s">
        <v>160</v>
      </c>
      <c r="CE68" s="69" t="s">
        <v>160</v>
      </c>
      <c r="CF68" s="69" t="s">
        <v>160</v>
      </c>
      <c r="CG68" s="69" t="s">
        <v>160</v>
      </c>
      <c r="CH68" s="69" t="s">
        <v>160</v>
      </c>
      <c r="CI68" s="69" t="s">
        <v>160</v>
      </c>
      <c r="CJ68" s="69" t="s">
        <v>160</v>
      </c>
      <c r="CK68" s="69" t="s">
        <v>160</v>
      </c>
      <c r="CL68" s="69" t="s">
        <v>160</v>
      </c>
      <c r="CM68" s="69" t="s">
        <v>160</v>
      </c>
      <c r="CN68" s="69" t="s">
        <v>160</v>
      </c>
      <c r="CO68" s="69" t="s">
        <v>160</v>
      </c>
      <c r="CP68" s="69" t="s">
        <v>160</v>
      </c>
      <c r="CQ68" s="69" t="s">
        <v>160</v>
      </c>
      <c r="CR68" s="69" t="s">
        <v>160</v>
      </c>
      <c r="CS68" s="69" t="s">
        <v>160</v>
      </c>
      <c r="CT68" s="69" t="s">
        <v>160</v>
      </c>
      <c r="CU68" s="69" t="s">
        <v>160</v>
      </c>
      <c r="CV68" s="69" t="s">
        <v>160</v>
      </c>
      <c r="CW68" s="69" t="s">
        <v>160</v>
      </c>
      <c r="CX68" s="69" t="s">
        <v>160</v>
      </c>
      <c r="CY68" s="69" t="s">
        <v>160</v>
      </c>
      <c r="CZ68" s="69" t="s">
        <v>160</v>
      </c>
      <c r="DA68" s="69" t="s">
        <v>160</v>
      </c>
      <c r="DB68" s="69" t="s">
        <v>160</v>
      </c>
      <c r="DC68" s="69" t="s">
        <v>160</v>
      </c>
      <c r="DD68" s="69" t="s">
        <v>160</v>
      </c>
      <c r="DE68" s="69" t="s">
        <v>160</v>
      </c>
      <c r="DF68" s="69" t="s">
        <v>160</v>
      </c>
      <c r="DG68" s="69" t="s">
        <v>160</v>
      </c>
      <c r="DH68" s="69" t="s">
        <v>160</v>
      </c>
      <c r="DI68" s="69" t="s">
        <v>160</v>
      </c>
      <c r="DJ68" s="69" t="s">
        <v>160</v>
      </c>
      <c r="DK68" s="69" t="s">
        <v>160</v>
      </c>
      <c r="DL68" s="69" t="s">
        <v>160</v>
      </c>
      <c r="DM68" s="69" t="s">
        <v>160</v>
      </c>
      <c r="DN68" s="69" t="s">
        <v>160</v>
      </c>
      <c r="DO68" s="69" t="s">
        <v>160</v>
      </c>
      <c r="DP68" s="69" t="s">
        <v>160</v>
      </c>
      <c r="DQ68" s="69" t="s">
        <v>160</v>
      </c>
      <c r="DR68" s="69" t="s">
        <v>160</v>
      </c>
      <c r="DS68" s="69" t="s">
        <v>160</v>
      </c>
      <c r="DT68" s="69" t="s">
        <v>160</v>
      </c>
      <c r="DU68" s="69" t="s">
        <v>160</v>
      </c>
      <c r="DV68" s="69" t="s">
        <v>160</v>
      </c>
      <c r="DW68" s="69" t="s">
        <v>160</v>
      </c>
      <c r="DX68" s="69" t="s">
        <v>160</v>
      </c>
      <c r="DY68" s="69" t="s">
        <v>160</v>
      </c>
      <c r="DZ68" s="69" t="s">
        <v>160</v>
      </c>
      <c r="EA68" s="69" t="s">
        <v>160</v>
      </c>
      <c r="EB68" s="69" t="s">
        <v>160</v>
      </c>
      <c r="EC68" s="69" t="s">
        <v>160</v>
      </c>
      <c r="ED68" s="69" t="s">
        <v>160</v>
      </c>
      <c r="EE68" s="69" t="s">
        <v>160</v>
      </c>
      <c r="EF68" s="69" t="s">
        <v>160</v>
      </c>
      <c r="EG68" s="69" t="s">
        <v>160</v>
      </c>
      <c r="EH68" s="69" t="s">
        <v>160</v>
      </c>
      <c r="EI68" s="69" t="s">
        <v>160</v>
      </c>
      <c r="EJ68" s="69" t="s">
        <v>160</v>
      </c>
      <c r="EK68" s="69" t="s">
        <v>160</v>
      </c>
      <c r="EL68" s="69" t="s">
        <v>160</v>
      </c>
      <c r="EM68" s="69" t="s">
        <v>160</v>
      </c>
      <c r="EN68" s="69" t="s">
        <v>160</v>
      </c>
      <c r="EO68" s="69" t="s">
        <v>160</v>
      </c>
      <c r="EP68" s="69" t="s">
        <v>160</v>
      </c>
      <c r="EQ68" s="69" t="s">
        <v>160</v>
      </c>
      <c r="ER68" s="69" t="s">
        <v>160</v>
      </c>
      <c r="ES68" s="69" t="s">
        <v>160</v>
      </c>
      <c r="ET68" s="69" t="s">
        <v>160</v>
      </c>
      <c r="EU68" s="69" t="s">
        <v>160</v>
      </c>
      <c r="EV68" s="69" t="s">
        <v>160</v>
      </c>
      <c r="EW68" s="69" t="s">
        <v>160</v>
      </c>
      <c r="EX68" s="69" t="s">
        <v>160</v>
      </c>
      <c r="EY68" s="69" t="s">
        <v>160</v>
      </c>
      <c r="EZ68" s="69" t="s">
        <v>160</v>
      </c>
      <c r="FA68" s="69" t="s">
        <v>160</v>
      </c>
      <c r="FB68" s="69" t="s">
        <v>160</v>
      </c>
      <c r="FC68" s="69" t="s">
        <v>160</v>
      </c>
      <c r="FD68" s="69" t="s">
        <v>160</v>
      </c>
    </row>
    <row r="69" spans="1:160">
      <c r="A69" s="103" t="s">
        <v>470</v>
      </c>
      <c r="B69" s="20" t="s">
        <v>163</v>
      </c>
      <c r="C69" s="91" t="s">
        <v>172</v>
      </c>
      <c r="G69" s="51" t="str">
        <f t="shared" ref="G69:G132" si="10">IF(B69&lt;&gt;"&gt;",B69,"")&amp;C69&amp;D69&amp;E69&amp;F69</f>
        <v>Software Code</v>
      </c>
      <c r="H69" s="51" t="s">
        <v>2</v>
      </c>
      <c r="I69" s="64">
        <v>45293</v>
      </c>
      <c r="J69" s="64">
        <v>45412</v>
      </c>
      <c r="K69" s="64"/>
      <c r="L69" s="64"/>
      <c r="M69" s="64"/>
      <c r="N69" s="64" t="b">
        <f t="shared" si="9"/>
        <v>0</v>
      </c>
      <c r="O69" s="64"/>
      <c r="P69" s="24">
        <v>0</v>
      </c>
      <c r="R69" s="51" t="s">
        <v>2</v>
      </c>
      <c r="S69" s="68" t="s">
        <v>160</v>
      </c>
      <c r="T69" s="69" t="s">
        <v>160</v>
      </c>
      <c r="U69" s="69" t="s">
        <v>160</v>
      </c>
      <c r="V69" s="69" t="s">
        <v>160</v>
      </c>
      <c r="W69" s="69" t="s">
        <v>160</v>
      </c>
      <c r="X69" s="69" t="s">
        <v>160</v>
      </c>
      <c r="Y69" s="69" t="s">
        <v>160</v>
      </c>
      <c r="Z69" s="69" t="s">
        <v>160</v>
      </c>
      <c r="AA69" s="69" t="s">
        <v>160</v>
      </c>
      <c r="AB69" s="69" t="s">
        <v>160</v>
      </c>
      <c r="AC69" s="69" t="s">
        <v>160</v>
      </c>
      <c r="AD69" s="69" t="s">
        <v>160</v>
      </c>
      <c r="AE69" s="69" t="s">
        <v>160</v>
      </c>
      <c r="AF69" s="69" t="s">
        <v>160</v>
      </c>
      <c r="AG69" s="69" t="s">
        <v>160</v>
      </c>
      <c r="AH69" s="69" t="s">
        <v>160</v>
      </c>
      <c r="AI69" s="69" t="s">
        <v>160</v>
      </c>
      <c r="AJ69" s="69" t="s">
        <v>160</v>
      </c>
      <c r="AK69" s="69" t="s">
        <v>160</v>
      </c>
      <c r="AL69" s="69" t="s">
        <v>160</v>
      </c>
      <c r="AM69" s="69" t="s">
        <v>160</v>
      </c>
      <c r="AN69" s="69" t="s">
        <v>160</v>
      </c>
      <c r="AO69" s="69" t="s">
        <v>160</v>
      </c>
      <c r="AP69" s="69" t="s">
        <v>160</v>
      </c>
      <c r="AQ69" s="69" t="s">
        <v>160</v>
      </c>
      <c r="AR69" s="69" t="s">
        <v>160</v>
      </c>
      <c r="AS69" s="69" t="s">
        <v>160</v>
      </c>
      <c r="AT69" s="69" t="s">
        <v>160</v>
      </c>
      <c r="AU69" s="69" t="s">
        <v>160</v>
      </c>
      <c r="AV69" s="69" t="s">
        <v>160</v>
      </c>
      <c r="AW69" s="69" t="s">
        <v>160</v>
      </c>
      <c r="AX69" s="69" t="s">
        <v>160</v>
      </c>
      <c r="AY69" s="69" t="s">
        <v>160</v>
      </c>
      <c r="AZ69" s="69" t="s">
        <v>160</v>
      </c>
      <c r="BA69" s="69" t="s">
        <v>160</v>
      </c>
      <c r="BB69" s="69" t="s">
        <v>160</v>
      </c>
      <c r="BC69" s="69" t="s">
        <v>160</v>
      </c>
      <c r="BD69" s="69" t="s">
        <v>160</v>
      </c>
      <c r="BE69" s="69" t="s">
        <v>160</v>
      </c>
      <c r="BF69" s="69" t="s">
        <v>160</v>
      </c>
      <c r="BG69" s="69" t="s">
        <v>160</v>
      </c>
      <c r="BH69" s="69" t="s">
        <v>160</v>
      </c>
      <c r="BI69" s="69" t="s">
        <v>160</v>
      </c>
      <c r="BJ69" s="69" t="s">
        <v>160</v>
      </c>
      <c r="BK69" s="69" t="s">
        <v>160</v>
      </c>
      <c r="BL69" s="69" t="s">
        <v>160</v>
      </c>
      <c r="BM69" s="69" t="s">
        <v>160</v>
      </c>
      <c r="BN69" s="69" t="s">
        <v>160</v>
      </c>
      <c r="BO69" s="69" t="s">
        <v>160</v>
      </c>
      <c r="BP69" s="69" t="s">
        <v>160</v>
      </c>
      <c r="BQ69" s="69" t="s">
        <v>160</v>
      </c>
      <c r="BR69" s="69" t="s">
        <v>160</v>
      </c>
      <c r="BS69" s="69" t="s">
        <v>160</v>
      </c>
      <c r="BT69" s="69" t="s">
        <v>160</v>
      </c>
      <c r="BU69" s="69" t="s">
        <v>160</v>
      </c>
      <c r="BV69" s="69" t="s">
        <v>160</v>
      </c>
      <c r="BW69" s="69" t="s">
        <v>160</v>
      </c>
      <c r="BX69" s="69" t="s">
        <v>160</v>
      </c>
      <c r="BY69" s="69" t="s">
        <v>160</v>
      </c>
      <c r="BZ69" s="69" t="s">
        <v>160</v>
      </c>
      <c r="CA69" s="69" t="s">
        <v>160</v>
      </c>
      <c r="CB69" s="69" t="s">
        <v>160</v>
      </c>
      <c r="CC69" s="69" t="s">
        <v>160</v>
      </c>
      <c r="CD69" s="69" t="s">
        <v>160</v>
      </c>
      <c r="CE69" s="69" t="s">
        <v>160</v>
      </c>
      <c r="CF69" s="69" t="s">
        <v>160</v>
      </c>
      <c r="CG69" s="69" t="s">
        <v>160</v>
      </c>
      <c r="CH69" s="69" t="s">
        <v>160</v>
      </c>
      <c r="CI69" s="69" t="s">
        <v>160</v>
      </c>
      <c r="CJ69" s="69" t="s">
        <v>160</v>
      </c>
      <c r="CK69" s="69" t="s">
        <v>160</v>
      </c>
      <c r="CL69" s="69" t="s">
        <v>160</v>
      </c>
      <c r="CM69" s="69" t="s">
        <v>160</v>
      </c>
      <c r="CN69" s="69" t="s">
        <v>160</v>
      </c>
      <c r="CO69" s="69" t="s">
        <v>160</v>
      </c>
      <c r="CP69" s="69" t="s">
        <v>160</v>
      </c>
      <c r="CQ69" s="69" t="s">
        <v>160</v>
      </c>
      <c r="CR69" s="69" t="s">
        <v>160</v>
      </c>
      <c r="CS69" s="69" t="s">
        <v>160</v>
      </c>
      <c r="CT69" s="69" t="s">
        <v>160</v>
      </c>
      <c r="CU69" s="69" t="s">
        <v>160</v>
      </c>
      <c r="CV69" s="69" t="s">
        <v>160</v>
      </c>
      <c r="CW69" s="69" t="s">
        <v>160</v>
      </c>
      <c r="CX69" s="69" t="s">
        <v>160</v>
      </c>
      <c r="CY69" s="69" t="s">
        <v>160</v>
      </c>
      <c r="CZ69" s="69" t="s">
        <v>160</v>
      </c>
      <c r="DA69" s="69" t="s">
        <v>160</v>
      </c>
      <c r="DB69" s="69" t="s">
        <v>160</v>
      </c>
      <c r="DC69" s="69" t="s">
        <v>160</v>
      </c>
      <c r="DD69" s="69" t="s">
        <v>160</v>
      </c>
      <c r="DE69" s="69" t="s">
        <v>160</v>
      </c>
      <c r="DF69" s="69" t="s">
        <v>160</v>
      </c>
      <c r="DG69" s="69" t="s">
        <v>160</v>
      </c>
      <c r="DH69" s="69" t="s">
        <v>160</v>
      </c>
      <c r="DI69" s="69" t="s">
        <v>160</v>
      </c>
      <c r="DJ69" s="69" t="s">
        <v>160</v>
      </c>
      <c r="DK69" s="69" t="s">
        <v>160</v>
      </c>
      <c r="DL69" s="69" t="s">
        <v>160</v>
      </c>
      <c r="DM69" s="69" t="s">
        <v>160</v>
      </c>
      <c r="DN69" s="69" t="s">
        <v>160</v>
      </c>
      <c r="DO69" s="69" t="s">
        <v>160</v>
      </c>
      <c r="DP69" s="69" t="s">
        <v>160</v>
      </c>
      <c r="DQ69" s="69" t="s">
        <v>160</v>
      </c>
      <c r="DR69" s="69" t="s">
        <v>160</v>
      </c>
      <c r="DS69" s="69" t="s">
        <v>160</v>
      </c>
      <c r="DT69" s="69" t="s">
        <v>160</v>
      </c>
      <c r="DU69" s="69" t="s">
        <v>160</v>
      </c>
      <c r="DV69" s="69" t="s">
        <v>160</v>
      </c>
      <c r="DW69" s="69" t="s">
        <v>160</v>
      </c>
      <c r="DX69" s="69" t="s">
        <v>160</v>
      </c>
      <c r="DY69" s="69" t="s">
        <v>160</v>
      </c>
      <c r="DZ69" s="69" t="s">
        <v>160</v>
      </c>
      <c r="EA69" s="69" t="s">
        <v>160</v>
      </c>
      <c r="EB69" s="69" t="s">
        <v>160</v>
      </c>
      <c r="EC69" s="69" t="s">
        <v>160</v>
      </c>
      <c r="ED69" s="69" t="s">
        <v>160</v>
      </c>
      <c r="EE69" s="69" t="s">
        <v>160</v>
      </c>
      <c r="EF69" s="69" t="s">
        <v>160</v>
      </c>
      <c r="EG69" s="69" t="s">
        <v>160</v>
      </c>
      <c r="EH69" s="69" t="s">
        <v>160</v>
      </c>
      <c r="EI69" s="69" t="s">
        <v>160</v>
      </c>
      <c r="EJ69" s="69" t="s">
        <v>160</v>
      </c>
      <c r="EK69" s="69" t="s">
        <v>160</v>
      </c>
      <c r="EL69" s="69" t="s">
        <v>160</v>
      </c>
      <c r="EM69" s="69" t="s">
        <v>160</v>
      </c>
      <c r="EN69" s="69" t="s">
        <v>160</v>
      </c>
      <c r="EO69" s="69" t="s">
        <v>160</v>
      </c>
      <c r="EP69" s="69" t="s">
        <v>160</v>
      </c>
      <c r="EQ69" s="69" t="s">
        <v>160</v>
      </c>
      <c r="ER69" s="69" t="s">
        <v>160</v>
      </c>
      <c r="ES69" s="69" t="s">
        <v>160</v>
      </c>
      <c r="ET69" s="69" t="s">
        <v>160</v>
      </c>
      <c r="EU69" s="69" t="s">
        <v>160</v>
      </c>
      <c r="EV69" s="69" t="s">
        <v>160</v>
      </c>
      <c r="EW69" s="69" t="s">
        <v>160</v>
      </c>
      <c r="EX69" s="69" t="s">
        <v>160</v>
      </c>
      <c r="EY69" s="69" t="s">
        <v>160</v>
      </c>
      <c r="EZ69" s="69" t="s">
        <v>160</v>
      </c>
      <c r="FA69" s="69" t="s">
        <v>160</v>
      </c>
      <c r="FB69" s="69" t="s">
        <v>160</v>
      </c>
      <c r="FC69" s="69" t="s">
        <v>160</v>
      </c>
      <c r="FD69" s="69" t="s">
        <v>160</v>
      </c>
    </row>
    <row r="70" spans="1:160">
      <c r="A70" s="103" t="s">
        <v>464</v>
      </c>
      <c r="B70" s="20" t="s">
        <v>163</v>
      </c>
      <c r="C70" s="91" t="s">
        <v>173</v>
      </c>
      <c r="G70" s="51" t="str">
        <f t="shared" si="10"/>
        <v>Deployment Procedure of the code</v>
      </c>
      <c r="H70" s="51" t="s">
        <v>2</v>
      </c>
      <c r="I70" s="64">
        <v>45293</v>
      </c>
      <c r="J70" s="64">
        <v>45412</v>
      </c>
      <c r="K70" s="64"/>
      <c r="L70" s="64"/>
      <c r="M70" s="64"/>
      <c r="N70" s="64" t="b">
        <f t="shared" si="9"/>
        <v>0</v>
      </c>
      <c r="O70" s="64"/>
      <c r="P70" s="24">
        <v>0</v>
      </c>
      <c r="R70" s="51" t="s">
        <v>2</v>
      </c>
      <c r="S70" s="68" t="s">
        <v>160</v>
      </c>
      <c r="T70" s="69" t="s">
        <v>160</v>
      </c>
      <c r="U70" s="69" t="s">
        <v>160</v>
      </c>
      <c r="V70" s="69" t="s">
        <v>160</v>
      </c>
      <c r="W70" s="69" t="s">
        <v>160</v>
      </c>
      <c r="X70" s="69" t="s">
        <v>160</v>
      </c>
      <c r="Y70" s="69" t="s">
        <v>160</v>
      </c>
      <c r="Z70" s="69" t="s">
        <v>160</v>
      </c>
      <c r="AA70" s="69" t="s">
        <v>160</v>
      </c>
      <c r="AB70" s="69" t="s">
        <v>160</v>
      </c>
      <c r="AC70" s="69" t="s">
        <v>160</v>
      </c>
      <c r="AD70" s="69" t="s">
        <v>160</v>
      </c>
      <c r="AE70" s="69" t="s">
        <v>160</v>
      </c>
      <c r="AF70" s="69" t="s">
        <v>160</v>
      </c>
      <c r="AG70" s="69" t="s">
        <v>160</v>
      </c>
      <c r="AH70" s="69" t="s">
        <v>160</v>
      </c>
      <c r="AI70" s="69" t="s">
        <v>160</v>
      </c>
      <c r="AJ70" s="69" t="s">
        <v>160</v>
      </c>
      <c r="AK70" s="69" t="s">
        <v>160</v>
      </c>
      <c r="AL70" s="69" t="s">
        <v>160</v>
      </c>
      <c r="AM70" s="69" t="s">
        <v>160</v>
      </c>
      <c r="AN70" s="69" t="s">
        <v>160</v>
      </c>
      <c r="AO70" s="69" t="s">
        <v>160</v>
      </c>
      <c r="AP70" s="69" t="s">
        <v>160</v>
      </c>
      <c r="AQ70" s="69" t="s">
        <v>160</v>
      </c>
      <c r="AR70" s="69" t="s">
        <v>160</v>
      </c>
      <c r="AS70" s="69" t="s">
        <v>160</v>
      </c>
      <c r="AT70" s="69" t="s">
        <v>160</v>
      </c>
      <c r="AU70" s="69" t="s">
        <v>160</v>
      </c>
      <c r="AV70" s="69" t="s">
        <v>160</v>
      </c>
      <c r="AW70" s="69" t="s">
        <v>160</v>
      </c>
      <c r="AX70" s="69" t="s">
        <v>160</v>
      </c>
      <c r="AY70" s="69" t="s">
        <v>160</v>
      </c>
      <c r="AZ70" s="69" t="s">
        <v>160</v>
      </c>
      <c r="BA70" s="69" t="s">
        <v>160</v>
      </c>
      <c r="BB70" s="69" t="s">
        <v>160</v>
      </c>
      <c r="BC70" s="69" t="s">
        <v>160</v>
      </c>
      <c r="BD70" s="69" t="s">
        <v>160</v>
      </c>
      <c r="BE70" s="69" t="s">
        <v>160</v>
      </c>
      <c r="BF70" s="69" t="s">
        <v>160</v>
      </c>
      <c r="BG70" s="69" t="s">
        <v>160</v>
      </c>
      <c r="BH70" s="69" t="s">
        <v>160</v>
      </c>
      <c r="BI70" s="69" t="s">
        <v>160</v>
      </c>
      <c r="BJ70" s="69" t="s">
        <v>160</v>
      </c>
      <c r="BK70" s="69" t="s">
        <v>160</v>
      </c>
      <c r="BL70" s="69" t="s">
        <v>160</v>
      </c>
      <c r="BM70" s="69" t="s">
        <v>160</v>
      </c>
      <c r="BN70" s="69" t="s">
        <v>160</v>
      </c>
      <c r="BO70" s="69" t="s">
        <v>160</v>
      </c>
      <c r="BP70" s="69" t="s">
        <v>160</v>
      </c>
      <c r="BQ70" s="69" t="s">
        <v>160</v>
      </c>
      <c r="BR70" s="69" t="s">
        <v>160</v>
      </c>
      <c r="BS70" s="69" t="s">
        <v>160</v>
      </c>
      <c r="BT70" s="69" t="s">
        <v>160</v>
      </c>
      <c r="BU70" s="69" t="s">
        <v>160</v>
      </c>
      <c r="BV70" s="69" t="s">
        <v>160</v>
      </c>
      <c r="BW70" s="69" t="s">
        <v>160</v>
      </c>
      <c r="BX70" s="69" t="s">
        <v>160</v>
      </c>
      <c r="BY70" s="69" t="s">
        <v>160</v>
      </c>
      <c r="BZ70" s="69" t="s">
        <v>160</v>
      </c>
      <c r="CA70" s="69" t="s">
        <v>160</v>
      </c>
      <c r="CB70" s="69" t="s">
        <v>160</v>
      </c>
      <c r="CC70" s="69" t="s">
        <v>160</v>
      </c>
      <c r="CD70" s="69" t="s">
        <v>160</v>
      </c>
      <c r="CE70" s="69" t="s">
        <v>160</v>
      </c>
      <c r="CF70" s="69" t="s">
        <v>160</v>
      </c>
      <c r="CG70" s="69" t="s">
        <v>160</v>
      </c>
      <c r="CH70" s="69" t="s">
        <v>160</v>
      </c>
      <c r="CI70" s="69" t="s">
        <v>160</v>
      </c>
      <c r="CJ70" s="69" t="s">
        <v>160</v>
      </c>
      <c r="CK70" s="69" t="s">
        <v>160</v>
      </c>
      <c r="CL70" s="69" t="s">
        <v>160</v>
      </c>
      <c r="CM70" s="69" t="s">
        <v>160</v>
      </c>
      <c r="CN70" s="69" t="s">
        <v>160</v>
      </c>
      <c r="CO70" s="69" t="s">
        <v>160</v>
      </c>
      <c r="CP70" s="69" t="s">
        <v>160</v>
      </c>
      <c r="CQ70" s="69" t="s">
        <v>160</v>
      </c>
      <c r="CR70" s="69" t="s">
        <v>160</v>
      </c>
      <c r="CS70" s="69" t="s">
        <v>160</v>
      </c>
      <c r="CT70" s="69" t="s">
        <v>160</v>
      </c>
      <c r="CU70" s="69" t="s">
        <v>160</v>
      </c>
      <c r="CV70" s="69" t="s">
        <v>160</v>
      </c>
      <c r="CW70" s="69" t="s">
        <v>160</v>
      </c>
      <c r="CX70" s="69" t="s">
        <v>160</v>
      </c>
      <c r="CY70" s="69" t="s">
        <v>160</v>
      </c>
      <c r="CZ70" s="69" t="s">
        <v>160</v>
      </c>
      <c r="DA70" s="69" t="s">
        <v>160</v>
      </c>
      <c r="DB70" s="69" t="s">
        <v>160</v>
      </c>
      <c r="DC70" s="69" t="s">
        <v>160</v>
      </c>
      <c r="DD70" s="69" t="s">
        <v>160</v>
      </c>
      <c r="DE70" s="69" t="s">
        <v>160</v>
      </c>
      <c r="DF70" s="69" t="s">
        <v>160</v>
      </c>
      <c r="DG70" s="69" t="s">
        <v>160</v>
      </c>
      <c r="DH70" s="69" t="s">
        <v>160</v>
      </c>
      <c r="DI70" s="69" t="s">
        <v>160</v>
      </c>
      <c r="DJ70" s="69" t="s">
        <v>160</v>
      </c>
      <c r="DK70" s="69" t="s">
        <v>160</v>
      </c>
      <c r="DL70" s="69" t="s">
        <v>160</v>
      </c>
      <c r="DM70" s="69" t="s">
        <v>160</v>
      </c>
      <c r="DN70" s="69" t="s">
        <v>160</v>
      </c>
      <c r="DO70" s="69" t="s">
        <v>160</v>
      </c>
      <c r="DP70" s="69" t="s">
        <v>160</v>
      </c>
      <c r="DQ70" s="69" t="s">
        <v>160</v>
      </c>
      <c r="DR70" s="69" t="s">
        <v>160</v>
      </c>
      <c r="DS70" s="69" t="s">
        <v>160</v>
      </c>
      <c r="DT70" s="69" t="s">
        <v>160</v>
      </c>
      <c r="DU70" s="69" t="s">
        <v>160</v>
      </c>
      <c r="DV70" s="69" t="s">
        <v>160</v>
      </c>
      <c r="DW70" s="69" t="s">
        <v>160</v>
      </c>
      <c r="DX70" s="69" t="s">
        <v>160</v>
      </c>
      <c r="DY70" s="69" t="s">
        <v>160</v>
      </c>
      <c r="DZ70" s="69" t="s">
        <v>160</v>
      </c>
      <c r="EA70" s="69" t="s">
        <v>160</v>
      </c>
      <c r="EB70" s="69" t="s">
        <v>160</v>
      </c>
      <c r="EC70" s="69" t="s">
        <v>160</v>
      </c>
      <c r="ED70" s="69" t="s">
        <v>160</v>
      </c>
      <c r="EE70" s="69" t="s">
        <v>160</v>
      </c>
      <c r="EF70" s="69" t="s">
        <v>160</v>
      </c>
      <c r="EG70" s="69" t="s">
        <v>160</v>
      </c>
      <c r="EH70" s="69" t="s">
        <v>160</v>
      </c>
      <c r="EI70" s="69" t="s">
        <v>160</v>
      </c>
      <c r="EJ70" s="69" t="s">
        <v>160</v>
      </c>
      <c r="EK70" s="69" t="s">
        <v>160</v>
      </c>
      <c r="EL70" s="69" t="s">
        <v>160</v>
      </c>
      <c r="EM70" s="69" t="s">
        <v>160</v>
      </c>
      <c r="EN70" s="69" t="s">
        <v>160</v>
      </c>
      <c r="EO70" s="69" t="s">
        <v>160</v>
      </c>
      <c r="EP70" s="69" t="s">
        <v>160</v>
      </c>
      <c r="EQ70" s="69" t="s">
        <v>160</v>
      </c>
      <c r="ER70" s="69" t="s">
        <v>160</v>
      </c>
      <c r="ES70" s="69" t="s">
        <v>160</v>
      </c>
      <c r="ET70" s="69" t="s">
        <v>160</v>
      </c>
      <c r="EU70" s="69" t="s">
        <v>160</v>
      </c>
      <c r="EV70" s="69" t="s">
        <v>160</v>
      </c>
      <c r="EW70" s="69" t="s">
        <v>160</v>
      </c>
      <c r="EX70" s="69" t="s">
        <v>160</v>
      </c>
      <c r="EY70" s="69" t="s">
        <v>160</v>
      </c>
      <c r="EZ70" s="69" t="s">
        <v>160</v>
      </c>
      <c r="FA70" s="69" t="s">
        <v>160</v>
      </c>
      <c r="FB70" s="69" t="s">
        <v>160</v>
      </c>
      <c r="FC70" s="69" t="s">
        <v>160</v>
      </c>
      <c r="FD70" s="69" t="s">
        <v>160</v>
      </c>
    </row>
    <row r="71" spans="1:160">
      <c r="A71" s="103" t="s">
        <v>471</v>
      </c>
      <c r="B71" s="20" t="s">
        <v>163</v>
      </c>
      <c r="C71" s="91" t="s">
        <v>175</v>
      </c>
      <c r="G71" s="51" t="str">
        <f t="shared" si="10"/>
        <v>Product usage guide with examples for all the functional usecases</v>
      </c>
      <c r="H71" s="51" t="s">
        <v>2</v>
      </c>
      <c r="I71" s="64">
        <v>45293</v>
      </c>
      <c r="J71" s="64">
        <v>45412</v>
      </c>
      <c r="K71" s="64"/>
      <c r="L71" s="64"/>
      <c r="M71" s="64"/>
      <c r="N71" s="64" t="b">
        <f t="shared" si="9"/>
        <v>0</v>
      </c>
      <c r="O71" s="64"/>
      <c r="P71" s="24">
        <v>0</v>
      </c>
      <c r="R71" s="51" t="s">
        <v>2</v>
      </c>
      <c r="S71" s="68" t="s">
        <v>160</v>
      </c>
      <c r="T71" s="69" t="s">
        <v>160</v>
      </c>
      <c r="U71" s="69" t="s">
        <v>160</v>
      </c>
      <c r="V71" s="69" t="s">
        <v>160</v>
      </c>
      <c r="W71" s="69" t="s">
        <v>160</v>
      </c>
      <c r="X71" s="69" t="s">
        <v>160</v>
      </c>
      <c r="Y71" s="69" t="s">
        <v>160</v>
      </c>
      <c r="Z71" s="69" t="s">
        <v>160</v>
      </c>
      <c r="AA71" s="69" t="s">
        <v>160</v>
      </c>
      <c r="AB71" s="69" t="s">
        <v>160</v>
      </c>
      <c r="AC71" s="69" t="s">
        <v>160</v>
      </c>
      <c r="AD71" s="69" t="s">
        <v>160</v>
      </c>
      <c r="AE71" s="69" t="s">
        <v>160</v>
      </c>
      <c r="AF71" s="69" t="s">
        <v>160</v>
      </c>
      <c r="AG71" s="69" t="s">
        <v>160</v>
      </c>
      <c r="AH71" s="69" t="s">
        <v>160</v>
      </c>
      <c r="AI71" s="69" t="s">
        <v>160</v>
      </c>
      <c r="AJ71" s="69" t="s">
        <v>160</v>
      </c>
      <c r="AK71" s="69" t="s">
        <v>160</v>
      </c>
      <c r="AL71" s="69" t="s">
        <v>160</v>
      </c>
      <c r="AM71" s="69" t="s">
        <v>160</v>
      </c>
      <c r="AN71" s="69" t="s">
        <v>160</v>
      </c>
      <c r="AO71" s="69" t="s">
        <v>160</v>
      </c>
      <c r="AP71" s="69" t="s">
        <v>160</v>
      </c>
      <c r="AQ71" s="69" t="s">
        <v>160</v>
      </c>
      <c r="AR71" s="69" t="s">
        <v>160</v>
      </c>
      <c r="AS71" s="69" t="s">
        <v>160</v>
      </c>
      <c r="AT71" s="69" t="s">
        <v>160</v>
      </c>
      <c r="AU71" s="69" t="s">
        <v>160</v>
      </c>
      <c r="AV71" s="69" t="s">
        <v>160</v>
      </c>
      <c r="AW71" s="69" t="s">
        <v>160</v>
      </c>
      <c r="AX71" s="69" t="s">
        <v>160</v>
      </c>
      <c r="AY71" s="69" t="s">
        <v>160</v>
      </c>
      <c r="AZ71" s="69" t="s">
        <v>160</v>
      </c>
      <c r="BA71" s="69" t="s">
        <v>160</v>
      </c>
      <c r="BB71" s="69" t="s">
        <v>160</v>
      </c>
      <c r="BC71" s="69" t="s">
        <v>160</v>
      </c>
      <c r="BD71" s="69" t="s">
        <v>160</v>
      </c>
      <c r="BE71" s="69" t="s">
        <v>160</v>
      </c>
      <c r="BF71" s="69" t="s">
        <v>160</v>
      </c>
      <c r="BG71" s="69" t="s">
        <v>160</v>
      </c>
      <c r="BH71" s="69" t="s">
        <v>160</v>
      </c>
      <c r="BI71" s="69" t="s">
        <v>160</v>
      </c>
      <c r="BJ71" s="69" t="s">
        <v>160</v>
      </c>
      <c r="BK71" s="69" t="s">
        <v>160</v>
      </c>
      <c r="BL71" s="69" t="s">
        <v>160</v>
      </c>
      <c r="BM71" s="69" t="s">
        <v>160</v>
      </c>
      <c r="BN71" s="69" t="s">
        <v>160</v>
      </c>
      <c r="BO71" s="69" t="s">
        <v>160</v>
      </c>
      <c r="BP71" s="69" t="s">
        <v>160</v>
      </c>
      <c r="BQ71" s="69" t="s">
        <v>160</v>
      </c>
      <c r="BR71" s="69" t="s">
        <v>160</v>
      </c>
      <c r="BS71" s="69" t="s">
        <v>160</v>
      </c>
      <c r="BT71" s="69" t="s">
        <v>160</v>
      </c>
      <c r="BU71" s="69" t="s">
        <v>160</v>
      </c>
      <c r="BV71" s="69" t="s">
        <v>160</v>
      </c>
      <c r="BW71" s="69" t="s">
        <v>160</v>
      </c>
      <c r="BX71" s="69" t="s">
        <v>160</v>
      </c>
      <c r="BY71" s="69" t="s">
        <v>160</v>
      </c>
      <c r="BZ71" s="69" t="s">
        <v>160</v>
      </c>
      <c r="CA71" s="69" t="s">
        <v>160</v>
      </c>
      <c r="CB71" s="69" t="s">
        <v>160</v>
      </c>
      <c r="CC71" s="69" t="s">
        <v>160</v>
      </c>
      <c r="CD71" s="69" t="s">
        <v>160</v>
      </c>
      <c r="CE71" s="69" t="s">
        <v>160</v>
      </c>
      <c r="CF71" s="69" t="s">
        <v>160</v>
      </c>
      <c r="CG71" s="69" t="s">
        <v>160</v>
      </c>
      <c r="CH71" s="69" t="s">
        <v>160</v>
      </c>
      <c r="CI71" s="69" t="s">
        <v>160</v>
      </c>
      <c r="CJ71" s="69" t="s">
        <v>160</v>
      </c>
      <c r="CK71" s="69" t="s">
        <v>160</v>
      </c>
      <c r="CL71" s="69" t="s">
        <v>160</v>
      </c>
      <c r="CM71" s="69" t="s">
        <v>160</v>
      </c>
      <c r="CN71" s="69" t="s">
        <v>160</v>
      </c>
      <c r="CO71" s="69" t="s">
        <v>160</v>
      </c>
      <c r="CP71" s="69" t="s">
        <v>160</v>
      </c>
      <c r="CQ71" s="69" t="s">
        <v>160</v>
      </c>
      <c r="CR71" s="69" t="s">
        <v>160</v>
      </c>
      <c r="CS71" s="69" t="s">
        <v>160</v>
      </c>
      <c r="CT71" s="69" t="s">
        <v>160</v>
      </c>
      <c r="CU71" s="69" t="s">
        <v>160</v>
      </c>
      <c r="CV71" s="69" t="s">
        <v>160</v>
      </c>
      <c r="CW71" s="69" t="s">
        <v>160</v>
      </c>
      <c r="CX71" s="69" t="s">
        <v>160</v>
      </c>
      <c r="CY71" s="69" t="s">
        <v>160</v>
      </c>
      <c r="CZ71" s="69" t="s">
        <v>160</v>
      </c>
      <c r="DA71" s="69" t="s">
        <v>160</v>
      </c>
      <c r="DB71" s="69" t="s">
        <v>160</v>
      </c>
      <c r="DC71" s="69" t="s">
        <v>160</v>
      </c>
      <c r="DD71" s="69" t="s">
        <v>160</v>
      </c>
      <c r="DE71" s="69" t="s">
        <v>160</v>
      </c>
      <c r="DF71" s="69" t="s">
        <v>160</v>
      </c>
      <c r="DG71" s="69" t="s">
        <v>160</v>
      </c>
      <c r="DH71" s="69" t="s">
        <v>160</v>
      </c>
      <c r="DI71" s="69" t="s">
        <v>160</v>
      </c>
      <c r="DJ71" s="69" t="s">
        <v>160</v>
      </c>
      <c r="DK71" s="69" t="s">
        <v>160</v>
      </c>
      <c r="DL71" s="69" t="s">
        <v>160</v>
      </c>
      <c r="DM71" s="69" t="s">
        <v>160</v>
      </c>
      <c r="DN71" s="69" t="s">
        <v>160</v>
      </c>
      <c r="DO71" s="69" t="s">
        <v>160</v>
      </c>
      <c r="DP71" s="69" t="s">
        <v>160</v>
      </c>
      <c r="DQ71" s="69" t="s">
        <v>160</v>
      </c>
      <c r="DR71" s="69" t="s">
        <v>160</v>
      </c>
      <c r="DS71" s="69" t="s">
        <v>160</v>
      </c>
      <c r="DT71" s="69" t="s">
        <v>160</v>
      </c>
      <c r="DU71" s="69" t="s">
        <v>160</v>
      </c>
      <c r="DV71" s="69" t="s">
        <v>160</v>
      </c>
      <c r="DW71" s="69" t="s">
        <v>160</v>
      </c>
      <c r="DX71" s="69" t="s">
        <v>160</v>
      </c>
      <c r="DY71" s="69" t="s">
        <v>160</v>
      </c>
      <c r="DZ71" s="69" t="s">
        <v>160</v>
      </c>
      <c r="EA71" s="69" t="s">
        <v>160</v>
      </c>
      <c r="EB71" s="69" t="s">
        <v>160</v>
      </c>
      <c r="EC71" s="69" t="s">
        <v>160</v>
      </c>
      <c r="ED71" s="69" t="s">
        <v>160</v>
      </c>
      <c r="EE71" s="69" t="s">
        <v>160</v>
      </c>
      <c r="EF71" s="69" t="s">
        <v>160</v>
      </c>
      <c r="EG71" s="69" t="s">
        <v>160</v>
      </c>
      <c r="EH71" s="69" t="s">
        <v>160</v>
      </c>
      <c r="EI71" s="69" t="s">
        <v>160</v>
      </c>
      <c r="EJ71" s="69" t="s">
        <v>160</v>
      </c>
      <c r="EK71" s="69" t="s">
        <v>160</v>
      </c>
      <c r="EL71" s="69" t="s">
        <v>160</v>
      </c>
      <c r="EM71" s="69" t="s">
        <v>160</v>
      </c>
      <c r="EN71" s="69" t="s">
        <v>160</v>
      </c>
      <c r="EO71" s="69" t="s">
        <v>160</v>
      </c>
      <c r="EP71" s="69" t="s">
        <v>160</v>
      </c>
      <c r="EQ71" s="69" t="s">
        <v>160</v>
      </c>
      <c r="ER71" s="69" t="s">
        <v>160</v>
      </c>
      <c r="ES71" s="69" t="s">
        <v>160</v>
      </c>
      <c r="ET71" s="69" t="s">
        <v>160</v>
      </c>
      <c r="EU71" s="69" t="s">
        <v>160</v>
      </c>
      <c r="EV71" s="69" t="s">
        <v>160</v>
      </c>
      <c r="EW71" s="69" t="s">
        <v>160</v>
      </c>
      <c r="EX71" s="69" t="s">
        <v>160</v>
      </c>
      <c r="EY71" s="69" t="s">
        <v>160</v>
      </c>
      <c r="EZ71" s="69" t="s">
        <v>160</v>
      </c>
      <c r="FA71" s="69" t="s">
        <v>160</v>
      </c>
      <c r="FB71" s="69" t="s">
        <v>160</v>
      </c>
      <c r="FC71" s="69" t="s">
        <v>160</v>
      </c>
      <c r="FD71" s="69" t="s">
        <v>160</v>
      </c>
    </row>
    <row r="72" spans="1:160" s="71" customFormat="1" ht="18.5" thickBot="1">
      <c r="A72" s="104" t="s">
        <v>472</v>
      </c>
      <c r="B72" s="105" t="s">
        <v>163</v>
      </c>
      <c r="C72" s="92" t="s">
        <v>176</v>
      </c>
      <c r="G72" s="71" t="str">
        <f t="shared" si="10"/>
        <v xml:space="preserve">Test report </v>
      </c>
      <c r="H72" s="71" t="s">
        <v>2</v>
      </c>
      <c r="I72" s="72">
        <v>45293</v>
      </c>
      <c r="J72" s="72">
        <v>45412</v>
      </c>
      <c r="K72" s="72"/>
      <c r="L72" s="72"/>
      <c r="M72" s="72"/>
      <c r="N72" s="72" t="b">
        <f t="shared" si="9"/>
        <v>0</v>
      </c>
      <c r="O72" s="72"/>
      <c r="P72" s="89">
        <v>0</v>
      </c>
      <c r="Q72" s="89"/>
      <c r="R72" s="71" t="s">
        <v>2</v>
      </c>
      <c r="S72" s="74" t="s">
        <v>160</v>
      </c>
      <c r="T72" s="75" t="s">
        <v>160</v>
      </c>
      <c r="U72" s="75" t="s">
        <v>160</v>
      </c>
      <c r="V72" s="75" t="s">
        <v>160</v>
      </c>
      <c r="W72" s="75" t="s">
        <v>160</v>
      </c>
      <c r="X72" s="75" t="s">
        <v>160</v>
      </c>
      <c r="Y72" s="75" t="s">
        <v>160</v>
      </c>
      <c r="Z72" s="75" t="s">
        <v>160</v>
      </c>
      <c r="AA72" s="75" t="s">
        <v>160</v>
      </c>
      <c r="AB72" s="75" t="s">
        <v>160</v>
      </c>
      <c r="AC72" s="75" t="s">
        <v>160</v>
      </c>
      <c r="AD72" s="75" t="s">
        <v>160</v>
      </c>
      <c r="AE72" s="75" t="s">
        <v>160</v>
      </c>
      <c r="AF72" s="75" t="s">
        <v>160</v>
      </c>
      <c r="AG72" s="75" t="s">
        <v>160</v>
      </c>
      <c r="AH72" s="75" t="s">
        <v>160</v>
      </c>
      <c r="AI72" s="75" t="s">
        <v>160</v>
      </c>
      <c r="AJ72" s="75" t="s">
        <v>160</v>
      </c>
      <c r="AK72" s="75" t="s">
        <v>160</v>
      </c>
      <c r="AL72" s="75" t="s">
        <v>160</v>
      </c>
      <c r="AM72" s="75" t="s">
        <v>160</v>
      </c>
      <c r="AN72" s="75" t="s">
        <v>160</v>
      </c>
      <c r="AO72" s="75" t="s">
        <v>160</v>
      </c>
      <c r="AP72" s="75" t="s">
        <v>160</v>
      </c>
      <c r="AQ72" s="75" t="s">
        <v>160</v>
      </c>
      <c r="AR72" s="75" t="s">
        <v>160</v>
      </c>
      <c r="AS72" s="75" t="s">
        <v>160</v>
      </c>
      <c r="AT72" s="75" t="s">
        <v>160</v>
      </c>
      <c r="AU72" s="75" t="s">
        <v>160</v>
      </c>
      <c r="AV72" s="75" t="s">
        <v>160</v>
      </c>
      <c r="AW72" s="75" t="s">
        <v>160</v>
      </c>
      <c r="AX72" s="75" t="s">
        <v>160</v>
      </c>
      <c r="AY72" s="75" t="s">
        <v>160</v>
      </c>
      <c r="AZ72" s="75" t="s">
        <v>160</v>
      </c>
      <c r="BA72" s="75" t="s">
        <v>160</v>
      </c>
      <c r="BB72" s="75" t="s">
        <v>160</v>
      </c>
      <c r="BC72" s="75" t="s">
        <v>160</v>
      </c>
      <c r="BD72" s="75" t="s">
        <v>160</v>
      </c>
      <c r="BE72" s="75" t="s">
        <v>160</v>
      </c>
      <c r="BF72" s="75" t="s">
        <v>160</v>
      </c>
      <c r="BG72" s="75" t="s">
        <v>160</v>
      </c>
      <c r="BH72" s="75" t="s">
        <v>160</v>
      </c>
      <c r="BI72" s="75" t="s">
        <v>160</v>
      </c>
      <c r="BJ72" s="75" t="s">
        <v>160</v>
      </c>
      <c r="BK72" s="75" t="s">
        <v>160</v>
      </c>
      <c r="BL72" s="75" t="s">
        <v>160</v>
      </c>
      <c r="BM72" s="75" t="s">
        <v>160</v>
      </c>
      <c r="BN72" s="75" t="s">
        <v>160</v>
      </c>
      <c r="BO72" s="75" t="s">
        <v>160</v>
      </c>
      <c r="BP72" s="75" t="s">
        <v>160</v>
      </c>
      <c r="BQ72" s="75" t="s">
        <v>160</v>
      </c>
      <c r="BR72" s="75" t="s">
        <v>160</v>
      </c>
      <c r="BS72" s="75" t="s">
        <v>160</v>
      </c>
      <c r="BT72" s="75" t="s">
        <v>160</v>
      </c>
      <c r="BU72" s="75" t="s">
        <v>160</v>
      </c>
      <c r="BV72" s="75" t="s">
        <v>160</v>
      </c>
      <c r="BW72" s="75" t="s">
        <v>160</v>
      </c>
      <c r="BX72" s="75" t="s">
        <v>160</v>
      </c>
      <c r="BY72" s="75" t="s">
        <v>160</v>
      </c>
      <c r="BZ72" s="75" t="s">
        <v>160</v>
      </c>
      <c r="CA72" s="75" t="s">
        <v>160</v>
      </c>
      <c r="CB72" s="75" t="s">
        <v>160</v>
      </c>
      <c r="CC72" s="75" t="s">
        <v>160</v>
      </c>
      <c r="CD72" s="75" t="s">
        <v>160</v>
      </c>
      <c r="CE72" s="75" t="s">
        <v>160</v>
      </c>
      <c r="CF72" s="75" t="s">
        <v>160</v>
      </c>
      <c r="CG72" s="75" t="s">
        <v>160</v>
      </c>
      <c r="CH72" s="75" t="s">
        <v>160</v>
      </c>
      <c r="CI72" s="75" t="s">
        <v>160</v>
      </c>
      <c r="CJ72" s="75" t="s">
        <v>160</v>
      </c>
      <c r="CK72" s="75" t="s">
        <v>160</v>
      </c>
      <c r="CL72" s="75" t="s">
        <v>160</v>
      </c>
      <c r="CM72" s="75" t="s">
        <v>160</v>
      </c>
      <c r="CN72" s="75" t="s">
        <v>160</v>
      </c>
      <c r="CO72" s="75" t="s">
        <v>160</v>
      </c>
      <c r="CP72" s="75" t="s">
        <v>160</v>
      </c>
      <c r="CQ72" s="75" t="s">
        <v>160</v>
      </c>
      <c r="CR72" s="75" t="s">
        <v>160</v>
      </c>
      <c r="CS72" s="75" t="s">
        <v>160</v>
      </c>
      <c r="CT72" s="75" t="s">
        <v>160</v>
      </c>
      <c r="CU72" s="75" t="s">
        <v>160</v>
      </c>
      <c r="CV72" s="75" t="s">
        <v>160</v>
      </c>
      <c r="CW72" s="75" t="s">
        <v>160</v>
      </c>
      <c r="CX72" s="75" t="s">
        <v>160</v>
      </c>
      <c r="CY72" s="75" t="s">
        <v>160</v>
      </c>
      <c r="CZ72" s="75" t="s">
        <v>160</v>
      </c>
      <c r="DA72" s="75" t="s">
        <v>160</v>
      </c>
      <c r="DB72" s="75" t="s">
        <v>160</v>
      </c>
      <c r="DC72" s="75" t="s">
        <v>160</v>
      </c>
      <c r="DD72" s="75" t="s">
        <v>160</v>
      </c>
      <c r="DE72" s="75" t="s">
        <v>160</v>
      </c>
      <c r="DF72" s="75" t="s">
        <v>160</v>
      </c>
      <c r="DG72" s="75" t="s">
        <v>160</v>
      </c>
      <c r="DH72" s="75" t="s">
        <v>160</v>
      </c>
      <c r="DI72" s="75" t="s">
        <v>160</v>
      </c>
      <c r="DJ72" s="75" t="s">
        <v>160</v>
      </c>
      <c r="DK72" s="75" t="s">
        <v>160</v>
      </c>
      <c r="DL72" s="75" t="s">
        <v>160</v>
      </c>
      <c r="DM72" s="75" t="s">
        <v>160</v>
      </c>
      <c r="DN72" s="75" t="s">
        <v>160</v>
      </c>
      <c r="DO72" s="75" t="s">
        <v>160</v>
      </c>
      <c r="DP72" s="75" t="s">
        <v>160</v>
      </c>
      <c r="DQ72" s="75" t="s">
        <v>160</v>
      </c>
      <c r="DR72" s="75" t="s">
        <v>160</v>
      </c>
      <c r="DS72" s="75" t="s">
        <v>160</v>
      </c>
      <c r="DT72" s="75" t="s">
        <v>160</v>
      </c>
      <c r="DU72" s="75" t="s">
        <v>160</v>
      </c>
      <c r="DV72" s="75" t="s">
        <v>160</v>
      </c>
      <c r="DW72" s="75" t="s">
        <v>160</v>
      </c>
      <c r="DX72" s="75" t="s">
        <v>160</v>
      </c>
      <c r="DY72" s="75" t="s">
        <v>160</v>
      </c>
      <c r="DZ72" s="75" t="s">
        <v>160</v>
      </c>
      <c r="EA72" s="75" t="s">
        <v>160</v>
      </c>
      <c r="EB72" s="75" t="s">
        <v>160</v>
      </c>
      <c r="EC72" s="75" t="s">
        <v>160</v>
      </c>
      <c r="ED72" s="75" t="s">
        <v>160</v>
      </c>
      <c r="EE72" s="75" t="s">
        <v>160</v>
      </c>
      <c r="EF72" s="75" t="s">
        <v>160</v>
      </c>
      <c r="EG72" s="75" t="s">
        <v>160</v>
      </c>
      <c r="EH72" s="75" t="s">
        <v>160</v>
      </c>
      <c r="EI72" s="75" t="s">
        <v>160</v>
      </c>
      <c r="EJ72" s="75" t="s">
        <v>160</v>
      </c>
      <c r="EK72" s="75" t="s">
        <v>160</v>
      </c>
      <c r="EL72" s="75" t="s">
        <v>160</v>
      </c>
      <c r="EM72" s="75" t="s">
        <v>160</v>
      </c>
      <c r="EN72" s="75" t="s">
        <v>160</v>
      </c>
      <c r="EO72" s="75" t="s">
        <v>160</v>
      </c>
      <c r="EP72" s="75" t="s">
        <v>160</v>
      </c>
      <c r="EQ72" s="75" t="s">
        <v>160</v>
      </c>
      <c r="ER72" s="75" t="s">
        <v>160</v>
      </c>
      <c r="ES72" s="75" t="s">
        <v>160</v>
      </c>
      <c r="ET72" s="75" t="s">
        <v>160</v>
      </c>
      <c r="EU72" s="75" t="s">
        <v>160</v>
      </c>
      <c r="EV72" s="75" t="s">
        <v>160</v>
      </c>
      <c r="EW72" s="75" t="s">
        <v>160</v>
      </c>
      <c r="EX72" s="75" t="s">
        <v>160</v>
      </c>
      <c r="EY72" s="75" t="s">
        <v>160</v>
      </c>
      <c r="EZ72" s="75" t="s">
        <v>160</v>
      </c>
      <c r="FA72" s="75" t="s">
        <v>160</v>
      </c>
      <c r="FB72" s="75" t="s">
        <v>160</v>
      </c>
      <c r="FC72" s="75" t="s">
        <v>160</v>
      </c>
      <c r="FD72" s="75" t="s">
        <v>160</v>
      </c>
    </row>
    <row r="73" spans="1:160">
      <c r="A73" s="103" t="s">
        <v>474</v>
      </c>
      <c r="B73" s="20" t="s">
        <v>203</v>
      </c>
      <c r="G73" s="51" t="str">
        <f t="shared" si="10"/>
        <v>M9. Decision Engine AI/ML models - NIDS</v>
      </c>
      <c r="H73" s="51" t="s">
        <v>2</v>
      </c>
      <c r="I73" s="64">
        <f ca="1">IF(SUM(I74:INDIRECT("I"&amp;$O73))=0,"",MIN(I74:INDIRECT("I"&amp;$O73)))</f>
        <v>45017</v>
      </c>
      <c r="J73" s="64">
        <f ca="1">IF(SUM(J74:INDIRECT("J"&amp;$O73))=0,"",MAX(J74:INDIRECT("J"&amp;$O73)))</f>
        <v>45169</v>
      </c>
      <c r="K73" s="64" t="str">
        <f ca="1">IF(SUM(K74:INDIRECT("K"&amp;$O73))=0,"",MIN(K74:INDIRECT("K"&amp;$O73)))</f>
        <v/>
      </c>
      <c r="L73" s="64" t="str">
        <f ca="1">IF(SUM(L74:INDIRECT("L"&amp;$O73))=0,"",MAX(L74:INDIRECT("L"&amp;$O73)))</f>
        <v/>
      </c>
      <c r="M73" s="64" t="str">
        <f ca="1">IF(N73,TODAY(),IF(SUM(M74:INDIRECT("M"&amp;$O73))=0,"",MAX(M74:INDIRECT("M"&amp;$O73))))</f>
        <v/>
      </c>
      <c r="N73" s="64" t="b">
        <f ca="1">OR(N74:INDIRECT("N"&amp;O73))</f>
        <v>0</v>
      </c>
      <c r="O73" s="65">
        <f>ROW()+COUNTA(N74:N81)</f>
        <v>81</v>
      </c>
      <c r="P73" s="66">
        <f>AVERAGE(P74:P81)</f>
        <v>0</v>
      </c>
      <c r="R73" s="51" t="s">
        <v>2</v>
      </c>
      <c r="S73" s="68" t="s">
        <v>160</v>
      </c>
      <c r="T73" s="69" t="s">
        <v>160</v>
      </c>
      <c r="U73" s="69" t="s">
        <v>160</v>
      </c>
      <c r="V73" s="69" t="s">
        <v>160</v>
      </c>
      <c r="W73" s="69" t="s">
        <v>160</v>
      </c>
      <c r="X73" s="69" t="s">
        <v>160</v>
      </c>
      <c r="Y73" s="69" t="s">
        <v>160</v>
      </c>
      <c r="Z73" s="69" t="s">
        <v>160</v>
      </c>
      <c r="AA73" s="69" t="s">
        <v>160</v>
      </c>
      <c r="AB73" s="69" t="s">
        <v>160</v>
      </c>
      <c r="AC73" s="69" t="s">
        <v>160</v>
      </c>
      <c r="AD73" s="69" t="s">
        <v>160</v>
      </c>
      <c r="AE73" s="69" t="s">
        <v>160</v>
      </c>
      <c r="AF73" s="69" t="s">
        <v>160</v>
      </c>
      <c r="AG73" s="69" t="s">
        <v>160</v>
      </c>
      <c r="AH73" s="69" t="s">
        <v>160</v>
      </c>
      <c r="AI73" s="69" t="s">
        <v>160</v>
      </c>
      <c r="AJ73" s="69" t="s">
        <v>160</v>
      </c>
      <c r="AK73" s="69" t="s">
        <v>160</v>
      </c>
      <c r="AL73" s="69" t="s">
        <v>160</v>
      </c>
      <c r="AM73" s="69" t="s">
        <v>160</v>
      </c>
      <c r="AN73" s="69" t="s">
        <v>160</v>
      </c>
      <c r="AO73" s="69" t="s">
        <v>160</v>
      </c>
      <c r="AP73" s="69" t="s">
        <v>160</v>
      </c>
      <c r="AQ73" s="69" t="s">
        <v>160</v>
      </c>
      <c r="AR73" s="69" t="s">
        <v>160</v>
      </c>
      <c r="AS73" s="69" t="s">
        <v>160</v>
      </c>
      <c r="AT73" s="69" t="s">
        <v>160</v>
      </c>
      <c r="AU73" s="69" t="s">
        <v>160</v>
      </c>
      <c r="AV73" s="69" t="s">
        <v>160</v>
      </c>
      <c r="AW73" s="90" t="s">
        <v>160</v>
      </c>
      <c r="AX73" s="90" t="s">
        <v>160</v>
      </c>
      <c r="AY73" s="90" t="s">
        <v>160</v>
      </c>
      <c r="AZ73" s="90" t="s">
        <v>160</v>
      </c>
      <c r="BA73" s="90" t="s">
        <v>160</v>
      </c>
      <c r="BB73" s="90" t="s">
        <v>160</v>
      </c>
      <c r="BC73" s="90" t="s">
        <v>160</v>
      </c>
      <c r="BD73" s="90" t="s">
        <v>160</v>
      </c>
      <c r="BE73" s="90" t="s">
        <v>160</v>
      </c>
      <c r="BF73" s="90" t="s">
        <v>160</v>
      </c>
      <c r="BG73" s="90" t="s">
        <v>160</v>
      </c>
      <c r="BH73" s="90" t="s">
        <v>160</v>
      </c>
      <c r="BI73" s="90" t="s">
        <v>160</v>
      </c>
      <c r="BJ73" s="69" t="s">
        <v>160</v>
      </c>
      <c r="BK73" s="69" t="s">
        <v>160</v>
      </c>
      <c r="BL73" s="69" t="s">
        <v>160</v>
      </c>
      <c r="BM73" s="69" t="s">
        <v>160</v>
      </c>
      <c r="BN73" s="69" t="s">
        <v>160</v>
      </c>
      <c r="BO73" s="69" t="s">
        <v>160</v>
      </c>
      <c r="BP73" s="69" t="s">
        <v>160</v>
      </c>
      <c r="BQ73" s="69" t="s">
        <v>160</v>
      </c>
      <c r="BR73" s="69" t="s">
        <v>160</v>
      </c>
      <c r="BS73" s="69" t="s">
        <v>160</v>
      </c>
      <c r="BT73" s="69" t="s">
        <v>160</v>
      </c>
      <c r="BU73" s="69" t="s">
        <v>160</v>
      </c>
      <c r="BV73" s="69" t="s">
        <v>160</v>
      </c>
      <c r="BW73" s="69" t="s">
        <v>160</v>
      </c>
      <c r="BX73" s="69" t="s">
        <v>160</v>
      </c>
      <c r="BY73" s="69" t="s">
        <v>160</v>
      </c>
      <c r="BZ73" s="69" t="s">
        <v>160</v>
      </c>
      <c r="CA73" s="69" t="s">
        <v>160</v>
      </c>
      <c r="CB73" s="69" t="s">
        <v>160</v>
      </c>
      <c r="CC73" s="69" t="s">
        <v>160</v>
      </c>
      <c r="CD73" s="69" t="s">
        <v>160</v>
      </c>
      <c r="CE73" s="69" t="s">
        <v>160</v>
      </c>
      <c r="CF73" s="69" t="s">
        <v>160</v>
      </c>
      <c r="CG73" s="69" t="s">
        <v>160</v>
      </c>
      <c r="CH73" s="69" t="s">
        <v>160</v>
      </c>
      <c r="CI73" s="69" t="s">
        <v>160</v>
      </c>
      <c r="CJ73" s="69" t="s">
        <v>160</v>
      </c>
      <c r="CK73" s="69" t="s">
        <v>160</v>
      </c>
      <c r="CL73" s="69" t="s">
        <v>160</v>
      </c>
      <c r="CM73" s="69" t="s">
        <v>160</v>
      </c>
      <c r="CN73" s="69" t="s">
        <v>160</v>
      </c>
      <c r="CO73" s="69" t="s">
        <v>160</v>
      </c>
      <c r="CP73" s="69" t="s">
        <v>160</v>
      </c>
      <c r="CQ73" s="69" t="s">
        <v>160</v>
      </c>
      <c r="CR73" s="69" t="s">
        <v>160</v>
      </c>
      <c r="CS73" s="69" t="s">
        <v>160</v>
      </c>
      <c r="CT73" s="69" t="s">
        <v>160</v>
      </c>
      <c r="CU73" s="69" t="s">
        <v>160</v>
      </c>
      <c r="CV73" s="69" t="s">
        <v>160</v>
      </c>
      <c r="CW73" s="69" t="s">
        <v>160</v>
      </c>
      <c r="CX73" s="69" t="s">
        <v>160</v>
      </c>
      <c r="CY73" s="69" t="s">
        <v>160</v>
      </c>
      <c r="CZ73" s="69" t="s">
        <v>160</v>
      </c>
      <c r="DA73" s="69" t="s">
        <v>160</v>
      </c>
      <c r="DB73" s="69" t="s">
        <v>160</v>
      </c>
      <c r="DC73" s="69" t="s">
        <v>160</v>
      </c>
      <c r="DD73" s="69" t="s">
        <v>160</v>
      </c>
      <c r="DE73" s="69" t="s">
        <v>160</v>
      </c>
      <c r="DF73" s="69" t="s">
        <v>160</v>
      </c>
      <c r="DG73" s="69" t="s">
        <v>160</v>
      </c>
      <c r="DH73" s="69" t="s">
        <v>160</v>
      </c>
      <c r="DI73" s="69" t="s">
        <v>160</v>
      </c>
      <c r="DJ73" s="69" t="s">
        <v>160</v>
      </c>
      <c r="DK73" s="69" t="s">
        <v>160</v>
      </c>
      <c r="DL73" s="69" t="s">
        <v>160</v>
      </c>
      <c r="DM73" s="69" t="s">
        <v>160</v>
      </c>
      <c r="DN73" s="69" t="s">
        <v>160</v>
      </c>
      <c r="DO73" s="69" t="s">
        <v>160</v>
      </c>
      <c r="DP73" s="69" t="s">
        <v>160</v>
      </c>
      <c r="DQ73" s="69" t="s">
        <v>160</v>
      </c>
      <c r="DR73" s="69" t="s">
        <v>160</v>
      </c>
      <c r="DS73" s="69" t="s">
        <v>160</v>
      </c>
      <c r="DT73" s="69" t="s">
        <v>160</v>
      </c>
      <c r="DU73" s="69" t="s">
        <v>160</v>
      </c>
      <c r="DV73" s="69" t="s">
        <v>160</v>
      </c>
      <c r="DW73" s="69" t="s">
        <v>160</v>
      </c>
      <c r="DX73" s="69" t="s">
        <v>160</v>
      </c>
      <c r="DY73" s="69" t="s">
        <v>160</v>
      </c>
      <c r="DZ73" s="69" t="s">
        <v>160</v>
      </c>
      <c r="EA73" s="69" t="s">
        <v>160</v>
      </c>
      <c r="EB73" s="69" t="s">
        <v>160</v>
      </c>
      <c r="EC73" s="69" t="s">
        <v>160</v>
      </c>
      <c r="ED73" s="69" t="s">
        <v>160</v>
      </c>
      <c r="EE73" s="69" t="s">
        <v>160</v>
      </c>
      <c r="EF73" s="69" t="s">
        <v>160</v>
      </c>
      <c r="EG73" s="69" t="s">
        <v>160</v>
      </c>
      <c r="EH73" s="69" t="s">
        <v>160</v>
      </c>
      <c r="EI73" s="69" t="s">
        <v>160</v>
      </c>
      <c r="EJ73" s="69" t="s">
        <v>160</v>
      </c>
      <c r="EK73" s="69" t="s">
        <v>160</v>
      </c>
      <c r="EL73" s="69" t="s">
        <v>160</v>
      </c>
      <c r="EM73" s="69" t="s">
        <v>160</v>
      </c>
      <c r="EN73" s="69" t="s">
        <v>160</v>
      </c>
      <c r="EO73" s="69" t="s">
        <v>160</v>
      </c>
      <c r="EP73" s="69" t="s">
        <v>160</v>
      </c>
      <c r="EQ73" s="69" t="s">
        <v>160</v>
      </c>
      <c r="ER73" s="69" t="s">
        <v>160</v>
      </c>
      <c r="ES73" s="69" t="s">
        <v>160</v>
      </c>
      <c r="ET73" s="69" t="s">
        <v>160</v>
      </c>
      <c r="EU73" s="69" t="s">
        <v>160</v>
      </c>
      <c r="EV73" s="69" t="s">
        <v>160</v>
      </c>
      <c r="EW73" s="69" t="s">
        <v>160</v>
      </c>
      <c r="EX73" s="69" t="s">
        <v>160</v>
      </c>
      <c r="EY73" s="69" t="s">
        <v>160</v>
      </c>
      <c r="EZ73" s="69" t="s">
        <v>160</v>
      </c>
      <c r="FA73" s="69" t="s">
        <v>160</v>
      </c>
      <c r="FB73" s="69" t="s">
        <v>160</v>
      </c>
      <c r="FC73" s="69" t="s">
        <v>160</v>
      </c>
      <c r="FD73" s="69" t="s">
        <v>160</v>
      </c>
    </row>
    <row r="74" spans="1:160">
      <c r="A74" s="103" t="s">
        <v>475</v>
      </c>
      <c r="C74" s="50" t="s">
        <v>204</v>
      </c>
      <c r="G74" s="51" t="str">
        <f t="shared" si="10"/>
        <v>Note : Network intrusion detection model</v>
      </c>
      <c r="H74" s="51" t="s">
        <v>2</v>
      </c>
      <c r="I74" s="64"/>
      <c r="J74" s="64"/>
      <c r="K74" s="64"/>
      <c r="L74" s="64"/>
      <c r="M74" s="64"/>
      <c r="N74" s="64" t="b">
        <f>ISNUMBER(SEARCH("*Waiting*",M74))</f>
        <v>0</v>
      </c>
      <c r="O74" s="64"/>
      <c r="R74" s="51" t="s">
        <v>2</v>
      </c>
      <c r="S74" s="68" t="s">
        <v>160</v>
      </c>
      <c r="T74" s="69" t="s">
        <v>160</v>
      </c>
      <c r="U74" s="69" t="s">
        <v>160</v>
      </c>
      <c r="V74" s="69" t="s">
        <v>160</v>
      </c>
      <c r="W74" s="69" t="s">
        <v>160</v>
      </c>
      <c r="X74" s="69" t="s">
        <v>160</v>
      </c>
      <c r="Y74" s="69" t="s">
        <v>160</v>
      </c>
      <c r="Z74" s="69" t="s">
        <v>160</v>
      </c>
      <c r="AA74" s="69" t="s">
        <v>160</v>
      </c>
      <c r="AB74" s="69" t="s">
        <v>160</v>
      </c>
      <c r="AC74" s="69" t="s">
        <v>160</v>
      </c>
      <c r="AD74" s="69" t="s">
        <v>160</v>
      </c>
      <c r="AE74" s="69" t="s">
        <v>160</v>
      </c>
      <c r="AF74" s="69" t="s">
        <v>160</v>
      </c>
      <c r="AG74" s="69" t="s">
        <v>160</v>
      </c>
      <c r="AH74" s="69" t="s">
        <v>160</v>
      </c>
      <c r="AI74" s="69" t="s">
        <v>160</v>
      </c>
      <c r="AJ74" s="69" t="s">
        <v>160</v>
      </c>
      <c r="AK74" s="69" t="s">
        <v>160</v>
      </c>
      <c r="AL74" s="69" t="s">
        <v>160</v>
      </c>
      <c r="AM74" s="69" t="s">
        <v>160</v>
      </c>
      <c r="AN74" s="69" t="s">
        <v>160</v>
      </c>
      <c r="AO74" s="69" t="s">
        <v>160</v>
      </c>
      <c r="AP74" s="69" t="s">
        <v>160</v>
      </c>
      <c r="AQ74" s="69" t="s">
        <v>160</v>
      </c>
      <c r="AR74" s="69" t="s">
        <v>160</v>
      </c>
      <c r="AS74" s="69" t="s">
        <v>160</v>
      </c>
      <c r="AT74" s="69" t="s">
        <v>160</v>
      </c>
      <c r="AU74" s="69" t="s">
        <v>160</v>
      </c>
      <c r="AV74" s="69" t="s">
        <v>160</v>
      </c>
      <c r="AW74" s="69" t="s">
        <v>160</v>
      </c>
      <c r="AX74" s="69" t="s">
        <v>160</v>
      </c>
      <c r="AY74" s="69" t="s">
        <v>160</v>
      </c>
      <c r="AZ74" s="69" t="s">
        <v>160</v>
      </c>
      <c r="BA74" s="69" t="s">
        <v>160</v>
      </c>
      <c r="BB74" s="69" t="s">
        <v>160</v>
      </c>
      <c r="BC74" s="69" t="s">
        <v>160</v>
      </c>
      <c r="BD74" s="69" t="s">
        <v>160</v>
      </c>
      <c r="BE74" s="69" t="s">
        <v>160</v>
      </c>
      <c r="BF74" s="69" t="s">
        <v>160</v>
      </c>
      <c r="BG74" s="69" t="s">
        <v>160</v>
      </c>
      <c r="BH74" s="69" t="s">
        <v>160</v>
      </c>
      <c r="BI74" s="69" t="s">
        <v>160</v>
      </c>
      <c r="BJ74" s="69" t="s">
        <v>160</v>
      </c>
      <c r="BK74" s="69" t="s">
        <v>160</v>
      </c>
      <c r="BL74" s="69" t="s">
        <v>160</v>
      </c>
      <c r="BM74" s="69" t="s">
        <v>160</v>
      </c>
      <c r="BN74" s="69" t="s">
        <v>160</v>
      </c>
      <c r="BO74" s="69" t="s">
        <v>160</v>
      </c>
      <c r="BP74" s="69" t="s">
        <v>160</v>
      </c>
      <c r="BQ74" s="69" t="s">
        <v>160</v>
      </c>
      <c r="BR74" s="69" t="s">
        <v>160</v>
      </c>
      <c r="BS74" s="69" t="s">
        <v>160</v>
      </c>
      <c r="BT74" s="69" t="s">
        <v>160</v>
      </c>
      <c r="BU74" s="69" t="s">
        <v>160</v>
      </c>
      <c r="BV74" s="69" t="s">
        <v>160</v>
      </c>
      <c r="BW74" s="69" t="s">
        <v>160</v>
      </c>
      <c r="BX74" s="69" t="s">
        <v>160</v>
      </c>
      <c r="BY74" s="69" t="s">
        <v>160</v>
      </c>
      <c r="BZ74" s="69" t="s">
        <v>160</v>
      </c>
      <c r="CA74" s="69" t="s">
        <v>160</v>
      </c>
      <c r="CB74" s="69" t="s">
        <v>160</v>
      </c>
      <c r="CC74" s="69" t="s">
        <v>160</v>
      </c>
      <c r="CD74" s="69" t="s">
        <v>160</v>
      </c>
      <c r="CE74" s="69" t="s">
        <v>160</v>
      </c>
      <c r="CF74" s="69" t="s">
        <v>160</v>
      </c>
      <c r="CG74" s="69" t="s">
        <v>160</v>
      </c>
      <c r="CH74" s="69" t="s">
        <v>160</v>
      </c>
      <c r="CI74" s="69" t="s">
        <v>160</v>
      </c>
      <c r="CJ74" s="69" t="s">
        <v>160</v>
      </c>
      <c r="CK74" s="69" t="s">
        <v>160</v>
      </c>
      <c r="CL74" s="69" t="s">
        <v>160</v>
      </c>
      <c r="CM74" s="69" t="s">
        <v>160</v>
      </c>
      <c r="CN74" s="69" t="s">
        <v>160</v>
      </c>
      <c r="CO74" s="69" t="s">
        <v>160</v>
      </c>
      <c r="CP74" s="69" t="s">
        <v>160</v>
      </c>
      <c r="CQ74" s="69" t="s">
        <v>160</v>
      </c>
      <c r="CR74" s="69" t="s">
        <v>160</v>
      </c>
      <c r="CS74" s="69" t="s">
        <v>160</v>
      </c>
      <c r="CT74" s="69" t="s">
        <v>160</v>
      </c>
      <c r="CU74" s="69" t="s">
        <v>160</v>
      </c>
      <c r="CV74" s="69" t="s">
        <v>160</v>
      </c>
      <c r="CW74" s="69" t="s">
        <v>160</v>
      </c>
      <c r="CX74" s="69" t="s">
        <v>160</v>
      </c>
      <c r="CY74" s="69" t="s">
        <v>160</v>
      </c>
      <c r="CZ74" s="69" t="s">
        <v>160</v>
      </c>
      <c r="DA74" s="69" t="s">
        <v>160</v>
      </c>
      <c r="DB74" s="69" t="s">
        <v>160</v>
      </c>
      <c r="DC74" s="69" t="s">
        <v>160</v>
      </c>
      <c r="DD74" s="69" t="s">
        <v>160</v>
      </c>
      <c r="DE74" s="69" t="s">
        <v>160</v>
      </c>
      <c r="DF74" s="69" t="s">
        <v>160</v>
      </c>
      <c r="DG74" s="69" t="s">
        <v>160</v>
      </c>
      <c r="DH74" s="69" t="s">
        <v>160</v>
      </c>
      <c r="DI74" s="69" t="s">
        <v>160</v>
      </c>
      <c r="DJ74" s="69" t="s">
        <v>160</v>
      </c>
      <c r="DK74" s="69" t="s">
        <v>160</v>
      </c>
      <c r="DL74" s="69" t="s">
        <v>160</v>
      </c>
      <c r="DM74" s="69" t="s">
        <v>160</v>
      </c>
      <c r="DN74" s="69" t="s">
        <v>160</v>
      </c>
      <c r="DO74" s="69" t="s">
        <v>160</v>
      </c>
      <c r="DP74" s="69" t="s">
        <v>160</v>
      </c>
      <c r="DQ74" s="69" t="s">
        <v>160</v>
      </c>
      <c r="DR74" s="69" t="s">
        <v>160</v>
      </c>
      <c r="DS74" s="69" t="s">
        <v>160</v>
      </c>
      <c r="DT74" s="69" t="s">
        <v>160</v>
      </c>
      <c r="DU74" s="69" t="s">
        <v>160</v>
      </c>
      <c r="DV74" s="69" t="s">
        <v>160</v>
      </c>
      <c r="DW74" s="69" t="s">
        <v>160</v>
      </c>
      <c r="DX74" s="69" t="s">
        <v>160</v>
      </c>
      <c r="DY74" s="69" t="s">
        <v>160</v>
      </c>
      <c r="DZ74" s="69" t="s">
        <v>160</v>
      </c>
      <c r="EA74" s="69" t="s">
        <v>160</v>
      </c>
      <c r="EB74" s="69" t="s">
        <v>160</v>
      </c>
      <c r="EC74" s="69" t="s">
        <v>160</v>
      </c>
      <c r="ED74" s="69" t="s">
        <v>160</v>
      </c>
      <c r="EE74" s="69" t="s">
        <v>160</v>
      </c>
      <c r="EF74" s="69" t="s">
        <v>160</v>
      </c>
      <c r="EG74" s="69" t="s">
        <v>160</v>
      </c>
      <c r="EH74" s="69" t="s">
        <v>160</v>
      </c>
      <c r="EI74" s="69" t="s">
        <v>160</v>
      </c>
      <c r="EJ74" s="69" t="s">
        <v>160</v>
      </c>
      <c r="EK74" s="69" t="s">
        <v>160</v>
      </c>
      <c r="EL74" s="69" t="s">
        <v>160</v>
      </c>
      <c r="EM74" s="69" t="s">
        <v>160</v>
      </c>
      <c r="EN74" s="69" t="s">
        <v>160</v>
      </c>
      <c r="EO74" s="69" t="s">
        <v>160</v>
      </c>
      <c r="EP74" s="69" t="s">
        <v>160</v>
      </c>
      <c r="EQ74" s="69" t="s">
        <v>160</v>
      </c>
      <c r="ER74" s="69" t="s">
        <v>160</v>
      </c>
      <c r="ES74" s="69" t="s">
        <v>160</v>
      </c>
      <c r="ET74" s="69" t="s">
        <v>160</v>
      </c>
      <c r="EU74" s="69" t="s">
        <v>160</v>
      </c>
      <c r="EV74" s="69" t="s">
        <v>160</v>
      </c>
      <c r="EW74" s="69" t="s">
        <v>160</v>
      </c>
      <c r="EX74" s="69" t="s">
        <v>160</v>
      </c>
      <c r="EY74" s="69" t="s">
        <v>160</v>
      </c>
      <c r="EZ74" s="69" t="s">
        <v>160</v>
      </c>
      <c r="FA74" s="69" t="s">
        <v>160</v>
      </c>
      <c r="FB74" s="69" t="s">
        <v>160</v>
      </c>
      <c r="FC74" s="69" t="s">
        <v>160</v>
      </c>
      <c r="FD74" s="69" t="s">
        <v>160</v>
      </c>
    </row>
    <row r="75" spans="1:160">
      <c r="A75" s="103" t="s">
        <v>476</v>
      </c>
      <c r="C75" s="50" t="s">
        <v>205</v>
      </c>
      <c r="G75" s="51" t="str">
        <f t="shared" si="10"/>
        <v>Note : (round truth data will be provided by LiteOn. Based on which NTU shall come up with model for anomaly detection system)</v>
      </c>
      <c r="H75" s="51" t="s">
        <v>2</v>
      </c>
      <c r="I75" s="64"/>
      <c r="J75" s="64"/>
      <c r="K75" s="64"/>
      <c r="L75" s="64"/>
      <c r="M75" s="64"/>
      <c r="N75" s="64" t="b">
        <f t="shared" ref="N75:N81" si="11">ISNUMBER(SEARCH("*Waiting*",M75))</f>
        <v>0</v>
      </c>
      <c r="O75" s="64"/>
      <c r="R75" s="51" t="s">
        <v>2</v>
      </c>
      <c r="S75" s="68" t="s">
        <v>160</v>
      </c>
      <c r="T75" s="69" t="s">
        <v>160</v>
      </c>
      <c r="U75" s="69" t="s">
        <v>160</v>
      </c>
      <c r="V75" s="69" t="s">
        <v>160</v>
      </c>
      <c r="W75" s="69" t="s">
        <v>160</v>
      </c>
      <c r="X75" s="69" t="s">
        <v>160</v>
      </c>
      <c r="Y75" s="69" t="s">
        <v>160</v>
      </c>
      <c r="Z75" s="69" t="s">
        <v>160</v>
      </c>
      <c r="AA75" s="69" t="s">
        <v>160</v>
      </c>
      <c r="AB75" s="69" t="s">
        <v>160</v>
      </c>
      <c r="AC75" s="69" t="s">
        <v>160</v>
      </c>
      <c r="AD75" s="69" t="s">
        <v>160</v>
      </c>
      <c r="AE75" s="69" t="s">
        <v>160</v>
      </c>
      <c r="AF75" s="69" t="s">
        <v>160</v>
      </c>
      <c r="AG75" s="69" t="s">
        <v>160</v>
      </c>
      <c r="AH75" s="69" t="s">
        <v>160</v>
      </c>
      <c r="AI75" s="69" t="s">
        <v>160</v>
      </c>
      <c r="AJ75" s="69" t="s">
        <v>160</v>
      </c>
      <c r="AK75" s="69" t="s">
        <v>160</v>
      </c>
      <c r="AL75" s="69" t="s">
        <v>160</v>
      </c>
      <c r="AM75" s="69" t="s">
        <v>160</v>
      </c>
      <c r="AN75" s="69" t="s">
        <v>160</v>
      </c>
      <c r="AO75" s="69" t="s">
        <v>160</v>
      </c>
      <c r="AP75" s="69" t="s">
        <v>160</v>
      </c>
      <c r="AQ75" s="69" t="s">
        <v>160</v>
      </c>
      <c r="AR75" s="69" t="s">
        <v>160</v>
      </c>
      <c r="AS75" s="69" t="s">
        <v>160</v>
      </c>
      <c r="AT75" s="69" t="s">
        <v>160</v>
      </c>
      <c r="AU75" s="69" t="s">
        <v>160</v>
      </c>
      <c r="AV75" s="69" t="s">
        <v>160</v>
      </c>
      <c r="AW75" s="69" t="s">
        <v>160</v>
      </c>
      <c r="AX75" s="69" t="s">
        <v>160</v>
      </c>
      <c r="AY75" s="69" t="s">
        <v>160</v>
      </c>
      <c r="AZ75" s="69" t="s">
        <v>160</v>
      </c>
      <c r="BA75" s="69" t="s">
        <v>160</v>
      </c>
      <c r="BB75" s="69" t="s">
        <v>160</v>
      </c>
      <c r="BC75" s="69" t="s">
        <v>160</v>
      </c>
      <c r="BD75" s="69" t="s">
        <v>160</v>
      </c>
      <c r="BE75" s="69" t="s">
        <v>160</v>
      </c>
      <c r="BF75" s="69" t="s">
        <v>160</v>
      </c>
      <c r="BG75" s="69" t="s">
        <v>160</v>
      </c>
      <c r="BH75" s="69" t="s">
        <v>160</v>
      </c>
      <c r="BI75" s="69" t="s">
        <v>160</v>
      </c>
      <c r="BJ75" s="69" t="s">
        <v>160</v>
      </c>
      <c r="BK75" s="69" t="s">
        <v>160</v>
      </c>
      <c r="BL75" s="69" t="s">
        <v>160</v>
      </c>
      <c r="BM75" s="69" t="s">
        <v>160</v>
      </c>
      <c r="BN75" s="69" t="s">
        <v>160</v>
      </c>
      <c r="BO75" s="69" t="s">
        <v>160</v>
      </c>
      <c r="BP75" s="69" t="s">
        <v>160</v>
      </c>
      <c r="BQ75" s="69" t="s">
        <v>160</v>
      </c>
      <c r="BR75" s="69" t="s">
        <v>160</v>
      </c>
      <c r="BS75" s="69" t="s">
        <v>160</v>
      </c>
      <c r="BT75" s="69" t="s">
        <v>160</v>
      </c>
      <c r="BU75" s="69" t="s">
        <v>160</v>
      </c>
      <c r="BV75" s="69" t="s">
        <v>160</v>
      </c>
      <c r="BW75" s="69" t="s">
        <v>160</v>
      </c>
      <c r="BX75" s="69" t="s">
        <v>160</v>
      </c>
      <c r="BY75" s="69" t="s">
        <v>160</v>
      </c>
      <c r="BZ75" s="69" t="s">
        <v>160</v>
      </c>
      <c r="CA75" s="69" t="s">
        <v>160</v>
      </c>
      <c r="CB75" s="69" t="s">
        <v>160</v>
      </c>
      <c r="CC75" s="69" t="s">
        <v>160</v>
      </c>
      <c r="CD75" s="69" t="s">
        <v>160</v>
      </c>
      <c r="CE75" s="69" t="s">
        <v>160</v>
      </c>
      <c r="CF75" s="69" t="s">
        <v>160</v>
      </c>
      <c r="CG75" s="69" t="s">
        <v>160</v>
      </c>
      <c r="CH75" s="69" t="s">
        <v>160</v>
      </c>
      <c r="CI75" s="69" t="s">
        <v>160</v>
      </c>
      <c r="CJ75" s="69" t="s">
        <v>160</v>
      </c>
      <c r="CK75" s="69" t="s">
        <v>160</v>
      </c>
      <c r="CL75" s="69" t="s">
        <v>160</v>
      </c>
      <c r="CM75" s="69" t="s">
        <v>160</v>
      </c>
      <c r="CN75" s="69" t="s">
        <v>160</v>
      </c>
      <c r="CO75" s="69" t="s">
        <v>160</v>
      </c>
      <c r="CP75" s="69" t="s">
        <v>160</v>
      </c>
      <c r="CQ75" s="69" t="s">
        <v>160</v>
      </c>
      <c r="CR75" s="69" t="s">
        <v>160</v>
      </c>
      <c r="CS75" s="69" t="s">
        <v>160</v>
      </c>
      <c r="CT75" s="69" t="s">
        <v>160</v>
      </c>
      <c r="CU75" s="69" t="s">
        <v>160</v>
      </c>
      <c r="CV75" s="69" t="s">
        <v>160</v>
      </c>
      <c r="CW75" s="69" t="s">
        <v>160</v>
      </c>
      <c r="CX75" s="69" t="s">
        <v>160</v>
      </c>
      <c r="CY75" s="69" t="s">
        <v>160</v>
      </c>
      <c r="CZ75" s="69" t="s">
        <v>160</v>
      </c>
      <c r="DA75" s="69" t="s">
        <v>160</v>
      </c>
      <c r="DB75" s="69" t="s">
        <v>160</v>
      </c>
      <c r="DC75" s="69" t="s">
        <v>160</v>
      </c>
      <c r="DD75" s="69" t="s">
        <v>160</v>
      </c>
      <c r="DE75" s="69" t="s">
        <v>160</v>
      </c>
      <c r="DF75" s="69" t="s">
        <v>160</v>
      </c>
      <c r="DG75" s="69" t="s">
        <v>160</v>
      </c>
      <c r="DH75" s="69" t="s">
        <v>160</v>
      </c>
      <c r="DI75" s="69" t="s">
        <v>160</v>
      </c>
      <c r="DJ75" s="69" t="s">
        <v>160</v>
      </c>
      <c r="DK75" s="69" t="s">
        <v>160</v>
      </c>
      <c r="DL75" s="69" t="s">
        <v>160</v>
      </c>
      <c r="DM75" s="69" t="s">
        <v>160</v>
      </c>
      <c r="DN75" s="69" t="s">
        <v>160</v>
      </c>
      <c r="DO75" s="69" t="s">
        <v>160</v>
      </c>
      <c r="DP75" s="69" t="s">
        <v>160</v>
      </c>
      <c r="DQ75" s="69" t="s">
        <v>160</v>
      </c>
      <c r="DR75" s="69" t="s">
        <v>160</v>
      </c>
      <c r="DS75" s="69" t="s">
        <v>160</v>
      </c>
      <c r="DT75" s="69" t="s">
        <v>160</v>
      </c>
      <c r="DU75" s="69" t="s">
        <v>160</v>
      </c>
      <c r="DV75" s="69" t="s">
        <v>160</v>
      </c>
      <c r="DW75" s="69" t="s">
        <v>160</v>
      </c>
      <c r="DX75" s="69" t="s">
        <v>160</v>
      </c>
      <c r="DY75" s="69" t="s">
        <v>160</v>
      </c>
      <c r="DZ75" s="69" t="s">
        <v>160</v>
      </c>
      <c r="EA75" s="69" t="s">
        <v>160</v>
      </c>
      <c r="EB75" s="69" t="s">
        <v>160</v>
      </c>
      <c r="EC75" s="69" t="s">
        <v>160</v>
      </c>
      <c r="ED75" s="69" t="s">
        <v>160</v>
      </c>
      <c r="EE75" s="69" t="s">
        <v>160</v>
      </c>
      <c r="EF75" s="69" t="s">
        <v>160</v>
      </c>
      <c r="EG75" s="69" t="s">
        <v>160</v>
      </c>
      <c r="EH75" s="69" t="s">
        <v>160</v>
      </c>
      <c r="EI75" s="69" t="s">
        <v>160</v>
      </c>
      <c r="EJ75" s="69" t="s">
        <v>160</v>
      </c>
      <c r="EK75" s="69" t="s">
        <v>160</v>
      </c>
      <c r="EL75" s="69" t="s">
        <v>160</v>
      </c>
      <c r="EM75" s="69" t="s">
        <v>160</v>
      </c>
      <c r="EN75" s="69" t="s">
        <v>160</v>
      </c>
      <c r="EO75" s="69" t="s">
        <v>160</v>
      </c>
      <c r="EP75" s="69" t="s">
        <v>160</v>
      </c>
      <c r="EQ75" s="69" t="s">
        <v>160</v>
      </c>
      <c r="ER75" s="69" t="s">
        <v>160</v>
      </c>
      <c r="ES75" s="69" t="s">
        <v>160</v>
      </c>
      <c r="ET75" s="69" t="s">
        <v>160</v>
      </c>
      <c r="EU75" s="69" t="s">
        <v>160</v>
      </c>
      <c r="EV75" s="69" t="s">
        <v>160</v>
      </c>
      <c r="EW75" s="69" t="s">
        <v>160</v>
      </c>
      <c r="EX75" s="69" t="s">
        <v>160</v>
      </c>
      <c r="EY75" s="69" t="s">
        <v>160</v>
      </c>
      <c r="EZ75" s="69" t="s">
        <v>160</v>
      </c>
      <c r="FA75" s="69" t="s">
        <v>160</v>
      </c>
      <c r="FB75" s="69" t="s">
        <v>160</v>
      </c>
      <c r="FC75" s="69" t="s">
        <v>160</v>
      </c>
      <c r="FD75" s="69" t="s">
        <v>160</v>
      </c>
    </row>
    <row r="76" spans="1:160">
      <c r="A76" s="103" t="s">
        <v>477</v>
      </c>
      <c r="C76" s="50" t="s">
        <v>206</v>
      </c>
      <c r="G76" s="51" t="str">
        <f t="shared" si="10"/>
        <v>Note : (Might extend till 2024)</v>
      </c>
      <c r="H76" s="51" t="s">
        <v>2</v>
      </c>
      <c r="I76" s="64"/>
      <c r="J76" s="64"/>
      <c r="K76" s="64"/>
      <c r="L76" s="64"/>
      <c r="M76" s="64"/>
      <c r="N76" s="64" t="b">
        <f t="shared" si="11"/>
        <v>0</v>
      </c>
      <c r="O76" s="64"/>
      <c r="R76" s="51" t="s">
        <v>2</v>
      </c>
      <c r="S76" s="68" t="s">
        <v>160</v>
      </c>
      <c r="T76" s="69" t="s">
        <v>160</v>
      </c>
      <c r="U76" s="69" t="s">
        <v>160</v>
      </c>
      <c r="V76" s="69" t="s">
        <v>160</v>
      </c>
      <c r="W76" s="69" t="s">
        <v>160</v>
      </c>
      <c r="X76" s="69" t="s">
        <v>160</v>
      </c>
      <c r="Y76" s="69" t="s">
        <v>160</v>
      </c>
      <c r="Z76" s="69" t="s">
        <v>160</v>
      </c>
      <c r="AA76" s="69" t="s">
        <v>160</v>
      </c>
      <c r="AB76" s="69" t="s">
        <v>160</v>
      </c>
      <c r="AC76" s="69" t="s">
        <v>160</v>
      </c>
      <c r="AD76" s="69" t="s">
        <v>160</v>
      </c>
      <c r="AE76" s="69" t="s">
        <v>160</v>
      </c>
      <c r="AF76" s="69" t="s">
        <v>160</v>
      </c>
      <c r="AG76" s="69" t="s">
        <v>160</v>
      </c>
      <c r="AH76" s="69" t="s">
        <v>160</v>
      </c>
      <c r="AI76" s="69" t="s">
        <v>160</v>
      </c>
      <c r="AJ76" s="69" t="s">
        <v>160</v>
      </c>
      <c r="AK76" s="69" t="s">
        <v>160</v>
      </c>
      <c r="AL76" s="69" t="s">
        <v>160</v>
      </c>
      <c r="AM76" s="69" t="s">
        <v>160</v>
      </c>
      <c r="AN76" s="69" t="s">
        <v>160</v>
      </c>
      <c r="AO76" s="69" t="s">
        <v>160</v>
      </c>
      <c r="AP76" s="69" t="s">
        <v>160</v>
      </c>
      <c r="AQ76" s="69" t="s">
        <v>160</v>
      </c>
      <c r="AR76" s="69" t="s">
        <v>160</v>
      </c>
      <c r="AS76" s="69" t="s">
        <v>160</v>
      </c>
      <c r="AT76" s="69" t="s">
        <v>160</v>
      </c>
      <c r="AU76" s="69" t="s">
        <v>160</v>
      </c>
      <c r="AV76" s="69" t="s">
        <v>160</v>
      </c>
      <c r="AW76" s="69" t="s">
        <v>160</v>
      </c>
      <c r="AX76" s="69" t="s">
        <v>160</v>
      </c>
      <c r="AY76" s="69" t="s">
        <v>160</v>
      </c>
      <c r="AZ76" s="69" t="s">
        <v>160</v>
      </c>
      <c r="BA76" s="69" t="s">
        <v>160</v>
      </c>
      <c r="BB76" s="69" t="s">
        <v>160</v>
      </c>
      <c r="BC76" s="69" t="s">
        <v>160</v>
      </c>
      <c r="BD76" s="69" t="s">
        <v>160</v>
      </c>
      <c r="BE76" s="69" t="s">
        <v>160</v>
      </c>
      <c r="BF76" s="69" t="s">
        <v>160</v>
      </c>
      <c r="BG76" s="69" t="s">
        <v>160</v>
      </c>
      <c r="BH76" s="69" t="s">
        <v>160</v>
      </c>
      <c r="BI76" s="69" t="s">
        <v>160</v>
      </c>
      <c r="BJ76" s="69" t="s">
        <v>160</v>
      </c>
      <c r="BK76" s="69" t="s">
        <v>160</v>
      </c>
      <c r="BL76" s="69" t="s">
        <v>160</v>
      </c>
      <c r="BM76" s="69" t="s">
        <v>160</v>
      </c>
      <c r="BN76" s="69" t="s">
        <v>160</v>
      </c>
      <c r="BO76" s="69" t="s">
        <v>160</v>
      </c>
      <c r="BP76" s="69" t="s">
        <v>160</v>
      </c>
      <c r="BQ76" s="69" t="s">
        <v>160</v>
      </c>
      <c r="BR76" s="69" t="s">
        <v>160</v>
      </c>
      <c r="BS76" s="69" t="s">
        <v>160</v>
      </c>
      <c r="BT76" s="69" t="s">
        <v>160</v>
      </c>
      <c r="BU76" s="69" t="s">
        <v>160</v>
      </c>
      <c r="BV76" s="69" t="s">
        <v>160</v>
      </c>
      <c r="BW76" s="69" t="s">
        <v>160</v>
      </c>
      <c r="BX76" s="69" t="s">
        <v>160</v>
      </c>
      <c r="BY76" s="69" t="s">
        <v>160</v>
      </c>
      <c r="BZ76" s="69" t="s">
        <v>160</v>
      </c>
      <c r="CA76" s="69" t="s">
        <v>160</v>
      </c>
      <c r="CB76" s="69" t="s">
        <v>160</v>
      </c>
      <c r="CC76" s="69" t="s">
        <v>160</v>
      </c>
      <c r="CD76" s="69" t="s">
        <v>160</v>
      </c>
      <c r="CE76" s="69" t="s">
        <v>160</v>
      </c>
      <c r="CF76" s="69" t="s">
        <v>160</v>
      </c>
      <c r="CG76" s="69" t="s">
        <v>160</v>
      </c>
      <c r="CH76" s="69" t="s">
        <v>160</v>
      </c>
      <c r="CI76" s="69" t="s">
        <v>160</v>
      </c>
      <c r="CJ76" s="69" t="s">
        <v>160</v>
      </c>
      <c r="CK76" s="69" t="s">
        <v>160</v>
      </c>
      <c r="CL76" s="69" t="s">
        <v>160</v>
      </c>
      <c r="CM76" s="69" t="s">
        <v>160</v>
      </c>
      <c r="CN76" s="69" t="s">
        <v>160</v>
      </c>
      <c r="CO76" s="69" t="s">
        <v>160</v>
      </c>
      <c r="CP76" s="69" t="s">
        <v>160</v>
      </c>
      <c r="CQ76" s="69" t="s">
        <v>160</v>
      </c>
      <c r="CR76" s="69" t="s">
        <v>160</v>
      </c>
      <c r="CS76" s="69" t="s">
        <v>160</v>
      </c>
      <c r="CT76" s="69" t="s">
        <v>160</v>
      </c>
      <c r="CU76" s="69" t="s">
        <v>160</v>
      </c>
      <c r="CV76" s="69" t="s">
        <v>160</v>
      </c>
      <c r="CW76" s="69" t="s">
        <v>160</v>
      </c>
      <c r="CX76" s="69" t="s">
        <v>160</v>
      </c>
      <c r="CY76" s="69" t="s">
        <v>160</v>
      </c>
      <c r="CZ76" s="69" t="s">
        <v>160</v>
      </c>
      <c r="DA76" s="69" t="s">
        <v>160</v>
      </c>
      <c r="DB76" s="69" t="s">
        <v>160</v>
      </c>
      <c r="DC76" s="69" t="s">
        <v>160</v>
      </c>
      <c r="DD76" s="69" t="s">
        <v>160</v>
      </c>
      <c r="DE76" s="69" t="s">
        <v>160</v>
      </c>
      <c r="DF76" s="69" t="s">
        <v>160</v>
      </c>
      <c r="DG76" s="69" t="s">
        <v>160</v>
      </c>
      <c r="DH76" s="69" t="s">
        <v>160</v>
      </c>
      <c r="DI76" s="69" t="s">
        <v>160</v>
      </c>
      <c r="DJ76" s="69" t="s">
        <v>160</v>
      </c>
      <c r="DK76" s="69" t="s">
        <v>160</v>
      </c>
      <c r="DL76" s="69" t="s">
        <v>160</v>
      </c>
      <c r="DM76" s="69" t="s">
        <v>160</v>
      </c>
      <c r="DN76" s="69" t="s">
        <v>160</v>
      </c>
      <c r="DO76" s="69" t="s">
        <v>160</v>
      </c>
      <c r="DP76" s="69" t="s">
        <v>160</v>
      </c>
      <c r="DQ76" s="69" t="s">
        <v>160</v>
      </c>
      <c r="DR76" s="69" t="s">
        <v>160</v>
      </c>
      <c r="DS76" s="69" t="s">
        <v>160</v>
      </c>
      <c r="DT76" s="69" t="s">
        <v>160</v>
      </c>
      <c r="DU76" s="69" t="s">
        <v>160</v>
      </c>
      <c r="DV76" s="69" t="s">
        <v>160</v>
      </c>
      <c r="DW76" s="69" t="s">
        <v>160</v>
      </c>
      <c r="DX76" s="69" t="s">
        <v>160</v>
      </c>
      <c r="DY76" s="69" t="s">
        <v>160</v>
      </c>
      <c r="DZ76" s="69" t="s">
        <v>160</v>
      </c>
      <c r="EA76" s="69" t="s">
        <v>160</v>
      </c>
      <c r="EB76" s="69" t="s">
        <v>160</v>
      </c>
      <c r="EC76" s="69" t="s">
        <v>160</v>
      </c>
      <c r="ED76" s="69" t="s">
        <v>160</v>
      </c>
      <c r="EE76" s="69" t="s">
        <v>160</v>
      </c>
      <c r="EF76" s="69" t="s">
        <v>160</v>
      </c>
      <c r="EG76" s="69" t="s">
        <v>160</v>
      </c>
      <c r="EH76" s="69" t="s">
        <v>160</v>
      </c>
      <c r="EI76" s="69" t="s">
        <v>160</v>
      </c>
      <c r="EJ76" s="69" t="s">
        <v>160</v>
      </c>
      <c r="EK76" s="69" t="s">
        <v>160</v>
      </c>
      <c r="EL76" s="69" t="s">
        <v>160</v>
      </c>
      <c r="EM76" s="69" t="s">
        <v>160</v>
      </c>
      <c r="EN76" s="69" t="s">
        <v>160</v>
      </c>
      <c r="EO76" s="69" t="s">
        <v>160</v>
      </c>
      <c r="EP76" s="69" t="s">
        <v>160</v>
      </c>
      <c r="EQ76" s="69" t="s">
        <v>160</v>
      </c>
      <c r="ER76" s="69" t="s">
        <v>160</v>
      </c>
      <c r="ES76" s="69" t="s">
        <v>160</v>
      </c>
      <c r="ET76" s="69" t="s">
        <v>160</v>
      </c>
      <c r="EU76" s="69" t="s">
        <v>160</v>
      </c>
      <c r="EV76" s="69" t="s">
        <v>160</v>
      </c>
      <c r="EW76" s="69" t="s">
        <v>160</v>
      </c>
      <c r="EX76" s="69" t="s">
        <v>160</v>
      </c>
      <c r="EY76" s="69" t="s">
        <v>160</v>
      </c>
      <c r="EZ76" s="69" t="s">
        <v>160</v>
      </c>
      <c r="FA76" s="69" t="s">
        <v>160</v>
      </c>
      <c r="FB76" s="69" t="s">
        <v>160</v>
      </c>
      <c r="FC76" s="69" t="s">
        <v>160</v>
      </c>
      <c r="FD76" s="69" t="s">
        <v>160</v>
      </c>
    </row>
    <row r="77" spans="1:160">
      <c r="A77" s="103" t="s">
        <v>478</v>
      </c>
      <c r="B77" s="20" t="s">
        <v>163</v>
      </c>
      <c r="C77" s="91" t="s">
        <v>171</v>
      </c>
      <c r="G77" s="51" t="str">
        <f t="shared" si="10"/>
        <v>Technical design document explaining the data schema and algorithm</v>
      </c>
      <c r="H77" s="51" t="s">
        <v>2</v>
      </c>
      <c r="I77" s="64">
        <v>45017</v>
      </c>
      <c r="J77" s="64">
        <v>45169</v>
      </c>
      <c r="K77" s="64"/>
      <c r="L77" s="64"/>
      <c r="M77" s="64"/>
      <c r="N77" s="64" t="b">
        <f t="shared" si="11"/>
        <v>0</v>
      </c>
      <c r="O77" s="64"/>
      <c r="P77" s="24">
        <v>0</v>
      </c>
      <c r="R77" s="51" t="s">
        <v>2</v>
      </c>
      <c r="S77" s="68" t="s">
        <v>160</v>
      </c>
      <c r="T77" s="69" t="s">
        <v>160</v>
      </c>
      <c r="U77" s="69" t="s">
        <v>160</v>
      </c>
      <c r="V77" s="69" t="s">
        <v>160</v>
      </c>
      <c r="W77" s="69" t="s">
        <v>160</v>
      </c>
      <c r="X77" s="69" t="s">
        <v>160</v>
      </c>
      <c r="Y77" s="69" t="s">
        <v>160</v>
      </c>
      <c r="Z77" s="69" t="s">
        <v>160</v>
      </c>
      <c r="AA77" s="69" t="s">
        <v>160</v>
      </c>
      <c r="AB77" s="69" t="s">
        <v>160</v>
      </c>
      <c r="AC77" s="69" t="s">
        <v>160</v>
      </c>
      <c r="AD77" s="69" t="s">
        <v>160</v>
      </c>
      <c r="AE77" s="69" t="s">
        <v>160</v>
      </c>
      <c r="AF77" s="69" t="s">
        <v>160</v>
      </c>
      <c r="AG77" s="69" t="s">
        <v>160</v>
      </c>
      <c r="AH77" s="69" t="s">
        <v>160</v>
      </c>
      <c r="AI77" s="69" t="s">
        <v>160</v>
      </c>
      <c r="AJ77" s="69" t="s">
        <v>160</v>
      </c>
      <c r="AK77" s="69" t="s">
        <v>160</v>
      </c>
      <c r="AL77" s="69" t="s">
        <v>160</v>
      </c>
      <c r="AM77" s="69" t="s">
        <v>160</v>
      </c>
      <c r="AN77" s="69" t="s">
        <v>160</v>
      </c>
      <c r="AO77" s="69" t="s">
        <v>160</v>
      </c>
      <c r="AP77" s="69" t="s">
        <v>160</v>
      </c>
      <c r="AQ77" s="69" t="s">
        <v>160</v>
      </c>
      <c r="AR77" s="69" t="s">
        <v>160</v>
      </c>
      <c r="AS77" s="69" t="s">
        <v>160</v>
      </c>
      <c r="AT77" s="69" t="s">
        <v>160</v>
      </c>
      <c r="AU77" s="69" t="s">
        <v>160</v>
      </c>
      <c r="AV77" s="69" t="s">
        <v>160</v>
      </c>
      <c r="AW77" s="69" t="s">
        <v>160</v>
      </c>
      <c r="AX77" s="69" t="s">
        <v>160</v>
      </c>
      <c r="AY77" s="69" t="s">
        <v>160</v>
      </c>
      <c r="AZ77" s="69" t="s">
        <v>160</v>
      </c>
      <c r="BA77" s="69" t="s">
        <v>160</v>
      </c>
      <c r="BB77" s="69" t="s">
        <v>160</v>
      </c>
      <c r="BC77" s="69" t="s">
        <v>160</v>
      </c>
      <c r="BD77" s="69" t="s">
        <v>160</v>
      </c>
      <c r="BE77" s="69" t="s">
        <v>160</v>
      </c>
      <c r="BF77" s="69" t="s">
        <v>160</v>
      </c>
      <c r="BG77" s="69" t="s">
        <v>160</v>
      </c>
      <c r="BH77" s="69" t="s">
        <v>160</v>
      </c>
      <c r="BI77" s="69" t="s">
        <v>160</v>
      </c>
      <c r="BJ77" s="69" t="s">
        <v>160</v>
      </c>
      <c r="BK77" s="69" t="s">
        <v>160</v>
      </c>
      <c r="BL77" s="69" t="s">
        <v>160</v>
      </c>
      <c r="BM77" s="69" t="s">
        <v>160</v>
      </c>
      <c r="BN77" s="69" t="s">
        <v>160</v>
      </c>
      <c r="BO77" s="69" t="s">
        <v>160</v>
      </c>
      <c r="BP77" s="69" t="s">
        <v>160</v>
      </c>
      <c r="BQ77" s="69" t="s">
        <v>160</v>
      </c>
      <c r="BR77" s="69" t="s">
        <v>160</v>
      </c>
      <c r="BS77" s="69" t="s">
        <v>160</v>
      </c>
      <c r="BT77" s="69" t="s">
        <v>160</v>
      </c>
      <c r="BU77" s="69" t="s">
        <v>160</v>
      </c>
      <c r="BV77" s="69" t="s">
        <v>160</v>
      </c>
      <c r="BW77" s="69" t="s">
        <v>160</v>
      </c>
      <c r="BX77" s="69" t="s">
        <v>160</v>
      </c>
      <c r="BY77" s="69" t="s">
        <v>160</v>
      </c>
      <c r="BZ77" s="69" t="s">
        <v>160</v>
      </c>
      <c r="CA77" s="69" t="s">
        <v>160</v>
      </c>
      <c r="CB77" s="69" t="s">
        <v>160</v>
      </c>
      <c r="CC77" s="69" t="s">
        <v>160</v>
      </c>
      <c r="CD77" s="69" t="s">
        <v>160</v>
      </c>
      <c r="CE77" s="69" t="s">
        <v>160</v>
      </c>
      <c r="CF77" s="69" t="s">
        <v>160</v>
      </c>
      <c r="CG77" s="69" t="s">
        <v>160</v>
      </c>
      <c r="CH77" s="69" t="s">
        <v>160</v>
      </c>
      <c r="CI77" s="69" t="s">
        <v>160</v>
      </c>
      <c r="CJ77" s="69" t="s">
        <v>160</v>
      </c>
      <c r="CK77" s="69" t="s">
        <v>160</v>
      </c>
      <c r="CL77" s="69" t="s">
        <v>160</v>
      </c>
      <c r="CM77" s="69" t="s">
        <v>160</v>
      </c>
      <c r="CN77" s="69" t="s">
        <v>160</v>
      </c>
      <c r="CO77" s="69" t="s">
        <v>160</v>
      </c>
      <c r="CP77" s="69" t="s">
        <v>160</v>
      </c>
      <c r="CQ77" s="69" t="s">
        <v>160</v>
      </c>
      <c r="CR77" s="69" t="s">
        <v>160</v>
      </c>
      <c r="CS77" s="69" t="s">
        <v>160</v>
      </c>
      <c r="CT77" s="69" t="s">
        <v>160</v>
      </c>
      <c r="CU77" s="69" t="s">
        <v>160</v>
      </c>
      <c r="CV77" s="69" t="s">
        <v>160</v>
      </c>
      <c r="CW77" s="69" t="s">
        <v>160</v>
      </c>
      <c r="CX77" s="69" t="s">
        <v>160</v>
      </c>
      <c r="CY77" s="69" t="s">
        <v>160</v>
      </c>
      <c r="CZ77" s="69" t="s">
        <v>160</v>
      </c>
      <c r="DA77" s="69" t="s">
        <v>160</v>
      </c>
      <c r="DB77" s="69" t="s">
        <v>160</v>
      </c>
      <c r="DC77" s="69" t="s">
        <v>160</v>
      </c>
      <c r="DD77" s="69" t="s">
        <v>160</v>
      </c>
      <c r="DE77" s="69" t="s">
        <v>160</v>
      </c>
      <c r="DF77" s="69" t="s">
        <v>160</v>
      </c>
      <c r="DG77" s="69" t="s">
        <v>160</v>
      </c>
      <c r="DH77" s="69" t="s">
        <v>160</v>
      </c>
      <c r="DI77" s="69" t="s">
        <v>160</v>
      </c>
      <c r="DJ77" s="69" t="s">
        <v>160</v>
      </c>
      <c r="DK77" s="69" t="s">
        <v>160</v>
      </c>
      <c r="DL77" s="69" t="s">
        <v>160</v>
      </c>
      <c r="DM77" s="69" t="s">
        <v>160</v>
      </c>
      <c r="DN77" s="69" t="s">
        <v>160</v>
      </c>
      <c r="DO77" s="69" t="s">
        <v>160</v>
      </c>
      <c r="DP77" s="69" t="s">
        <v>160</v>
      </c>
      <c r="DQ77" s="69" t="s">
        <v>160</v>
      </c>
      <c r="DR77" s="69" t="s">
        <v>160</v>
      </c>
      <c r="DS77" s="69" t="s">
        <v>160</v>
      </c>
      <c r="DT77" s="69" t="s">
        <v>160</v>
      </c>
      <c r="DU77" s="69" t="s">
        <v>160</v>
      </c>
      <c r="DV77" s="69" t="s">
        <v>160</v>
      </c>
      <c r="DW77" s="69" t="s">
        <v>160</v>
      </c>
      <c r="DX77" s="69" t="s">
        <v>160</v>
      </c>
      <c r="DY77" s="69" t="s">
        <v>160</v>
      </c>
      <c r="DZ77" s="69" t="s">
        <v>160</v>
      </c>
      <c r="EA77" s="69" t="s">
        <v>160</v>
      </c>
      <c r="EB77" s="69" t="s">
        <v>160</v>
      </c>
      <c r="EC77" s="69" t="s">
        <v>160</v>
      </c>
      <c r="ED77" s="69" t="s">
        <v>160</v>
      </c>
      <c r="EE77" s="69" t="s">
        <v>160</v>
      </c>
      <c r="EF77" s="69" t="s">
        <v>160</v>
      </c>
      <c r="EG77" s="69" t="s">
        <v>160</v>
      </c>
      <c r="EH77" s="69" t="s">
        <v>160</v>
      </c>
      <c r="EI77" s="69" t="s">
        <v>160</v>
      </c>
      <c r="EJ77" s="69" t="s">
        <v>160</v>
      </c>
      <c r="EK77" s="69" t="s">
        <v>160</v>
      </c>
      <c r="EL77" s="69" t="s">
        <v>160</v>
      </c>
      <c r="EM77" s="69" t="s">
        <v>160</v>
      </c>
      <c r="EN77" s="69" t="s">
        <v>160</v>
      </c>
      <c r="EO77" s="69" t="s">
        <v>160</v>
      </c>
      <c r="EP77" s="69" t="s">
        <v>160</v>
      </c>
      <c r="EQ77" s="69" t="s">
        <v>160</v>
      </c>
      <c r="ER77" s="69" t="s">
        <v>160</v>
      </c>
      <c r="ES77" s="69" t="s">
        <v>160</v>
      </c>
      <c r="ET77" s="69" t="s">
        <v>160</v>
      </c>
      <c r="EU77" s="69" t="s">
        <v>160</v>
      </c>
      <c r="EV77" s="69" t="s">
        <v>160</v>
      </c>
      <c r="EW77" s="69" t="s">
        <v>160</v>
      </c>
      <c r="EX77" s="69" t="s">
        <v>160</v>
      </c>
      <c r="EY77" s="69" t="s">
        <v>160</v>
      </c>
      <c r="EZ77" s="69" t="s">
        <v>160</v>
      </c>
      <c r="FA77" s="69" t="s">
        <v>160</v>
      </c>
      <c r="FB77" s="69" t="s">
        <v>160</v>
      </c>
      <c r="FC77" s="69" t="s">
        <v>160</v>
      </c>
      <c r="FD77" s="69" t="s">
        <v>160</v>
      </c>
    </row>
    <row r="78" spans="1:160">
      <c r="A78" s="103" t="s">
        <v>479</v>
      </c>
      <c r="B78" s="20" t="s">
        <v>163</v>
      </c>
      <c r="C78" s="91" t="s">
        <v>172</v>
      </c>
      <c r="G78" s="51" t="str">
        <f t="shared" si="10"/>
        <v>Software Code</v>
      </c>
      <c r="H78" s="51" t="s">
        <v>2</v>
      </c>
      <c r="I78" s="64">
        <v>45017</v>
      </c>
      <c r="J78" s="64">
        <v>45169</v>
      </c>
      <c r="K78" s="64"/>
      <c r="L78" s="64"/>
      <c r="M78" s="64"/>
      <c r="N78" s="64" t="b">
        <f t="shared" si="11"/>
        <v>0</v>
      </c>
      <c r="O78" s="64"/>
      <c r="P78" s="24">
        <v>0</v>
      </c>
      <c r="R78" s="51" t="s">
        <v>2</v>
      </c>
      <c r="S78" s="68" t="s">
        <v>160</v>
      </c>
      <c r="T78" s="69" t="s">
        <v>160</v>
      </c>
      <c r="U78" s="69" t="s">
        <v>160</v>
      </c>
      <c r="V78" s="69" t="s">
        <v>160</v>
      </c>
      <c r="W78" s="69" t="s">
        <v>160</v>
      </c>
      <c r="X78" s="69" t="s">
        <v>160</v>
      </c>
      <c r="Y78" s="69" t="s">
        <v>160</v>
      </c>
      <c r="Z78" s="69" t="s">
        <v>160</v>
      </c>
      <c r="AA78" s="69" t="s">
        <v>160</v>
      </c>
      <c r="AB78" s="69" t="s">
        <v>160</v>
      </c>
      <c r="AC78" s="69" t="s">
        <v>160</v>
      </c>
      <c r="AD78" s="69" t="s">
        <v>160</v>
      </c>
      <c r="AE78" s="69" t="s">
        <v>160</v>
      </c>
      <c r="AF78" s="69" t="s">
        <v>160</v>
      </c>
      <c r="AG78" s="69" t="s">
        <v>160</v>
      </c>
      <c r="AH78" s="69" t="s">
        <v>160</v>
      </c>
      <c r="AI78" s="69" t="s">
        <v>160</v>
      </c>
      <c r="AJ78" s="69" t="s">
        <v>160</v>
      </c>
      <c r="AK78" s="69" t="s">
        <v>160</v>
      </c>
      <c r="AL78" s="69" t="s">
        <v>160</v>
      </c>
      <c r="AM78" s="69" t="s">
        <v>160</v>
      </c>
      <c r="AN78" s="69" t="s">
        <v>160</v>
      </c>
      <c r="AO78" s="69" t="s">
        <v>160</v>
      </c>
      <c r="AP78" s="69" t="s">
        <v>160</v>
      </c>
      <c r="AQ78" s="69" t="s">
        <v>160</v>
      </c>
      <c r="AR78" s="69" t="s">
        <v>160</v>
      </c>
      <c r="AS78" s="69" t="s">
        <v>160</v>
      </c>
      <c r="AT78" s="69" t="s">
        <v>160</v>
      </c>
      <c r="AU78" s="69" t="s">
        <v>160</v>
      </c>
      <c r="AV78" s="69" t="s">
        <v>160</v>
      </c>
      <c r="AW78" s="69" t="s">
        <v>160</v>
      </c>
      <c r="AX78" s="69" t="s">
        <v>160</v>
      </c>
      <c r="AY78" s="69" t="s">
        <v>160</v>
      </c>
      <c r="AZ78" s="69" t="s">
        <v>160</v>
      </c>
      <c r="BA78" s="69" t="s">
        <v>160</v>
      </c>
      <c r="BB78" s="69" t="s">
        <v>160</v>
      </c>
      <c r="BC78" s="69" t="s">
        <v>160</v>
      </c>
      <c r="BD78" s="69" t="s">
        <v>160</v>
      </c>
      <c r="BE78" s="69" t="s">
        <v>160</v>
      </c>
      <c r="BF78" s="69" t="s">
        <v>160</v>
      </c>
      <c r="BG78" s="69" t="s">
        <v>160</v>
      </c>
      <c r="BH78" s="69" t="s">
        <v>160</v>
      </c>
      <c r="BI78" s="69" t="s">
        <v>160</v>
      </c>
      <c r="BJ78" s="69" t="s">
        <v>160</v>
      </c>
      <c r="BK78" s="69" t="s">
        <v>160</v>
      </c>
      <c r="BL78" s="69" t="s">
        <v>160</v>
      </c>
      <c r="BM78" s="69" t="s">
        <v>160</v>
      </c>
      <c r="BN78" s="69" t="s">
        <v>160</v>
      </c>
      <c r="BO78" s="69" t="s">
        <v>160</v>
      </c>
      <c r="BP78" s="69" t="s">
        <v>160</v>
      </c>
      <c r="BQ78" s="69" t="s">
        <v>160</v>
      </c>
      <c r="BR78" s="69" t="s">
        <v>160</v>
      </c>
      <c r="BS78" s="69" t="s">
        <v>160</v>
      </c>
      <c r="BT78" s="69" t="s">
        <v>160</v>
      </c>
      <c r="BU78" s="69" t="s">
        <v>160</v>
      </c>
      <c r="BV78" s="69" t="s">
        <v>160</v>
      </c>
      <c r="BW78" s="69" t="s">
        <v>160</v>
      </c>
      <c r="BX78" s="69" t="s">
        <v>160</v>
      </c>
      <c r="BY78" s="69" t="s">
        <v>160</v>
      </c>
      <c r="BZ78" s="69" t="s">
        <v>160</v>
      </c>
      <c r="CA78" s="69" t="s">
        <v>160</v>
      </c>
      <c r="CB78" s="69" t="s">
        <v>160</v>
      </c>
      <c r="CC78" s="69" t="s">
        <v>160</v>
      </c>
      <c r="CD78" s="69" t="s">
        <v>160</v>
      </c>
      <c r="CE78" s="69" t="s">
        <v>160</v>
      </c>
      <c r="CF78" s="69" t="s">
        <v>160</v>
      </c>
      <c r="CG78" s="69" t="s">
        <v>160</v>
      </c>
      <c r="CH78" s="69" t="s">
        <v>160</v>
      </c>
      <c r="CI78" s="69" t="s">
        <v>160</v>
      </c>
      <c r="CJ78" s="69" t="s">
        <v>160</v>
      </c>
      <c r="CK78" s="69" t="s">
        <v>160</v>
      </c>
      <c r="CL78" s="69" t="s">
        <v>160</v>
      </c>
      <c r="CM78" s="69" t="s">
        <v>160</v>
      </c>
      <c r="CN78" s="69" t="s">
        <v>160</v>
      </c>
      <c r="CO78" s="69" t="s">
        <v>160</v>
      </c>
      <c r="CP78" s="69" t="s">
        <v>160</v>
      </c>
      <c r="CQ78" s="69" t="s">
        <v>160</v>
      </c>
      <c r="CR78" s="69" t="s">
        <v>160</v>
      </c>
      <c r="CS78" s="69" t="s">
        <v>160</v>
      </c>
      <c r="CT78" s="69" t="s">
        <v>160</v>
      </c>
      <c r="CU78" s="69" t="s">
        <v>160</v>
      </c>
      <c r="CV78" s="69" t="s">
        <v>160</v>
      </c>
      <c r="CW78" s="69" t="s">
        <v>160</v>
      </c>
      <c r="CX78" s="69" t="s">
        <v>160</v>
      </c>
      <c r="CY78" s="69" t="s">
        <v>160</v>
      </c>
      <c r="CZ78" s="69" t="s">
        <v>160</v>
      </c>
      <c r="DA78" s="69" t="s">
        <v>160</v>
      </c>
      <c r="DB78" s="69" t="s">
        <v>160</v>
      </c>
      <c r="DC78" s="69" t="s">
        <v>160</v>
      </c>
      <c r="DD78" s="69" t="s">
        <v>160</v>
      </c>
      <c r="DE78" s="69" t="s">
        <v>160</v>
      </c>
      <c r="DF78" s="69" t="s">
        <v>160</v>
      </c>
      <c r="DG78" s="69" t="s">
        <v>160</v>
      </c>
      <c r="DH78" s="69" t="s">
        <v>160</v>
      </c>
      <c r="DI78" s="69" t="s">
        <v>160</v>
      </c>
      <c r="DJ78" s="69" t="s">
        <v>160</v>
      </c>
      <c r="DK78" s="69" t="s">
        <v>160</v>
      </c>
      <c r="DL78" s="69" t="s">
        <v>160</v>
      </c>
      <c r="DM78" s="69" t="s">
        <v>160</v>
      </c>
      <c r="DN78" s="69" t="s">
        <v>160</v>
      </c>
      <c r="DO78" s="69" t="s">
        <v>160</v>
      </c>
      <c r="DP78" s="69" t="s">
        <v>160</v>
      </c>
      <c r="DQ78" s="69" t="s">
        <v>160</v>
      </c>
      <c r="DR78" s="69" t="s">
        <v>160</v>
      </c>
      <c r="DS78" s="69" t="s">
        <v>160</v>
      </c>
      <c r="DT78" s="69" t="s">
        <v>160</v>
      </c>
      <c r="DU78" s="69" t="s">
        <v>160</v>
      </c>
      <c r="DV78" s="69" t="s">
        <v>160</v>
      </c>
      <c r="DW78" s="69" t="s">
        <v>160</v>
      </c>
      <c r="DX78" s="69" t="s">
        <v>160</v>
      </c>
      <c r="DY78" s="69" t="s">
        <v>160</v>
      </c>
      <c r="DZ78" s="69" t="s">
        <v>160</v>
      </c>
      <c r="EA78" s="69" t="s">
        <v>160</v>
      </c>
      <c r="EB78" s="69" t="s">
        <v>160</v>
      </c>
      <c r="EC78" s="69" t="s">
        <v>160</v>
      </c>
      <c r="ED78" s="69" t="s">
        <v>160</v>
      </c>
      <c r="EE78" s="69" t="s">
        <v>160</v>
      </c>
      <c r="EF78" s="69" t="s">
        <v>160</v>
      </c>
      <c r="EG78" s="69" t="s">
        <v>160</v>
      </c>
      <c r="EH78" s="69" t="s">
        <v>160</v>
      </c>
      <c r="EI78" s="69" t="s">
        <v>160</v>
      </c>
      <c r="EJ78" s="69" t="s">
        <v>160</v>
      </c>
      <c r="EK78" s="69" t="s">
        <v>160</v>
      </c>
      <c r="EL78" s="69" t="s">
        <v>160</v>
      </c>
      <c r="EM78" s="69" t="s">
        <v>160</v>
      </c>
      <c r="EN78" s="69" t="s">
        <v>160</v>
      </c>
      <c r="EO78" s="69" t="s">
        <v>160</v>
      </c>
      <c r="EP78" s="69" t="s">
        <v>160</v>
      </c>
      <c r="EQ78" s="69" t="s">
        <v>160</v>
      </c>
      <c r="ER78" s="69" t="s">
        <v>160</v>
      </c>
      <c r="ES78" s="69" t="s">
        <v>160</v>
      </c>
      <c r="ET78" s="69" t="s">
        <v>160</v>
      </c>
      <c r="EU78" s="69" t="s">
        <v>160</v>
      </c>
      <c r="EV78" s="69" t="s">
        <v>160</v>
      </c>
      <c r="EW78" s="69" t="s">
        <v>160</v>
      </c>
      <c r="EX78" s="69" t="s">
        <v>160</v>
      </c>
      <c r="EY78" s="69" t="s">
        <v>160</v>
      </c>
      <c r="EZ78" s="69" t="s">
        <v>160</v>
      </c>
      <c r="FA78" s="69" t="s">
        <v>160</v>
      </c>
      <c r="FB78" s="69" t="s">
        <v>160</v>
      </c>
      <c r="FC78" s="69" t="s">
        <v>160</v>
      </c>
      <c r="FD78" s="69" t="s">
        <v>160</v>
      </c>
    </row>
    <row r="79" spans="1:160">
      <c r="A79" s="103" t="s">
        <v>480</v>
      </c>
      <c r="B79" s="20" t="s">
        <v>163</v>
      </c>
      <c r="C79" s="91" t="s">
        <v>173</v>
      </c>
      <c r="G79" s="51" t="str">
        <f t="shared" si="10"/>
        <v>Deployment Procedure of the code</v>
      </c>
      <c r="H79" s="51" t="s">
        <v>2</v>
      </c>
      <c r="I79" s="64">
        <v>45017</v>
      </c>
      <c r="J79" s="64">
        <v>45169</v>
      </c>
      <c r="K79" s="64"/>
      <c r="L79" s="64"/>
      <c r="M79" s="64"/>
      <c r="N79" s="64" t="b">
        <f t="shared" si="11"/>
        <v>0</v>
      </c>
      <c r="O79" s="64"/>
      <c r="P79" s="24">
        <v>0</v>
      </c>
      <c r="R79" s="51" t="s">
        <v>2</v>
      </c>
      <c r="S79" s="68" t="s">
        <v>160</v>
      </c>
      <c r="T79" s="69" t="s">
        <v>160</v>
      </c>
      <c r="U79" s="69" t="s">
        <v>160</v>
      </c>
      <c r="V79" s="69" t="s">
        <v>160</v>
      </c>
      <c r="W79" s="69" t="s">
        <v>160</v>
      </c>
      <c r="X79" s="69" t="s">
        <v>160</v>
      </c>
      <c r="Y79" s="69" t="s">
        <v>160</v>
      </c>
      <c r="Z79" s="69" t="s">
        <v>160</v>
      </c>
      <c r="AA79" s="69" t="s">
        <v>160</v>
      </c>
      <c r="AB79" s="69" t="s">
        <v>160</v>
      </c>
      <c r="AC79" s="69" t="s">
        <v>160</v>
      </c>
      <c r="AD79" s="69" t="s">
        <v>160</v>
      </c>
      <c r="AE79" s="69" t="s">
        <v>160</v>
      </c>
      <c r="AF79" s="69" t="s">
        <v>160</v>
      </c>
      <c r="AG79" s="69" t="s">
        <v>160</v>
      </c>
      <c r="AH79" s="69" t="s">
        <v>160</v>
      </c>
      <c r="AI79" s="69" t="s">
        <v>160</v>
      </c>
      <c r="AJ79" s="69" t="s">
        <v>160</v>
      </c>
      <c r="AK79" s="69" t="s">
        <v>160</v>
      </c>
      <c r="AL79" s="69" t="s">
        <v>160</v>
      </c>
      <c r="AM79" s="69" t="s">
        <v>160</v>
      </c>
      <c r="AN79" s="69" t="s">
        <v>160</v>
      </c>
      <c r="AO79" s="69" t="s">
        <v>160</v>
      </c>
      <c r="AP79" s="69" t="s">
        <v>160</v>
      </c>
      <c r="AQ79" s="69" t="s">
        <v>160</v>
      </c>
      <c r="AR79" s="69" t="s">
        <v>160</v>
      </c>
      <c r="AS79" s="69" t="s">
        <v>160</v>
      </c>
      <c r="AT79" s="69" t="s">
        <v>160</v>
      </c>
      <c r="AU79" s="69" t="s">
        <v>160</v>
      </c>
      <c r="AV79" s="69" t="s">
        <v>160</v>
      </c>
      <c r="AW79" s="69" t="s">
        <v>160</v>
      </c>
      <c r="AX79" s="69" t="s">
        <v>160</v>
      </c>
      <c r="AY79" s="69" t="s">
        <v>160</v>
      </c>
      <c r="AZ79" s="69" t="s">
        <v>160</v>
      </c>
      <c r="BA79" s="69" t="s">
        <v>160</v>
      </c>
      <c r="BB79" s="69" t="s">
        <v>160</v>
      </c>
      <c r="BC79" s="69" t="s">
        <v>160</v>
      </c>
      <c r="BD79" s="69" t="s">
        <v>160</v>
      </c>
      <c r="BE79" s="69" t="s">
        <v>160</v>
      </c>
      <c r="BF79" s="69" t="s">
        <v>160</v>
      </c>
      <c r="BG79" s="69" t="s">
        <v>160</v>
      </c>
      <c r="BH79" s="69" t="s">
        <v>160</v>
      </c>
      <c r="BI79" s="69" t="s">
        <v>160</v>
      </c>
      <c r="BJ79" s="69" t="s">
        <v>160</v>
      </c>
      <c r="BK79" s="69" t="s">
        <v>160</v>
      </c>
      <c r="BL79" s="69" t="s">
        <v>160</v>
      </c>
      <c r="BM79" s="69" t="s">
        <v>160</v>
      </c>
      <c r="BN79" s="69" t="s">
        <v>160</v>
      </c>
      <c r="BO79" s="69" t="s">
        <v>160</v>
      </c>
      <c r="BP79" s="69" t="s">
        <v>160</v>
      </c>
      <c r="BQ79" s="69" t="s">
        <v>160</v>
      </c>
      <c r="BR79" s="69" t="s">
        <v>160</v>
      </c>
      <c r="BS79" s="69" t="s">
        <v>160</v>
      </c>
      <c r="BT79" s="69" t="s">
        <v>160</v>
      </c>
      <c r="BU79" s="69" t="s">
        <v>160</v>
      </c>
      <c r="BV79" s="69" t="s">
        <v>160</v>
      </c>
      <c r="BW79" s="69" t="s">
        <v>160</v>
      </c>
      <c r="BX79" s="69" t="s">
        <v>160</v>
      </c>
      <c r="BY79" s="69" t="s">
        <v>160</v>
      </c>
      <c r="BZ79" s="69" t="s">
        <v>160</v>
      </c>
      <c r="CA79" s="69" t="s">
        <v>160</v>
      </c>
      <c r="CB79" s="69" t="s">
        <v>160</v>
      </c>
      <c r="CC79" s="69" t="s">
        <v>160</v>
      </c>
      <c r="CD79" s="69" t="s">
        <v>160</v>
      </c>
      <c r="CE79" s="69" t="s">
        <v>160</v>
      </c>
      <c r="CF79" s="69" t="s">
        <v>160</v>
      </c>
      <c r="CG79" s="69" t="s">
        <v>160</v>
      </c>
      <c r="CH79" s="69" t="s">
        <v>160</v>
      </c>
      <c r="CI79" s="69" t="s">
        <v>160</v>
      </c>
      <c r="CJ79" s="69" t="s">
        <v>160</v>
      </c>
      <c r="CK79" s="69" t="s">
        <v>160</v>
      </c>
      <c r="CL79" s="69" t="s">
        <v>160</v>
      </c>
      <c r="CM79" s="69" t="s">
        <v>160</v>
      </c>
      <c r="CN79" s="69" t="s">
        <v>160</v>
      </c>
      <c r="CO79" s="69" t="s">
        <v>160</v>
      </c>
      <c r="CP79" s="69" t="s">
        <v>160</v>
      </c>
      <c r="CQ79" s="69" t="s">
        <v>160</v>
      </c>
      <c r="CR79" s="69" t="s">
        <v>160</v>
      </c>
      <c r="CS79" s="69" t="s">
        <v>160</v>
      </c>
      <c r="CT79" s="69" t="s">
        <v>160</v>
      </c>
      <c r="CU79" s="69" t="s">
        <v>160</v>
      </c>
      <c r="CV79" s="69" t="s">
        <v>160</v>
      </c>
      <c r="CW79" s="69" t="s">
        <v>160</v>
      </c>
      <c r="CX79" s="69" t="s">
        <v>160</v>
      </c>
      <c r="CY79" s="69" t="s">
        <v>160</v>
      </c>
      <c r="CZ79" s="69" t="s">
        <v>160</v>
      </c>
      <c r="DA79" s="69" t="s">
        <v>160</v>
      </c>
      <c r="DB79" s="69" t="s">
        <v>160</v>
      </c>
      <c r="DC79" s="69" t="s">
        <v>160</v>
      </c>
      <c r="DD79" s="69" t="s">
        <v>160</v>
      </c>
      <c r="DE79" s="69" t="s">
        <v>160</v>
      </c>
      <c r="DF79" s="69" t="s">
        <v>160</v>
      </c>
      <c r="DG79" s="69" t="s">
        <v>160</v>
      </c>
      <c r="DH79" s="69" t="s">
        <v>160</v>
      </c>
      <c r="DI79" s="69" t="s">
        <v>160</v>
      </c>
      <c r="DJ79" s="69" t="s">
        <v>160</v>
      </c>
      <c r="DK79" s="69" t="s">
        <v>160</v>
      </c>
      <c r="DL79" s="69" t="s">
        <v>160</v>
      </c>
      <c r="DM79" s="69" t="s">
        <v>160</v>
      </c>
      <c r="DN79" s="69" t="s">
        <v>160</v>
      </c>
      <c r="DO79" s="69" t="s">
        <v>160</v>
      </c>
      <c r="DP79" s="69" t="s">
        <v>160</v>
      </c>
      <c r="DQ79" s="69" t="s">
        <v>160</v>
      </c>
      <c r="DR79" s="69" t="s">
        <v>160</v>
      </c>
      <c r="DS79" s="69" t="s">
        <v>160</v>
      </c>
      <c r="DT79" s="69" t="s">
        <v>160</v>
      </c>
      <c r="DU79" s="69" t="s">
        <v>160</v>
      </c>
      <c r="DV79" s="69" t="s">
        <v>160</v>
      </c>
      <c r="DW79" s="69" t="s">
        <v>160</v>
      </c>
      <c r="DX79" s="69" t="s">
        <v>160</v>
      </c>
      <c r="DY79" s="69" t="s">
        <v>160</v>
      </c>
      <c r="DZ79" s="69" t="s">
        <v>160</v>
      </c>
      <c r="EA79" s="69" t="s">
        <v>160</v>
      </c>
      <c r="EB79" s="69" t="s">
        <v>160</v>
      </c>
      <c r="EC79" s="69" t="s">
        <v>160</v>
      </c>
      <c r="ED79" s="69" t="s">
        <v>160</v>
      </c>
      <c r="EE79" s="69" t="s">
        <v>160</v>
      </c>
      <c r="EF79" s="69" t="s">
        <v>160</v>
      </c>
      <c r="EG79" s="69" t="s">
        <v>160</v>
      </c>
      <c r="EH79" s="69" t="s">
        <v>160</v>
      </c>
      <c r="EI79" s="69" t="s">
        <v>160</v>
      </c>
      <c r="EJ79" s="69" t="s">
        <v>160</v>
      </c>
      <c r="EK79" s="69" t="s">
        <v>160</v>
      </c>
      <c r="EL79" s="69" t="s">
        <v>160</v>
      </c>
      <c r="EM79" s="69" t="s">
        <v>160</v>
      </c>
      <c r="EN79" s="69" t="s">
        <v>160</v>
      </c>
      <c r="EO79" s="69" t="s">
        <v>160</v>
      </c>
      <c r="EP79" s="69" t="s">
        <v>160</v>
      </c>
      <c r="EQ79" s="69" t="s">
        <v>160</v>
      </c>
      <c r="ER79" s="69" t="s">
        <v>160</v>
      </c>
      <c r="ES79" s="69" t="s">
        <v>160</v>
      </c>
      <c r="ET79" s="69" t="s">
        <v>160</v>
      </c>
      <c r="EU79" s="69" t="s">
        <v>160</v>
      </c>
      <c r="EV79" s="69" t="s">
        <v>160</v>
      </c>
      <c r="EW79" s="69" t="s">
        <v>160</v>
      </c>
      <c r="EX79" s="69" t="s">
        <v>160</v>
      </c>
      <c r="EY79" s="69" t="s">
        <v>160</v>
      </c>
      <c r="EZ79" s="69" t="s">
        <v>160</v>
      </c>
      <c r="FA79" s="69" t="s">
        <v>160</v>
      </c>
      <c r="FB79" s="69" t="s">
        <v>160</v>
      </c>
      <c r="FC79" s="69" t="s">
        <v>160</v>
      </c>
      <c r="FD79" s="69" t="s">
        <v>160</v>
      </c>
    </row>
    <row r="80" spans="1:160">
      <c r="A80" s="103" t="s">
        <v>481</v>
      </c>
      <c r="B80" s="20" t="s">
        <v>163</v>
      </c>
      <c r="C80" s="91" t="s">
        <v>175</v>
      </c>
      <c r="G80" s="51" t="str">
        <f t="shared" si="10"/>
        <v>Product usage guide with examples for all the functional usecases</v>
      </c>
      <c r="H80" s="51" t="s">
        <v>2</v>
      </c>
      <c r="I80" s="64">
        <v>45017</v>
      </c>
      <c r="J80" s="64">
        <v>45169</v>
      </c>
      <c r="K80" s="64"/>
      <c r="L80" s="64"/>
      <c r="M80" s="64"/>
      <c r="N80" s="64" t="b">
        <f t="shared" si="11"/>
        <v>0</v>
      </c>
      <c r="O80" s="64"/>
      <c r="P80" s="24">
        <v>0</v>
      </c>
      <c r="R80" s="51" t="s">
        <v>2</v>
      </c>
      <c r="S80" s="68" t="s">
        <v>160</v>
      </c>
      <c r="T80" s="69" t="s">
        <v>160</v>
      </c>
      <c r="U80" s="69" t="s">
        <v>160</v>
      </c>
      <c r="V80" s="69" t="s">
        <v>160</v>
      </c>
      <c r="W80" s="69" t="s">
        <v>160</v>
      </c>
      <c r="X80" s="69" t="s">
        <v>160</v>
      </c>
      <c r="Y80" s="69" t="s">
        <v>160</v>
      </c>
      <c r="Z80" s="69" t="s">
        <v>160</v>
      </c>
      <c r="AA80" s="69" t="s">
        <v>160</v>
      </c>
      <c r="AB80" s="69" t="s">
        <v>160</v>
      </c>
      <c r="AC80" s="69" t="s">
        <v>160</v>
      </c>
      <c r="AD80" s="69" t="s">
        <v>160</v>
      </c>
      <c r="AE80" s="69" t="s">
        <v>160</v>
      </c>
      <c r="AF80" s="69" t="s">
        <v>160</v>
      </c>
      <c r="AG80" s="69" t="s">
        <v>160</v>
      </c>
      <c r="AH80" s="69" t="s">
        <v>160</v>
      </c>
      <c r="AI80" s="69" t="s">
        <v>160</v>
      </c>
      <c r="AJ80" s="69" t="s">
        <v>160</v>
      </c>
      <c r="AK80" s="69" t="s">
        <v>160</v>
      </c>
      <c r="AL80" s="69" t="s">
        <v>160</v>
      </c>
      <c r="AM80" s="69" t="s">
        <v>160</v>
      </c>
      <c r="AN80" s="69" t="s">
        <v>160</v>
      </c>
      <c r="AO80" s="69" t="s">
        <v>160</v>
      </c>
      <c r="AP80" s="69" t="s">
        <v>160</v>
      </c>
      <c r="AQ80" s="69" t="s">
        <v>160</v>
      </c>
      <c r="AR80" s="69" t="s">
        <v>160</v>
      </c>
      <c r="AS80" s="69" t="s">
        <v>160</v>
      </c>
      <c r="AT80" s="69" t="s">
        <v>160</v>
      </c>
      <c r="AU80" s="69" t="s">
        <v>160</v>
      </c>
      <c r="AV80" s="69" t="s">
        <v>160</v>
      </c>
      <c r="AW80" s="69" t="s">
        <v>160</v>
      </c>
      <c r="AX80" s="69" t="s">
        <v>160</v>
      </c>
      <c r="AY80" s="69" t="s">
        <v>160</v>
      </c>
      <c r="AZ80" s="69" t="s">
        <v>160</v>
      </c>
      <c r="BA80" s="69" t="s">
        <v>160</v>
      </c>
      <c r="BB80" s="69" t="s">
        <v>160</v>
      </c>
      <c r="BC80" s="69" t="s">
        <v>160</v>
      </c>
      <c r="BD80" s="69" t="s">
        <v>160</v>
      </c>
      <c r="BE80" s="69" t="s">
        <v>160</v>
      </c>
      <c r="BF80" s="69" t="s">
        <v>160</v>
      </c>
      <c r="BG80" s="69" t="s">
        <v>160</v>
      </c>
      <c r="BH80" s="69" t="s">
        <v>160</v>
      </c>
      <c r="BI80" s="69" t="s">
        <v>160</v>
      </c>
      <c r="BJ80" s="69" t="s">
        <v>160</v>
      </c>
      <c r="BK80" s="69" t="s">
        <v>160</v>
      </c>
      <c r="BL80" s="69" t="s">
        <v>160</v>
      </c>
      <c r="BM80" s="69" t="s">
        <v>160</v>
      </c>
      <c r="BN80" s="69" t="s">
        <v>160</v>
      </c>
      <c r="BO80" s="69" t="s">
        <v>160</v>
      </c>
      <c r="BP80" s="69" t="s">
        <v>160</v>
      </c>
      <c r="BQ80" s="69" t="s">
        <v>160</v>
      </c>
      <c r="BR80" s="69" t="s">
        <v>160</v>
      </c>
      <c r="BS80" s="69" t="s">
        <v>160</v>
      </c>
      <c r="BT80" s="69" t="s">
        <v>160</v>
      </c>
      <c r="BU80" s="69" t="s">
        <v>160</v>
      </c>
      <c r="BV80" s="69" t="s">
        <v>160</v>
      </c>
      <c r="BW80" s="69" t="s">
        <v>160</v>
      </c>
      <c r="BX80" s="69" t="s">
        <v>160</v>
      </c>
      <c r="BY80" s="69" t="s">
        <v>160</v>
      </c>
      <c r="BZ80" s="69" t="s">
        <v>160</v>
      </c>
      <c r="CA80" s="69" t="s">
        <v>160</v>
      </c>
      <c r="CB80" s="69" t="s">
        <v>160</v>
      </c>
      <c r="CC80" s="69" t="s">
        <v>160</v>
      </c>
      <c r="CD80" s="69" t="s">
        <v>160</v>
      </c>
      <c r="CE80" s="69" t="s">
        <v>160</v>
      </c>
      <c r="CF80" s="69" t="s">
        <v>160</v>
      </c>
      <c r="CG80" s="69" t="s">
        <v>160</v>
      </c>
      <c r="CH80" s="69" t="s">
        <v>160</v>
      </c>
      <c r="CI80" s="69" t="s">
        <v>160</v>
      </c>
      <c r="CJ80" s="69" t="s">
        <v>160</v>
      </c>
      <c r="CK80" s="69" t="s">
        <v>160</v>
      </c>
      <c r="CL80" s="69" t="s">
        <v>160</v>
      </c>
      <c r="CM80" s="69" t="s">
        <v>160</v>
      </c>
      <c r="CN80" s="69" t="s">
        <v>160</v>
      </c>
      <c r="CO80" s="69" t="s">
        <v>160</v>
      </c>
      <c r="CP80" s="69" t="s">
        <v>160</v>
      </c>
      <c r="CQ80" s="69" t="s">
        <v>160</v>
      </c>
      <c r="CR80" s="69" t="s">
        <v>160</v>
      </c>
      <c r="CS80" s="69" t="s">
        <v>160</v>
      </c>
      <c r="CT80" s="69" t="s">
        <v>160</v>
      </c>
      <c r="CU80" s="69" t="s">
        <v>160</v>
      </c>
      <c r="CV80" s="69" t="s">
        <v>160</v>
      </c>
      <c r="CW80" s="69" t="s">
        <v>160</v>
      </c>
      <c r="CX80" s="69" t="s">
        <v>160</v>
      </c>
      <c r="CY80" s="69" t="s">
        <v>160</v>
      </c>
      <c r="CZ80" s="69" t="s">
        <v>160</v>
      </c>
      <c r="DA80" s="69" t="s">
        <v>160</v>
      </c>
      <c r="DB80" s="69" t="s">
        <v>160</v>
      </c>
      <c r="DC80" s="69" t="s">
        <v>160</v>
      </c>
      <c r="DD80" s="69" t="s">
        <v>160</v>
      </c>
      <c r="DE80" s="69" t="s">
        <v>160</v>
      </c>
      <c r="DF80" s="69" t="s">
        <v>160</v>
      </c>
      <c r="DG80" s="69" t="s">
        <v>160</v>
      </c>
      <c r="DH80" s="69" t="s">
        <v>160</v>
      </c>
      <c r="DI80" s="69" t="s">
        <v>160</v>
      </c>
      <c r="DJ80" s="69" t="s">
        <v>160</v>
      </c>
      <c r="DK80" s="69" t="s">
        <v>160</v>
      </c>
      <c r="DL80" s="69" t="s">
        <v>160</v>
      </c>
      <c r="DM80" s="69" t="s">
        <v>160</v>
      </c>
      <c r="DN80" s="69" t="s">
        <v>160</v>
      </c>
      <c r="DO80" s="69" t="s">
        <v>160</v>
      </c>
      <c r="DP80" s="69" t="s">
        <v>160</v>
      </c>
      <c r="DQ80" s="69" t="s">
        <v>160</v>
      </c>
      <c r="DR80" s="69" t="s">
        <v>160</v>
      </c>
      <c r="DS80" s="69" t="s">
        <v>160</v>
      </c>
      <c r="DT80" s="69" t="s">
        <v>160</v>
      </c>
      <c r="DU80" s="69" t="s">
        <v>160</v>
      </c>
      <c r="DV80" s="69" t="s">
        <v>160</v>
      </c>
      <c r="DW80" s="69" t="s">
        <v>160</v>
      </c>
      <c r="DX80" s="69" t="s">
        <v>160</v>
      </c>
      <c r="DY80" s="69" t="s">
        <v>160</v>
      </c>
      <c r="DZ80" s="69" t="s">
        <v>160</v>
      </c>
      <c r="EA80" s="69" t="s">
        <v>160</v>
      </c>
      <c r="EB80" s="69" t="s">
        <v>160</v>
      </c>
      <c r="EC80" s="69" t="s">
        <v>160</v>
      </c>
      <c r="ED80" s="69" t="s">
        <v>160</v>
      </c>
      <c r="EE80" s="69" t="s">
        <v>160</v>
      </c>
      <c r="EF80" s="69" t="s">
        <v>160</v>
      </c>
      <c r="EG80" s="69" t="s">
        <v>160</v>
      </c>
      <c r="EH80" s="69" t="s">
        <v>160</v>
      </c>
      <c r="EI80" s="69" t="s">
        <v>160</v>
      </c>
      <c r="EJ80" s="69" t="s">
        <v>160</v>
      </c>
      <c r="EK80" s="69" t="s">
        <v>160</v>
      </c>
      <c r="EL80" s="69" t="s">
        <v>160</v>
      </c>
      <c r="EM80" s="69" t="s">
        <v>160</v>
      </c>
      <c r="EN80" s="69" t="s">
        <v>160</v>
      </c>
      <c r="EO80" s="69" t="s">
        <v>160</v>
      </c>
      <c r="EP80" s="69" t="s">
        <v>160</v>
      </c>
      <c r="EQ80" s="69" t="s">
        <v>160</v>
      </c>
      <c r="ER80" s="69" t="s">
        <v>160</v>
      </c>
      <c r="ES80" s="69" t="s">
        <v>160</v>
      </c>
      <c r="ET80" s="69" t="s">
        <v>160</v>
      </c>
      <c r="EU80" s="69" t="s">
        <v>160</v>
      </c>
      <c r="EV80" s="69" t="s">
        <v>160</v>
      </c>
      <c r="EW80" s="69" t="s">
        <v>160</v>
      </c>
      <c r="EX80" s="69" t="s">
        <v>160</v>
      </c>
      <c r="EY80" s="69" t="s">
        <v>160</v>
      </c>
      <c r="EZ80" s="69" t="s">
        <v>160</v>
      </c>
      <c r="FA80" s="69" t="s">
        <v>160</v>
      </c>
      <c r="FB80" s="69" t="s">
        <v>160</v>
      </c>
      <c r="FC80" s="69" t="s">
        <v>160</v>
      </c>
      <c r="FD80" s="69" t="s">
        <v>160</v>
      </c>
    </row>
    <row r="81" spans="1:160" s="71" customFormat="1" ht="18.5" thickBot="1">
      <c r="A81" s="104" t="s">
        <v>473</v>
      </c>
      <c r="B81" s="105" t="s">
        <v>163</v>
      </c>
      <c r="C81" s="92" t="s">
        <v>176</v>
      </c>
      <c r="G81" s="71" t="str">
        <f t="shared" si="10"/>
        <v xml:space="preserve">Test report </v>
      </c>
      <c r="H81" s="71" t="s">
        <v>2</v>
      </c>
      <c r="I81" s="115">
        <v>45017</v>
      </c>
      <c r="J81" s="72">
        <v>45169</v>
      </c>
      <c r="K81" s="72"/>
      <c r="L81" s="72"/>
      <c r="M81" s="72"/>
      <c r="N81" s="72" t="b">
        <f t="shared" si="11"/>
        <v>0</v>
      </c>
      <c r="O81" s="72"/>
      <c r="P81" s="89">
        <v>0</v>
      </c>
      <c r="Q81" s="89"/>
      <c r="R81" s="71" t="s">
        <v>2</v>
      </c>
      <c r="S81" s="74" t="s">
        <v>160</v>
      </c>
      <c r="T81" s="75" t="s">
        <v>160</v>
      </c>
      <c r="U81" s="75" t="s">
        <v>160</v>
      </c>
      <c r="V81" s="75" t="s">
        <v>160</v>
      </c>
      <c r="W81" s="75" t="s">
        <v>160</v>
      </c>
      <c r="X81" s="75" t="s">
        <v>160</v>
      </c>
      <c r="Y81" s="75" t="s">
        <v>160</v>
      </c>
      <c r="Z81" s="75" t="s">
        <v>160</v>
      </c>
      <c r="AA81" s="75" t="s">
        <v>160</v>
      </c>
      <c r="AB81" s="75" t="s">
        <v>160</v>
      </c>
      <c r="AC81" s="75" t="s">
        <v>160</v>
      </c>
      <c r="AD81" s="75" t="s">
        <v>160</v>
      </c>
      <c r="AE81" s="75" t="s">
        <v>160</v>
      </c>
      <c r="AF81" s="75" t="s">
        <v>160</v>
      </c>
      <c r="AG81" s="75" t="s">
        <v>160</v>
      </c>
      <c r="AH81" s="75" t="s">
        <v>160</v>
      </c>
      <c r="AI81" s="75" t="s">
        <v>160</v>
      </c>
      <c r="AJ81" s="75" t="s">
        <v>160</v>
      </c>
      <c r="AK81" s="75" t="s">
        <v>160</v>
      </c>
      <c r="AL81" s="75" t="s">
        <v>160</v>
      </c>
      <c r="AM81" s="75" t="s">
        <v>160</v>
      </c>
      <c r="AN81" s="75" t="s">
        <v>160</v>
      </c>
      <c r="AO81" s="75" t="s">
        <v>160</v>
      </c>
      <c r="AP81" s="75" t="s">
        <v>160</v>
      </c>
      <c r="AQ81" s="75" t="s">
        <v>160</v>
      </c>
      <c r="AR81" s="75" t="s">
        <v>160</v>
      </c>
      <c r="AS81" s="75" t="s">
        <v>160</v>
      </c>
      <c r="AT81" s="75" t="s">
        <v>160</v>
      </c>
      <c r="AU81" s="75" t="s">
        <v>160</v>
      </c>
      <c r="AV81" s="75" t="s">
        <v>160</v>
      </c>
      <c r="AW81" s="75" t="s">
        <v>160</v>
      </c>
      <c r="AX81" s="75" t="s">
        <v>160</v>
      </c>
      <c r="AY81" s="75" t="s">
        <v>160</v>
      </c>
      <c r="AZ81" s="75" t="s">
        <v>160</v>
      </c>
      <c r="BA81" s="75" t="s">
        <v>160</v>
      </c>
      <c r="BB81" s="75" t="s">
        <v>160</v>
      </c>
      <c r="BC81" s="75" t="s">
        <v>160</v>
      </c>
      <c r="BD81" s="75" t="s">
        <v>160</v>
      </c>
      <c r="BE81" s="75" t="s">
        <v>160</v>
      </c>
      <c r="BF81" s="75" t="s">
        <v>160</v>
      </c>
      <c r="BG81" s="75" t="s">
        <v>160</v>
      </c>
      <c r="BH81" s="75" t="s">
        <v>160</v>
      </c>
      <c r="BI81" s="75" t="s">
        <v>160</v>
      </c>
      <c r="BJ81" s="75" t="s">
        <v>160</v>
      </c>
      <c r="BK81" s="75" t="s">
        <v>160</v>
      </c>
      <c r="BL81" s="75" t="s">
        <v>160</v>
      </c>
      <c r="BM81" s="75" t="s">
        <v>160</v>
      </c>
      <c r="BN81" s="75" t="s">
        <v>160</v>
      </c>
      <c r="BO81" s="75" t="s">
        <v>160</v>
      </c>
      <c r="BP81" s="75" t="s">
        <v>160</v>
      </c>
      <c r="BQ81" s="75" t="s">
        <v>160</v>
      </c>
      <c r="BR81" s="75" t="s">
        <v>160</v>
      </c>
      <c r="BS81" s="75" t="s">
        <v>160</v>
      </c>
      <c r="BT81" s="75" t="s">
        <v>160</v>
      </c>
      <c r="BU81" s="75" t="s">
        <v>160</v>
      </c>
      <c r="BV81" s="75" t="s">
        <v>160</v>
      </c>
      <c r="BW81" s="75" t="s">
        <v>160</v>
      </c>
      <c r="BX81" s="75" t="s">
        <v>160</v>
      </c>
      <c r="BY81" s="75" t="s">
        <v>160</v>
      </c>
      <c r="BZ81" s="75" t="s">
        <v>160</v>
      </c>
      <c r="CA81" s="75" t="s">
        <v>160</v>
      </c>
      <c r="CB81" s="75" t="s">
        <v>160</v>
      </c>
      <c r="CC81" s="75" t="s">
        <v>160</v>
      </c>
      <c r="CD81" s="75" t="s">
        <v>160</v>
      </c>
      <c r="CE81" s="75" t="s">
        <v>160</v>
      </c>
      <c r="CF81" s="75" t="s">
        <v>160</v>
      </c>
      <c r="CG81" s="75" t="s">
        <v>160</v>
      </c>
      <c r="CH81" s="75" t="s">
        <v>160</v>
      </c>
      <c r="CI81" s="75" t="s">
        <v>160</v>
      </c>
      <c r="CJ81" s="75" t="s">
        <v>160</v>
      </c>
      <c r="CK81" s="75" t="s">
        <v>160</v>
      </c>
      <c r="CL81" s="75" t="s">
        <v>160</v>
      </c>
      <c r="CM81" s="75" t="s">
        <v>160</v>
      </c>
      <c r="CN81" s="75" t="s">
        <v>160</v>
      </c>
      <c r="CO81" s="75" t="s">
        <v>160</v>
      </c>
      <c r="CP81" s="75" t="s">
        <v>160</v>
      </c>
      <c r="CQ81" s="75" t="s">
        <v>160</v>
      </c>
      <c r="CR81" s="75" t="s">
        <v>160</v>
      </c>
      <c r="CS81" s="75" t="s">
        <v>160</v>
      </c>
      <c r="CT81" s="75" t="s">
        <v>160</v>
      </c>
      <c r="CU81" s="75" t="s">
        <v>160</v>
      </c>
      <c r="CV81" s="75" t="s">
        <v>160</v>
      </c>
      <c r="CW81" s="75" t="s">
        <v>160</v>
      </c>
      <c r="CX81" s="75" t="s">
        <v>160</v>
      </c>
      <c r="CY81" s="75" t="s">
        <v>160</v>
      </c>
      <c r="CZ81" s="75" t="s">
        <v>160</v>
      </c>
      <c r="DA81" s="75" t="s">
        <v>160</v>
      </c>
      <c r="DB81" s="75" t="s">
        <v>160</v>
      </c>
      <c r="DC81" s="75" t="s">
        <v>160</v>
      </c>
      <c r="DD81" s="75" t="s">
        <v>160</v>
      </c>
      <c r="DE81" s="75" t="s">
        <v>160</v>
      </c>
      <c r="DF81" s="75" t="s">
        <v>160</v>
      </c>
      <c r="DG81" s="75" t="s">
        <v>160</v>
      </c>
      <c r="DH81" s="75" t="s">
        <v>160</v>
      </c>
      <c r="DI81" s="75" t="s">
        <v>160</v>
      </c>
      <c r="DJ81" s="75" t="s">
        <v>160</v>
      </c>
      <c r="DK81" s="75" t="s">
        <v>160</v>
      </c>
      <c r="DL81" s="75" t="s">
        <v>160</v>
      </c>
      <c r="DM81" s="75" t="s">
        <v>160</v>
      </c>
      <c r="DN81" s="75" t="s">
        <v>160</v>
      </c>
      <c r="DO81" s="75" t="s">
        <v>160</v>
      </c>
      <c r="DP81" s="75" t="s">
        <v>160</v>
      </c>
      <c r="DQ81" s="75" t="s">
        <v>160</v>
      </c>
      <c r="DR81" s="75" t="s">
        <v>160</v>
      </c>
      <c r="DS81" s="75" t="s">
        <v>160</v>
      </c>
      <c r="DT81" s="75" t="s">
        <v>160</v>
      </c>
      <c r="DU81" s="75" t="s">
        <v>160</v>
      </c>
      <c r="DV81" s="75" t="s">
        <v>160</v>
      </c>
      <c r="DW81" s="75" t="s">
        <v>160</v>
      </c>
      <c r="DX81" s="75" t="s">
        <v>160</v>
      </c>
      <c r="DY81" s="75" t="s">
        <v>160</v>
      </c>
      <c r="DZ81" s="75" t="s">
        <v>160</v>
      </c>
      <c r="EA81" s="75" t="s">
        <v>160</v>
      </c>
      <c r="EB81" s="75" t="s">
        <v>160</v>
      </c>
      <c r="EC81" s="75" t="s">
        <v>160</v>
      </c>
      <c r="ED81" s="75" t="s">
        <v>160</v>
      </c>
      <c r="EE81" s="75" t="s">
        <v>160</v>
      </c>
      <c r="EF81" s="75" t="s">
        <v>160</v>
      </c>
      <c r="EG81" s="75" t="s">
        <v>160</v>
      </c>
      <c r="EH81" s="75" t="s">
        <v>160</v>
      </c>
      <c r="EI81" s="75" t="s">
        <v>160</v>
      </c>
      <c r="EJ81" s="75" t="s">
        <v>160</v>
      </c>
      <c r="EK81" s="75" t="s">
        <v>160</v>
      </c>
      <c r="EL81" s="75" t="s">
        <v>160</v>
      </c>
      <c r="EM81" s="75" t="s">
        <v>160</v>
      </c>
      <c r="EN81" s="75" t="s">
        <v>160</v>
      </c>
      <c r="EO81" s="75" t="s">
        <v>160</v>
      </c>
      <c r="EP81" s="75" t="s">
        <v>160</v>
      </c>
      <c r="EQ81" s="75" t="s">
        <v>160</v>
      </c>
      <c r="ER81" s="75" t="s">
        <v>160</v>
      </c>
      <c r="ES81" s="75" t="s">
        <v>160</v>
      </c>
      <c r="ET81" s="75" t="s">
        <v>160</v>
      </c>
      <c r="EU81" s="75" t="s">
        <v>160</v>
      </c>
      <c r="EV81" s="75" t="s">
        <v>160</v>
      </c>
      <c r="EW81" s="75" t="s">
        <v>160</v>
      </c>
      <c r="EX81" s="75" t="s">
        <v>160</v>
      </c>
      <c r="EY81" s="75" t="s">
        <v>160</v>
      </c>
      <c r="EZ81" s="75" t="s">
        <v>160</v>
      </c>
      <c r="FA81" s="75" t="s">
        <v>160</v>
      </c>
      <c r="FB81" s="75" t="s">
        <v>160</v>
      </c>
      <c r="FC81" s="75" t="s">
        <v>160</v>
      </c>
      <c r="FD81" s="75" t="s">
        <v>160</v>
      </c>
    </row>
    <row r="82" spans="1:160">
      <c r="A82" s="103" t="s">
        <v>482</v>
      </c>
      <c r="B82" s="20" t="s">
        <v>207</v>
      </c>
      <c r="G82" s="51" t="str">
        <f t="shared" si="10"/>
        <v>M10. Decision Engine AI/ML models - Bidder operation</v>
      </c>
      <c r="H82" s="51" t="s">
        <v>2</v>
      </c>
      <c r="I82" s="64">
        <f ca="1">IF(SUM(I83:INDIRECT("I"&amp;$O82))=0,"",MIN(I83:INDIRECT("I"&amp;$O82)))</f>
        <v>45078</v>
      </c>
      <c r="J82" s="64">
        <f ca="1">IF(SUM(J83:INDIRECT("J"&amp;$O82))=0,"",MAX(J83:INDIRECT("J"&amp;$O82)))</f>
        <v>45291</v>
      </c>
      <c r="K82" s="64" t="str">
        <f ca="1">IF(SUM(K83:INDIRECT("K"&amp;$O82))=0,"",MIN(K83:INDIRECT("K"&amp;$O82)))</f>
        <v/>
      </c>
      <c r="L82" s="64" t="str">
        <f ca="1">IF(SUM(L83:INDIRECT("L"&amp;$O82))=0,"",MAX(L83:INDIRECT("L"&amp;$O82)))</f>
        <v/>
      </c>
      <c r="M82" s="64" t="str">
        <f ca="1">IF(N82,TODAY(),IF(SUM(M83:INDIRECT("M"&amp;$O82))=0,"",MAX(M83:INDIRECT("M"&amp;$O82))))</f>
        <v/>
      </c>
      <c r="N82" s="64" t="b">
        <f ca="1">OR(N83:INDIRECT("N"&amp;O82))</f>
        <v>0</v>
      </c>
      <c r="O82" s="65">
        <f>ROW()+COUNTA(N83:N88)</f>
        <v>88</v>
      </c>
      <c r="P82" s="66">
        <f>AVERAGE(P83:P88)</f>
        <v>0</v>
      </c>
      <c r="R82" s="51" t="s">
        <v>2</v>
      </c>
      <c r="S82" s="68" t="s">
        <v>160</v>
      </c>
      <c r="T82" s="69" t="s">
        <v>160</v>
      </c>
      <c r="U82" s="69" t="s">
        <v>160</v>
      </c>
      <c r="V82" s="69" t="s">
        <v>160</v>
      </c>
      <c r="W82" s="69" t="s">
        <v>160</v>
      </c>
      <c r="X82" s="69" t="s">
        <v>160</v>
      </c>
      <c r="Y82" s="69" t="s">
        <v>160</v>
      </c>
      <c r="Z82" s="69" t="s">
        <v>160</v>
      </c>
      <c r="AA82" s="69" t="s">
        <v>160</v>
      </c>
      <c r="AB82" s="69" t="s">
        <v>160</v>
      </c>
      <c r="AC82" s="69" t="s">
        <v>160</v>
      </c>
      <c r="AD82" s="69" t="s">
        <v>160</v>
      </c>
      <c r="AE82" s="90" t="s">
        <v>160</v>
      </c>
      <c r="AF82" s="90" t="s">
        <v>160</v>
      </c>
      <c r="AG82" s="90" t="s">
        <v>160</v>
      </c>
      <c r="AH82" s="90" t="s">
        <v>160</v>
      </c>
      <c r="AI82" s="90" t="s">
        <v>160</v>
      </c>
      <c r="AJ82" s="90" t="s">
        <v>160</v>
      </c>
      <c r="AK82" s="90" t="s">
        <v>160</v>
      </c>
      <c r="AL82" s="90" t="s">
        <v>160</v>
      </c>
      <c r="AM82" s="90" t="s">
        <v>160</v>
      </c>
      <c r="AN82" s="90" t="s">
        <v>160</v>
      </c>
      <c r="AO82" s="90" t="s">
        <v>160</v>
      </c>
      <c r="AP82" s="90" t="s">
        <v>160</v>
      </c>
      <c r="AQ82" s="90" t="s">
        <v>160</v>
      </c>
      <c r="AR82" s="90" t="s">
        <v>160</v>
      </c>
      <c r="AS82" s="90" t="s">
        <v>160</v>
      </c>
      <c r="AT82" s="90" t="s">
        <v>160</v>
      </c>
      <c r="AU82" s="90" t="s">
        <v>160</v>
      </c>
      <c r="AV82" s="90" t="s">
        <v>160</v>
      </c>
      <c r="AW82" s="69" t="s">
        <v>160</v>
      </c>
      <c r="AX82" s="69" t="s">
        <v>160</v>
      </c>
      <c r="AY82" s="69" t="s">
        <v>160</v>
      </c>
      <c r="AZ82" s="69" t="s">
        <v>160</v>
      </c>
      <c r="BA82" s="69" t="s">
        <v>160</v>
      </c>
      <c r="BB82" s="69" t="s">
        <v>160</v>
      </c>
      <c r="BC82" s="69" t="s">
        <v>160</v>
      </c>
      <c r="BD82" s="69" t="s">
        <v>160</v>
      </c>
      <c r="BE82" s="69" t="s">
        <v>160</v>
      </c>
      <c r="BF82" s="69" t="s">
        <v>160</v>
      </c>
      <c r="BG82" s="69" t="s">
        <v>160</v>
      </c>
      <c r="BH82" s="69" t="s">
        <v>160</v>
      </c>
      <c r="BI82" s="69" t="s">
        <v>160</v>
      </c>
      <c r="BJ82" s="69" t="s">
        <v>160</v>
      </c>
      <c r="BK82" s="69" t="s">
        <v>160</v>
      </c>
      <c r="BL82" s="69" t="s">
        <v>160</v>
      </c>
      <c r="BM82" s="69" t="s">
        <v>160</v>
      </c>
      <c r="BN82" s="69" t="s">
        <v>160</v>
      </c>
      <c r="BO82" s="69" t="s">
        <v>160</v>
      </c>
      <c r="BP82" s="69" t="s">
        <v>160</v>
      </c>
      <c r="BQ82" s="69" t="s">
        <v>160</v>
      </c>
      <c r="BR82" s="69" t="s">
        <v>160</v>
      </c>
      <c r="BS82" s="69" t="s">
        <v>160</v>
      </c>
      <c r="BT82" s="69" t="s">
        <v>160</v>
      </c>
      <c r="BU82" s="69" t="s">
        <v>160</v>
      </c>
      <c r="BV82" s="69" t="s">
        <v>160</v>
      </c>
      <c r="BW82" s="69" t="s">
        <v>160</v>
      </c>
      <c r="BX82" s="69" t="s">
        <v>160</v>
      </c>
      <c r="BY82" s="69" t="s">
        <v>160</v>
      </c>
      <c r="BZ82" s="69" t="s">
        <v>160</v>
      </c>
      <c r="CA82" s="69" t="s">
        <v>160</v>
      </c>
      <c r="CB82" s="69" t="s">
        <v>160</v>
      </c>
      <c r="CC82" s="69" t="s">
        <v>160</v>
      </c>
      <c r="CD82" s="69" t="s">
        <v>160</v>
      </c>
      <c r="CE82" s="69" t="s">
        <v>160</v>
      </c>
      <c r="CF82" s="69" t="s">
        <v>160</v>
      </c>
      <c r="CG82" s="69" t="s">
        <v>160</v>
      </c>
      <c r="CH82" s="69" t="s">
        <v>160</v>
      </c>
      <c r="CI82" s="69" t="s">
        <v>160</v>
      </c>
      <c r="CJ82" s="69" t="s">
        <v>160</v>
      </c>
      <c r="CK82" s="69" t="s">
        <v>160</v>
      </c>
      <c r="CL82" s="69" t="s">
        <v>160</v>
      </c>
      <c r="CM82" s="69" t="s">
        <v>160</v>
      </c>
      <c r="CN82" s="69" t="s">
        <v>160</v>
      </c>
      <c r="CO82" s="69" t="s">
        <v>160</v>
      </c>
      <c r="CP82" s="69" t="s">
        <v>160</v>
      </c>
      <c r="CQ82" s="69" t="s">
        <v>160</v>
      </c>
      <c r="CR82" s="69" t="s">
        <v>160</v>
      </c>
      <c r="CS82" s="69" t="s">
        <v>160</v>
      </c>
      <c r="CT82" s="69" t="s">
        <v>160</v>
      </c>
      <c r="CU82" s="69" t="s">
        <v>160</v>
      </c>
      <c r="CV82" s="69" t="s">
        <v>160</v>
      </c>
      <c r="CW82" s="69" t="s">
        <v>160</v>
      </c>
      <c r="CX82" s="69" t="s">
        <v>160</v>
      </c>
      <c r="CY82" s="69" t="s">
        <v>160</v>
      </c>
      <c r="CZ82" s="69" t="s">
        <v>160</v>
      </c>
      <c r="DA82" s="69" t="s">
        <v>160</v>
      </c>
      <c r="DB82" s="69" t="s">
        <v>160</v>
      </c>
      <c r="DC82" s="69" t="s">
        <v>160</v>
      </c>
      <c r="DD82" s="69" t="s">
        <v>160</v>
      </c>
      <c r="DE82" s="69" t="s">
        <v>160</v>
      </c>
      <c r="DF82" s="69" t="s">
        <v>160</v>
      </c>
      <c r="DG82" s="69" t="s">
        <v>160</v>
      </c>
      <c r="DH82" s="69" t="s">
        <v>160</v>
      </c>
      <c r="DI82" s="69" t="s">
        <v>160</v>
      </c>
      <c r="DJ82" s="69" t="s">
        <v>160</v>
      </c>
      <c r="DK82" s="69" t="s">
        <v>160</v>
      </c>
      <c r="DL82" s="69" t="s">
        <v>160</v>
      </c>
      <c r="DM82" s="69" t="s">
        <v>160</v>
      </c>
      <c r="DN82" s="69" t="s">
        <v>160</v>
      </c>
      <c r="DO82" s="69" t="s">
        <v>160</v>
      </c>
      <c r="DP82" s="69" t="s">
        <v>160</v>
      </c>
      <c r="DQ82" s="69" t="s">
        <v>160</v>
      </c>
      <c r="DR82" s="69" t="s">
        <v>160</v>
      </c>
      <c r="DS82" s="69" t="s">
        <v>160</v>
      </c>
      <c r="DT82" s="69" t="s">
        <v>160</v>
      </c>
      <c r="DU82" s="69" t="s">
        <v>160</v>
      </c>
      <c r="DV82" s="69" t="s">
        <v>160</v>
      </c>
      <c r="DW82" s="69" t="s">
        <v>160</v>
      </c>
      <c r="DX82" s="69" t="s">
        <v>160</v>
      </c>
      <c r="DY82" s="69" t="s">
        <v>160</v>
      </c>
      <c r="DZ82" s="69" t="s">
        <v>160</v>
      </c>
      <c r="EA82" s="69" t="s">
        <v>160</v>
      </c>
      <c r="EB82" s="69" t="s">
        <v>160</v>
      </c>
      <c r="EC82" s="69" t="s">
        <v>160</v>
      </c>
      <c r="ED82" s="69" t="s">
        <v>160</v>
      </c>
      <c r="EE82" s="69" t="s">
        <v>160</v>
      </c>
      <c r="EF82" s="69" t="s">
        <v>160</v>
      </c>
      <c r="EG82" s="69" t="s">
        <v>160</v>
      </c>
      <c r="EH82" s="69" t="s">
        <v>160</v>
      </c>
      <c r="EI82" s="69" t="s">
        <v>160</v>
      </c>
      <c r="EJ82" s="69" t="s">
        <v>160</v>
      </c>
      <c r="EK82" s="69" t="s">
        <v>160</v>
      </c>
      <c r="EL82" s="69" t="s">
        <v>160</v>
      </c>
      <c r="EM82" s="69" t="s">
        <v>160</v>
      </c>
      <c r="EN82" s="69" t="s">
        <v>160</v>
      </c>
      <c r="EO82" s="69" t="s">
        <v>160</v>
      </c>
      <c r="EP82" s="69" t="s">
        <v>160</v>
      </c>
      <c r="EQ82" s="69" t="s">
        <v>160</v>
      </c>
      <c r="ER82" s="69" t="s">
        <v>160</v>
      </c>
      <c r="ES82" s="69" t="s">
        <v>160</v>
      </c>
      <c r="ET82" s="69" t="s">
        <v>160</v>
      </c>
      <c r="EU82" s="69" t="s">
        <v>160</v>
      </c>
      <c r="EV82" s="69" t="s">
        <v>160</v>
      </c>
      <c r="EW82" s="69" t="s">
        <v>160</v>
      </c>
      <c r="EX82" s="69" t="s">
        <v>160</v>
      </c>
      <c r="EY82" s="69" t="s">
        <v>160</v>
      </c>
      <c r="EZ82" s="69" t="s">
        <v>160</v>
      </c>
      <c r="FA82" s="69" t="s">
        <v>160</v>
      </c>
      <c r="FB82" s="69" t="s">
        <v>160</v>
      </c>
      <c r="FC82" s="69" t="s">
        <v>160</v>
      </c>
      <c r="FD82" s="69" t="s">
        <v>160</v>
      </c>
    </row>
    <row r="83" spans="1:160">
      <c r="A83" s="103" t="s">
        <v>483</v>
      </c>
      <c r="C83" s="50" t="s">
        <v>208</v>
      </c>
      <c r="G83" s="51" t="str">
        <f t="shared" si="10"/>
        <v>Note : Use data fusion platform to smartly decide bidding operation between energy mode and regulation mode for participation in the energy/ancillary services market.</v>
      </c>
      <c r="H83" s="51" t="s">
        <v>2</v>
      </c>
      <c r="I83" s="64"/>
      <c r="J83" s="64"/>
      <c r="K83" s="64"/>
      <c r="L83" s="64"/>
      <c r="M83" s="64"/>
      <c r="N83" s="64" t="b">
        <f>ISNUMBER(SEARCH("*Waiting*",M83))</f>
        <v>0</v>
      </c>
      <c r="O83" s="64"/>
      <c r="R83" s="51" t="s">
        <v>2</v>
      </c>
      <c r="S83" s="68" t="s">
        <v>160</v>
      </c>
      <c r="T83" s="69" t="s">
        <v>160</v>
      </c>
      <c r="U83" s="69" t="s">
        <v>160</v>
      </c>
      <c r="V83" s="69" t="s">
        <v>160</v>
      </c>
      <c r="W83" s="69" t="s">
        <v>160</v>
      </c>
      <c r="X83" s="69" t="s">
        <v>160</v>
      </c>
      <c r="Y83" s="69" t="s">
        <v>160</v>
      </c>
      <c r="Z83" s="69" t="s">
        <v>160</v>
      </c>
      <c r="AA83" s="69" t="s">
        <v>160</v>
      </c>
      <c r="AB83" s="69" t="s">
        <v>160</v>
      </c>
      <c r="AC83" s="69" t="s">
        <v>160</v>
      </c>
      <c r="AD83" s="69" t="s">
        <v>160</v>
      </c>
      <c r="AE83" s="69" t="s">
        <v>160</v>
      </c>
      <c r="AF83" s="69" t="s">
        <v>160</v>
      </c>
      <c r="AG83" s="69" t="s">
        <v>160</v>
      </c>
      <c r="AH83" s="69" t="s">
        <v>160</v>
      </c>
      <c r="AI83" s="69" t="s">
        <v>160</v>
      </c>
      <c r="AJ83" s="69" t="s">
        <v>160</v>
      </c>
      <c r="AK83" s="69" t="s">
        <v>160</v>
      </c>
      <c r="AL83" s="69" t="s">
        <v>160</v>
      </c>
      <c r="AM83" s="69" t="s">
        <v>160</v>
      </c>
      <c r="AN83" s="69" t="s">
        <v>160</v>
      </c>
      <c r="AO83" s="69" t="s">
        <v>160</v>
      </c>
      <c r="AP83" s="69" t="s">
        <v>160</v>
      </c>
      <c r="AQ83" s="69" t="s">
        <v>160</v>
      </c>
      <c r="AR83" s="69" t="s">
        <v>160</v>
      </c>
      <c r="AS83" s="69" t="s">
        <v>160</v>
      </c>
      <c r="AT83" s="69" t="s">
        <v>160</v>
      </c>
      <c r="AU83" s="69" t="s">
        <v>160</v>
      </c>
      <c r="AV83" s="69" t="s">
        <v>160</v>
      </c>
      <c r="AW83" s="69" t="s">
        <v>160</v>
      </c>
      <c r="AX83" s="69" t="s">
        <v>160</v>
      </c>
      <c r="AY83" s="69" t="s">
        <v>160</v>
      </c>
      <c r="AZ83" s="69" t="s">
        <v>160</v>
      </c>
      <c r="BA83" s="69" t="s">
        <v>160</v>
      </c>
      <c r="BB83" s="69" t="s">
        <v>160</v>
      </c>
      <c r="BC83" s="69" t="s">
        <v>160</v>
      </c>
      <c r="BD83" s="69" t="s">
        <v>160</v>
      </c>
      <c r="BE83" s="69" t="s">
        <v>160</v>
      </c>
      <c r="BF83" s="69" t="s">
        <v>160</v>
      </c>
      <c r="BG83" s="69" t="s">
        <v>160</v>
      </c>
      <c r="BH83" s="69" t="s">
        <v>160</v>
      </c>
      <c r="BI83" s="69" t="s">
        <v>160</v>
      </c>
      <c r="BJ83" s="69" t="s">
        <v>160</v>
      </c>
      <c r="BK83" s="69" t="s">
        <v>160</v>
      </c>
      <c r="BL83" s="69" t="s">
        <v>160</v>
      </c>
      <c r="BM83" s="69" t="s">
        <v>160</v>
      </c>
      <c r="BN83" s="69" t="s">
        <v>160</v>
      </c>
      <c r="BO83" s="69" t="s">
        <v>160</v>
      </c>
      <c r="BP83" s="69" t="s">
        <v>160</v>
      </c>
      <c r="BQ83" s="69" t="s">
        <v>160</v>
      </c>
      <c r="BR83" s="69" t="s">
        <v>160</v>
      </c>
      <c r="BS83" s="69" t="s">
        <v>160</v>
      </c>
      <c r="BT83" s="69" t="s">
        <v>160</v>
      </c>
      <c r="BU83" s="69" t="s">
        <v>160</v>
      </c>
      <c r="BV83" s="69" t="s">
        <v>160</v>
      </c>
      <c r="BW83" s="69" t="s">
        <v>160</v>
      </c>
      <c r="BX83" s="69" t="s">
        <v>160</v>
      </c>
      <c r="BY83" s="69" t="s">
        <v>160</v>
      </c>
      <c r="BZ83" s="69" t="s">
        <v>160</v>
      </c>
      <c r="CA83" s="69" t="s">
        <v>160</v>
      </c>
      <c r="CB83" s="69" t="s">
        <v>160</v>
      </c>
      <c r="CC83" s="69" t="s">
        <v>160</v>
      </c>
      <c r="CD83" s="69" t="s">
        <v>160</v>
      </c>
      <c r="CE83" s="69" t="s">
        <v>160</v>
      </c>
      <c r="CF83" s="69" t="s">
        <v>160</v>
      </c>
      <c r="CG83" s="69" t="s">
        <v>160</v>
      </c>
      <c r="CH83" s="69" t="s">
        <v>160</v>
      </c>
      <c r="CI83" s="69" t="s">
        <v>160</v>
      </c>
      <c r="CJ83" s="69" t="s">
        <v>160</v>
      </c>
      <c r="CK83" s="69" t="s">
        <v>160</v>
      </c>
      <c r="CL83" s="69" t="s">
        <v>160</v>
      </c>
      <c r="CM83" s="69" t="s">
        <v>160</v>
      </c>
      <c r="CN83" s="69" t="s">
        <v>160</v>
      </c>
      <c r="CO83" s="69" t="s">
        <v>160</v>
      </c>
      <c r="CP83" s="69" t="s">
        <v>160</v>
      </c>
      <c r="CQ83" s="69" t="s">
        <v>160</v>
      </c>
      <c r="CR83" s="69" t="s">
        <v>160</v>
      </c>
      <c r="CS83" s="69" t="s">
        <v>160</v>
      </c>
      <c r="CT83" s="69" t="s">
        <v>160</v>
      </c>
      <c r="CU83" s="69" t="s">
        <v>160</v>
      </c>
      <c r="CV83" s="69" t="s">
        <v>160</v>
      </c>
      <c r="CW83" s="69" t="s">
        <v>160</v>
      </c>
      <c r="CX83" s="69" t="s">
        <v>160</v>
      </c>
      <c r="CY83" s="69" t="s">
        <v>160</v>
      </c>
      <c r="CZ83" s="69" t="s">
        <v>160</v>
      </c>
      <c r="DA83" s="69" t="s">
        <v>160</v>
      </c>
      <c r="DB83" s="69" t="s">
        <v>160</v>
      </c>
      <c r="DC83" s="69" t="s">
        <v>160</v>
      </c>
      <c r="DD83" s="69" t="s">
        <v>160</v>
      </c>
      <c r="DE83" s="69" t="s">
        <v>160</v>
      </c>
      <c r="DF83" s="69" t="s">
        <v>160</v>
      </c>
      <c r="DG83" s="69" t="s">
        <v>160</v>
      </c>
      <c r="DH83" s="69" t="s">
        <v>160</v>
      </c>
      <c r="DI83" s="69" t="s">
        <v>160</v>
      </c>
      <c r="DJ83" s="69" t="s">
        <v>160</v>
      </c>
      <c r="DK83" s="69" t="s">
        <v>160</v>
      </c>
      <c r="DL83" s="69" t="s">
        <v>160</v>
      </c>
      <c r="DM83" s="69" t="s">
        <v>160</v>
      </c>
      <c r="DN83" s="69" t="s">
        <v>160</v>
      </c>
      <c r="DO83" s="69" t="s">
        <v>160</v>
      </c>
      <c r="DP83" s="69" t="s">
        <v>160</v>
      </c>
      <c r="DQ83" s="69" t="s">
        <v>160</v>
      </c>
      <c r="DR83" s="69" t="s">
        <v>160</v>
      </c>
      <c r="DS83" s="69" t="s">
        <v>160</v>
      </c>
      <c r="DT83" s="69" t="s">
        <v>160</v>
      </c>
      <c r="DU83" s="69" t="s">
        <v>160</v>
      </c>
      <c r="DV83" s="69" t="s">
        <v>160</v>
      </c>
      <c r="DW83" s="69" t="s">
        <v>160</v>
      </c>
      <c r="DX83" s="69" t="s">
        <v>160</v>
      </c>
      <c r="DY83" s="69" t="s">
        <v>160</v>
      </c>
      <c r="DZ83" s="69" t="s">
        <v>160</v>
      </c>
      <c r="EA83" s="69" t="s">
        <v>160</v>
      </c>
      <c r="EB83" s="69" t="s">
        <v>160</v>
      </c>
      <c r="EC83" s="69" t="s">
        <v>160</v>
      </c>
      <c r="ED83" s="69" t="s">
        <v>160</v>
      </c>
      <c r="EE83" s="69" t="s">
        <v>160</v>
      </c>
      <c r="EF83" s="69" t="s">
        <v>160</v>
      </c>
      <c r="EG83" s="69" t="s">
        <v>160</v>
      </c>
      <c r="EH83" s="69" t="s">
        <v>160</v>
      </c>
      <c r="EI83" s="69" t="s">
        <v>160</v>
      </c>
      <c r="EJ83" s="69" t="s">
        <v>160</v>
      </c>
      <c r="EK83" s="69" t="s">
        <v>160</v>
      </c>
      <c r="EL83" s="69" t="s">
        <v>160</v>
      </c>
      <c r="EM83" s="69" t="s">
        <v>160</v>
      </c>
      <c r="EN83" s="69" t="s">
        <v>160</v>
      </c>
      <c r="EO83" s="69" t="s">
        <v>160</v>
      </c>
      <c r="EP83" s="69" t="s">
        <v>160</v>
      </c>
      <c r="EQ83" s="69" t="s">
        <v>160</v>
      </c>
      <c r="ER83" s="69" t="s">
        <v>160</v>
      </c>
      <c r="ES83" s="69" t="s">
        <v>160</v>
      </c>
      <c r="ET83" s="69" t="s">
        <v>160</v>
      </c>
      <c r="EU83" s="69" t="s">
        <v>160</v>
      </c>
      <c r="EV83" s="69" t="s">
        <v>160</v>
      </c>
      <c r="EW83" s="69" t="s">
        <v>160</v>
      </c>
      <c r="EX83" s="69" t="s">
        <v>160</v>
      </c>
      <c r="EY83" s="69" t="s">
        <v>160</v>
      </c>
      <c r="EZ83" s="69" t="s">
        <v>160</v>
      </c>
      <c r="FA83" s="69" t="s">
        <v>160</v>
      </c>
      <c r="FB83" s="69" t="s">
        <v>160</v>
      </c>
      <c r="FC83" s="69" t="s">
        <v>160</v>
      </c>
      <c r="FD83" s="69" t="s">
        <v>160</v>
      </c>
    </row>
    <row r="84" spans="1:160">
      <c r="A84" s="103" t="s">
        <v>484</v>
      </c>
      <c r="B84" s="20" t="s">
        <v>163</v>
      </c>
      <c r="C84" s="91" t="s">
        <v>171</v>
      </c>
      <c r="G84" s="51" t="str">
        <f t="shared" si="10"/>
        <v>Technical design document explaining the data schema and algorithm</v>
      </c>
      <c r="H84" s="51" t="s">
        <v>2</v>
      </c>
      <c r="I84" s="64">
        <v>45078</v>
      </c>
      <c r="J84" s="64">
        <v>45291</v>
      </c>
      <c r="K84" s="64"/>
      <c r="L84" s="64"/>
      <c r="M84" s="64"/>
      <c r="N84" s="64" t="b">
        <f t="shared" ref="N84:N88" si="12">ISNUMBER(SEARCH("*Waiting*",M84))</f>
        <v>0</v>
      </c>
      <c r="O84" s="64"/>
      <c r="P84" s="24">
        <v>0</v>
      </c>
      <c r="R84" s="51" t="s">
        <v>2</v>
      </c>
      <c r="S84" s="68" t="s">
        <v>160</v>
      </c>
      <c r="T84" s="69" t="s">
        <v>160</v>
      </c>
      <c r="U84" s="69" t="s">
        <v>160</v>
      </c>
      <c r="V84" s="69" t="s">
        <v>160</v>
      </c>
      <c r="W84" s="69" t="s">
        <v>160</v>
      </c>
      <c r="X84" s="69" t="s">
        <v>160</v>
      </c>
      <c r="Y84" s="69" t="s">
        <v>160</v>
      </c>
      <c r="Z84" s="69" t="s">
        <v>160</v>
      </c>
      <c r="AA84" s="69" t="s">
        <v>160</v>
      </c>
      <c r="AB84" s="69" t="s">
        <v>160</v>
      </c>
      <c r="AC84" s="69" t="s">
        <v>160</v>
      </c>
      <c r="AD84" s="69" t="s">
        <v>160</v>
      </c>
      <c r="AE84" s="69" t="s">
        <v>160</v>
      </c>
      <c r="AF84" s="69" t="s">
        <v>160</v>
      </c>
      <c r="AG84" s="69" t="s">
        <v>160</v>
      </c>
      <c r="AH84" s="69" t="s">
        <v>160</v>
      </c>
      <c r="AI84" s="69" t="s">
        <v>160</v>
      </c>
      <c r="AJ84" s="69" t="s">
        <v>160</v>
      </c>
      <c r="AK84" s="69" t="s">
        <v>160</v>
      </c>
      <c r="AL84" s="69" t="s">
        <v>160</v>
      </c>
      <c r="AM84" s="69" t="s">
        <v>160</v>
      </c>
      <c r="AN84" s="69" t="s">
        <v>160</v>
      </c>
      <c r="AO84" s="69" t="s">
        <v>160</v>
      </c>
      <c r="AP84" s="69" t="s">
        <v>160</v>
      </c>
      <c r="AQ84" s="69" t="s">
        <v>160</v>
      </c>
      <c r="AR84" s="69" t="s">
        <v>160</v>
      </c>
      <c r="AS84" s="69" t="s">
        <v>160</v>
      </c>
      <c r="AT84" s="69" t="s">
        <v>160</v>
      </c>
      <c r="AU84" s="69" t="s">
        <v>160</v>
      </c>
      <c r="AV84" s="69" t="s">
        <v>160</v>
      </c>
      <c r="AW84" s="69" t="s">
        <v>160</v>
      </c>
      <c r="AX84" s="69" t="s">
        <v>160</v>
      </c>
      <c r="AY84" s="69" t="s">
        <v>160</v>
      </c>
      <c r="AZ84" s="69" t="s">
        <v>160</v>
      </c>
      <c r="BA84" s="69" t="s">
        <v>160</v>
      </c>
      <c r="BB84" s="69" t="s">
        <v>160</v>
      </c>
      <c r="BC84" s="69" t="s">
        <v>160</v>
      </c>
      <c r="BD84" s="69" t="s">
        <v>160</v>
      </c>
      <c r="BE84" s="69" t="s">
        <v>160</v>
      </c>
      <c r="BF84" s="69" t="s">
        <v>160</v>
      </c>
      <c r="BG84" s="69" t="s">
        <v>160</v>
      </c>
      <c r="BH84" s="69" t="s">
        <v>160</v>
      </c>
      <c r="BI84" s="69" t="s">
        <v>160</v>
      </c>
      <c r="BJ84" s="69" t="s">
        <v>160</v>
      </c>
      <c r="BK84" s="69" t="s">
        <v>160</v>
      </c>
      <c r="BL84" s="69" t="s">
        <v>160</v>
      </c>
      <c r="BM84" s="69" t="s">
        <v>160</v>
      </c>
      <c r="BN84" s="69" t="s">
        <v>160</v>
      </c>
      <c r="BO84" s="69" t="s">
        <v>160</v>
      </c>
      <c r="BP84" s="69" t="s">
        <v>160</v>
      </c>
      <c r="BQ84" s="69" t="s">
        <v>160</v>
      </c>
      <c r="BR84" s="69" t="s">
        <v>160</v>
      </c>
      <c r="BS84" s="69" t="s">
        <v>160</v>
      </c>
      <c r="BT84" s="69" t="s">
        <v>160</v>
      </c>
      <c r="BU84" s="69" t="s">
        <v>160</v>
      </c>
      <c r="BV84" s="69" t="s">
        <v>160</v>
      </c>
      <c r="BW84" s="69" t="s">
        <v>160</v>
      </c>
      <c r="BX84" s="69" t="s">
        <v>160</v>
      </c>
      <c r="BY84" s="69" t="s">
        <v>160</v>
      </c>
      <c r="BZ84" s="69" t="s">
        <v>160</v>
      </c>
      <c r="CA84" s="69" t="s">
        <v>160</v>
      </c>
      <c r="CB84" s="69" t="s">
        <v>160</v>
      </c>
      <c r="CC84" s="69" t="s">
        <v>160</v>
      </c>
      <c r="CD84" s="69" t="s">
        <v>160</v>
      </c>
      <c r="CE84" s="69" t="s">
        <v>160</v>
      </c>
      <c r="CF84" s="69" t="s">
        <v>160</v>
      </c>
      <c r="CG84" s="69" t="s">
        <v>160</v>
      </c>
      <c r="CH84" s="69" t="s">
        <v>160</v>
      </c>
      <c r="CI84" s="69" t="s">
        <v>160</v>
      </c>
      <c r="CJ84" s="69" t="s">
        <v>160</v>
      </c>
      <c r="CK84" s="69" t="s">
        <v>160</v>
      </c>
      <c r="CL84" s="69" t="s">
        <v>160</v>
      </c>
      <c r="CM84" s="69" t="s">
        <v>160</v>
      </c>
      <c r="CN84" s="69" t="s">
        <v>160</v>
      </c>
      <c r="CO84" s="69" t="s">
        <v>160</v>
      </c>
      <c r="CP84" s="69" t="s">
        <v>160</v>
      </c>
      <c r="CQ84" s="69" t="s">
        <v>160</v>
      </c>
      <c r="CR84" s="69" t="s">
        <v>160</v>
      </c>
      <c r="CS84" s="69" t="s">
        <v>160</v>
      </c>
      <c r="CT84" s="69" t="s">
        <v>160</v>
      </c>
      <c r="CU84" s="69" t="s">
        <v>160</v>
      </c>
      <c r="CV84" s="69" t="s">
        <v>160</v>
      </c>
      <c r="CW84" s="69" t="s">
        <v>160</v>
      </c>
      <c r="CX84" s="69" t="s">
        <v>160</v>
      </c>
      <c r="CY84" s="69" t="s">
        <v>160</v>
      </c>
      <c r="CZ84" s="69" t="s">
        <v>160</v>
      </c>
      <c r="DA84" s="69" t="s">
        <v>160</v>
      </c>
      <c r="DB84" s="69" t="s">
        <v>160</v>
      </c>
      <c r="DC84" s="69" t="s">
        <v>160</v>
      </c>
      <c r="DD84" s="69" t="s">
        <v>160</v>
      </c>
      <c r="DE84" s="69" t="s">
        <v>160</v>
      </c>
      <c r="DF84" s="69" t="s">
        <v>160</v>
      </c>
      <c r="DG84" s="69" t="s">
        <v>160</v>
      </c>
      <c r="DH84" s="69" t="s">
        <v>160</v>
      </c>
      <c r="DI84" s="69" t="s">
        <v>160</v>
      </c>
      <c r="DJ84" s="69" t="s">
        <v>160</v>
      </c>
      <c r="DK84" s="69" t="s">
        <v>160</v>
      </c>
      <c r="DL84" s="69" t="s">
        <v>160</v>
      </c>
      <c r="DM84" s="69" t="s">
        <v>160</v>
      </c>
      <c r="DN84" s="69" t="s">
        <v>160</v>
      </c>
      <c r="DO84" s="69" t="s">
        <v>160</v>
      </c>
      <c r="DP84" s="69" t="s">
        <v>160</v>
      </c>
      <c r="DQ84" s="69" t="s">
        <v>160</v>
      </c>
      <c r="DR84" s="69" t="s">
        <v>160</v>
      </c>
      <c r="DS84" s="69" t="s">
        <v>160</v>
      </c>
      <c r="DT84" s="69" t="s">
        <v>160</v>
      </c>
      <c r="DU84" s="69" t="s">
        <v>160</v>
      </c>
      <c r="DV84" s="69" t="s">
        <v>160</v>
      </c>
      <c r="DW84" s="69" t="s">
        <v>160</v>
      </c>
      <c r="DX84" s="69" t="s">
        <v>160</v>
      </c>
      <c r="DY84" s="69" t="s">
        <v>160</v>
      </c>
      <c r="DZ84" s="69" t="s">
        <v>160</v>
      </c>
      <c r="EA84" s="69" t="s">
        <v>160</v>
      </c>
      <c r="EB84" s="69" t="s">
        <v>160</v>
      </c>
      <c r="EC84" s="69" t="s">
        <v>160</v>
      </c>
      <c r="ED84" s="69" t="s">
        <v>160</v>
      </c>
      <c r="EE84" s="69" t="s">
        <v>160</v>
      </c>
      <c r="EF84" s="69" t="s">
        <v>160</v>
      </c>
      <c r="EG84" s="69" t="s">
        <v>160</v>
      </c>
      <c r="EH84" s="69" t="s">
        <v>160</v>
      </c>
      <c r="EI84" s="69" t="s">
        <v>160</v>
      </c>
      <c r="EJ84" s="69" t="s">
        <v>160</v>
      </c>
      <c r="EK84" s="69" t="s">
        <v>160</v>
      </c>
      <c r="EL84" s="69" t="s">
        <v>160</v>
      </c>
      <c r="EM84" s="69" t="s">
        <v>160</v>
      </c>
      <c r="EN84" s="69" t="s">
        <v>160</v>
      </c>
      <c r="EO84" s="69" t="s">
        <v>160</v>
      </c>
      <c r="EP84" s="69" t="s">
        <v>160</v>
      </c>
      <c r="EQ84" s="69" t="s">
        <v>160</v>
      </c>
      <c r="ER84" s="69" t="s">
        <v>160</v>
      </c>
      <c r="ES84" s="69" t="s">
        <v>160</v>
      </c>
      <c r="ET84" s="69" t="s">
        <v>160</v>
      </c>
      <c r="EU84" s="69" t="s">
        <v>160</v>
      </c>
      <c r="EV84" s="69" t="s">
        <v>160</v>
      </c>
      <c r="EW84" s="69" t="s">
        <v>160</v>
      </c>
      <c r="EX84" s="69" t="s">
        <v>160</v>
      </c>
      <c r="EY84" s="69" t="s">
        <v>160</v>
      </c>
      <c r="EZ84" s="69" t="s">
        <v>160</v>
      </c>
      <c r="FA84" s="69" t="s">
        <v>160</v>
      </c>
      <c r="FB84" s="69" t="s">
        <v>160</v>
      </c>
      <c r="FC84" s="69" t="s">
        <v>160</v>
      </c>
      <c r="FD84" s="69" t="s">
        <v>160</v>
      </c>
    </row>
    <row r="85" spans="1:160">
      <c r="A85" s="103" t="s">
        <v>485</v>
      </c>
      <c r="B85" s="20" t="s">
        <v>163</v>
      </c>
      <c r="C85" s="91" t="s">
        <v>172</v>
      </c>
      <c r="G85" s="51" t="str">
        <f t="shared" si="10"/>
        <v>Software Code</v>
      </c>
      <c r="H85" s="51" t="s">
        <v>2</v>
      </c>
      <c r="I85" s="64">
        <v>45078</v>
      </c>
      <c r="J85" s="64">
        <v>45291</v>
      </c>
      <c r="K85" s="64"/>
      <c r="L85" s="64"/>
      <c r="M85" s="64"/>
      <c r="N85" s="64" t="b">
        <f t="shared" si="12"/>
        <v>0</v>
      </c>
      <c r="O85" s="64"/>
      <c r="P85" s="24">
        <v>0</v>
      </c>
      <c r="R85" s="51" t="s">
        <v>2</v>
      </c>
      <c r="S85" s="68" t="s">
        <v>160</v>
      </c>
      <c r="T85" s="69" t="s">
        <v>160</v>
      </c>
      <c r="U85" s="69" t="s">
        <v>160</v>
      </c>
      <c r="V85" s="69" t="s">
        <v>160</v>
      </c>
      <c r="W85" s="69" t="s">
        <v>160</v>
      </c>
      <c r="X85" s="69" t="s">
        <v>160</v>
      </c>
      <c r="Y85" s="69" t="s">
        <v>160</v>
      </c>
      <c r="Z85" s="69" t="s">
        <v>160</v>
      </c>
      <c r="AA85" s="69" t="s">
        <v>160</v>
      </c>
      <c r="AB85" s="69" t="s">
        <v>160</v>
      </c>
      <c r="AC85" s="69" t="s">
        <v>160</v>
      </c>
      <c r="AD85" s="69" t="s">
        <v>160</v>
      </c>
      <c r="AE85" s="69" t="s">
        <v>160</v>
      </c>
      <c r="AF85" s="69" t="s">
        <v>160</v>
      </c>
      <c r="AG85" s="69" t="s">
        <v>160</v>
      </c>
      <c r="AH85" s="69" t="s">
        <v>160</v>
      </c>
      <c r="AI85" s="69" t="s">
        <v>160</v>
      </c>
      <c r="AJ85" s="69" t="s">
        <v>160</v>
      </c>
      <c r="AK85" s="69" t="s">
        <v>160</v>
      </c>
      <c r="AL85" s="69" t="s">
        <v>160</v>
      </c>
      <c r="AM85" s="69" t="s">
        <v>160</v>
      </c>
      <c r="AN85" s="69" t="s">
        <v>160</v>
      </c>
      <c r="AO85" s="69" t="s">
        <v>160</v>
      </c>
      <c r="AP85" s="69" t="s">
        <v>160</v>
      </c>
      <c r="AQ85" s="69" t="s">
        <v>160</v>
      </c>
      <c r="AR85" s="69" t="s">
        <v>160</v>
      </c>
      <c r="AS85" s="69" t="s">
        <v>160</v>
      </c>
      <c r="AT85" s="69" t="s">
        <v>160</v>
      </c>
      <c r="AU85" s="69" t="s">
        <v>160</v>
      </c>
      <c r="AV85" s="69" t="s">
        <v>160</v>
      </c>
      <c r="AW85" s="69" t="s">
        <v>160</v>
      </c>
      <c r="AX85" s="69" t="s">
        <v>160</v>
      </c>
      <c r="AY85" s="69" t="s">
        <v>160</v>
      </c>
      <c r="AZ85" s="69" t="s">
        <v>160</v>
      </c>
      <c r="BA85" s="69" t="s">
        <v>160</v>
      </c>
      <c r="BB85" s="69" t="s">
        <v>160</v>
      </c>
      <c r="BC85" s="69" t="s">
        <v>160</v>
      </c>
      <c r="BD85" s="69" t="s">
        <v>160</v>
      </c>
      <c r="BE85" s="69" t="s">
        <v>160</v>
      </c>
      <c r="BF85" s="69" t="s">
        <v>160</v>
      </c>
      <c r="BG85" s="69" t="s">
        <v>160</v>
      </c>
      <c r="BH85" s="69" t="s">
        <v>160</v>
      </c>
      <c r="BI85" s="69" t="s">
        <v>160</v>
      </c>
      <c r="BJ85" s="69" t="s">
        <v>160</v>
      </c>
      <c r="BK85" s="69" t="s">
        <v>160</v>
      </c>
      <c r="BL85" s="69" t="s">
        <v>160</v>
      </c>
      <c r="BM85" s="69" t="s">
        <v>160</v>
      </c>
      <c r="BN85" s="69" t="s">
        <v>160</v>
      </c>
      <c r="BO85" s="69" t="s">
        <v>160</v>
      </c>
      <c r="BP85" s="69" t="s">
        <v>160</v>
      </c>
      <c r="BQ85" s="69" t="s">
        <v>160</v>
      </c>
      <c r="BR85" s="69" t="s">
        <v>160</v>
      </c>
      <c r="BS85" s="69" t="s">
        <v>160</v>
      </c>
      <c r="BT85" s="69" t="s">
        <v>160</v>
      </c>
      <c r="BU85" s="69" t="s">
        <v>160</v>
      </c>
      <c r="BV85" s="69" t="s">
        <v>160</v>
      </c>
      <c r="BW85" s="69" t="s">
        <v>160</v>
      </c>
      <c r="BX85" s="69" t="s">
        <v>160</v>
      </c>
      <c r="BY85" s="69" t="s">
        <v>160</v>
      </c>
      <c r="BZ85" s="69" t="s">
        <v>160</v>
      </c>
      <c r="CA85" s="69" t="s">
        <v>160</v>
      </c>
      <c r="CB85" s="69" t="s">
        <v>160</v>
      </c>
      <c r="CC85" s="69" t="s">
        <v>160</v>
      </c>
      <c r="CD85" s="69" t="s">
        <v>160</v>
      </c>
      <c r="CE85" s="69" t="s">
        <v>160</v>
      </c>
      <c r="CF85" s="69" t="s">
        <v>160</v>
      </c>
      <c r="CG85" s="69" t="s">
        <v>160</v>
      </c>
      <c r="CH85" s="69" t="s">
        <v>160</v>
      </c>
      <c r="CI85" s="69" t="s">
        <v>160</v>
      </c>
      <c r="CJ85" s="69" t="s">
        <v>160</v>
      </c>
      <c r="CK85" s="69" t="s">
        <v>160</v>
      </c>
      <c r="CL85" s="69" t="s">
        <v>160</v>
      </c>
      <c r="CM85" s="69" t="s">
        <v>160</v>
      </c>
      <c r="CN85" s="69" t="s">
        <v>160</v>
      </c>
      <c r="CO85" s="69" t="s">
        <v>160</v>
      </c>
      <c r="CP85" s="69" t="s">
        <v>160</v>
      </c>
      <c r="CQ85" s="69" t="s">
        <v>160</v>
      </c>
      <c r="CR85" s="69" t="s">
        <v>160</v>
      </c>
      <c r="CS85" s="69" t="s">
        <v>160</v>
      </c>
      <c r="CT85" s="69" t="s">
        <v>160</v>
      </c>
      <c r="CU85" s="69" t="s">
        <v>160</v>
      </c>
      <c r="CV85" s="69" t="s">
        <v>160</v>
      </c>
      <c r="CW85" s="69" t="s">
        <v>160</v>
      </c>
      <c r="CX85" s="69" t="s">
        <v>160</v>
      </c>
      <c r="CY85" s="69" t="s">
        <v>160</v>
      </c>
      <c r="CZ85" s="69" t="s">
        <v>160</v>
      </c>
      <c r="DA85" s="69" t="s">
        <v>160</v>
      </c>
      <c r="DB85" s="69" t="s">
        <v>160</v>
      </c>
      <c r="DC85" s="69" t="s">
        <v>160</v>
      </c>
      <c r="DD85" s="69" t="s">
        <v>160</v>
      </c>
      <c r="DE85" s="69" t="s">
        <v>160</v>
      </c>
      <c r="DF85" s="69" t="s">
        <v>160</v>
      </c>
      <c r="DG85" s="69" t="s">
        <v>160</v>
      </c>
      <c r="DH85" s="69" t="s">
        <v>160</v>
      </c>
      <c r="DI85" s="69" t="s">
        <v>160</v>
      </c>
      <c r="DJ85" s="69" t="s">
        <v>160</v>
      </c>
      <c r="DK85" s="69" t="s">
        <v>160</v>
      </c>
      <c r="DL85" s="69" t="s">
        <v>160</v>
      </c>
      <c r="DM85" s="69" t="s">
        <v>160</v>
      </c>
      <c r="DN85" s="69" t="s">
        <v>160</v>
      </c>
      <c r="DO85" s="69" t="s">
        <v>160</v>
      </c>
      <c r="DP85" s="69" t="s">
        <v>160</v>
      </c>
      <c r="DQ85" s="69" t="s">
        <v>160</v>
      </c>
      <c r="DR85" s="69" t="s">
        <v>160</v>
      </c>
      <c r="DS85" s="69" t="s">
        <v>160</v>
      </c>
      <c r="DT85" s="69" t="s">
        <v>160</v>
      </c>
      <c r="DU85" s="69" t="s">
        <v>160</v>
      </c>
      <c r="DV85" s="69" t="s">
        <v>160</v>
      </c>
      <c r="DW85" s="69" t="s">
        <v>160</v>
      </c>
      <c r="DX85" s="69" t="s">
        <v>160</v>
      </c>
      <c r="DY85" s="69" t="s">
        <v>160</v>
      </c>
      <c r="DZ85" s="69" t="s">
        <v>160</v>
      </c>
      <c r="EA85" s="69" t="s">
        <v>160</v>
      </c>
      <c r="EB85" s="69" t="s">
        <v>160</v>
      </c>
      <c r="EC85" s="69" t="s">
        <v>160</v>
      </c>
      <c r="ED85" s="69" t="s">
        <v>160</v>
      </c>
      <c r="EE85" s="69" t="s">
        <v>160</v>
      </c>
      <c r="EF85" s="69" t="s">
        <v>160</v>
      </c>
      <c r="EG85" s="69" t="s">
        <v>160</v>
      </c>
      <c r="EH85" s="69" t="s">
        <v>160</v>
      </c>
      <c r="EI85" s="69" t="s">
        <v>160</v>
      </c>
      <c r="EJ85" s="69" t="s">
        <v>160</v>
      </c>
      <c r="EK85" s="69" t="s">
        <v>160</v>
      </c>
      <c r="EL85" s="69" t="s">
        <v>160</v>
      </c>
      <c r="EM85" s="69" t="s">
        <v>160</v>
      </c>
      <c r="EN85" s="69" t="s">
        <v>160</v>
      </c>
      <c r="EO85" s="69" t="s">
        <v>160</v>
      </c>
      <c r="EP85" s="69" t="s">
        <v>160</v>
      </c>
      <c r="EQ85" s="69" t="s">
        <v>160</v>
      </c>
      <c r="ER85" s="69" t="s">
        <v>160</v>
      </c>
      <c r="ES85" s="69" t="s">
        <v>160</v>
      </c>
      <c r="ET85" s="69" t="s">
        <v>160</v>
      </c>
      <c r="EU85" s="69" t="s">
        <v>160</v>
      </c>
      <c r="EV85" s="69" t="s">
        <v>160</v>
      </c>
      <c r="EW85" s="69" t="s">
        <v>160</v>
      </c>
      <c r="EX85" s="69" t="s">
        <v>160</v>
      </c>
      <c r="EY85" s="69" t="s">
        <v>160</v>
      </c>
      <c r="EZ85" s="69" t="s">
        <v>160</v>
      </c>
      <c r="FA85" s="69" t="s">
        <v>160</v>
      </c>
      <c r="FB85" s="69" t="s">
        <v>160</v>
      </c>
      <c r="FC85" s="69" t="s">
        <v>160</v>
      </c>
      <c r="FD85" s="69" t="s">
        <v>160</v>
      </c>
    </row>
    <row r="86" spans="1:160">
      <c r="A86" s="103" t="s">
        <v>486</v>
      </c>
      <c r="B86" s="20" t="s">
        <v>163</v>
      </c>
      <c r="C86" s="91" t="s">
        <v>173</v>
      </c>
      <c r="G86" s="51" t="str">
        <f t="shared" si="10"/>
        <v>Deployment Procedure of the code</v>
      </c>
      <c r="H86" s="51" t="s">
        <v>2</v>
      </c>
      <c r="I86" s="64">
        <v>45078</v>
      </c>
      <c r="J86" s="64">
        <v>45291</v>
      </c>
      <c r="K86" s="64"/>
      <c r="L86" s="64"/>
      <c r="M86" s="64"/>
      <c r="N86" s="64" t="b">
        <f t="shared" si="12"/>
        <v>0</v>
      </c>
      <c r="O86" s="64"/>
      <c r="P86" s="24">
        <v>0</v>
      </c>
      <c r="R86" s="51" t="s">
        <v>2</v>
      </c>
      <c r="S86" s="68" t="s">
        <v>160</v>
      </c>
      <c r="T86" s="69" t="s">
        <v>160</v>
      </c>
      <c r="U86" s="69" t="s">
        <v>160</v>
      </c>
      <c r="V86" s="69" t="s">
        <v>160</v>
      </c>
      <c r="W86" s="69" t="s">
        <v>160</v>
      </c>
      <c r="X86" s="69" t="s">
        <v>160</v>
      </c>
      <c r="Y86" s="69" t="s">
        <v>160</v>
      </c>
      <c r="Z86" s="69" t="s">
        <v>160</v>
      </c>
      <c r="AA86" s="69" t="s">
        <v>160</v>
      </c>
      <c r="AB86" s="69" t="s">
        <v>160</v>
      </c>
      <c r="AC86" s="69" t="s">
        <v>160</v>
      </c>
      <c r="AD86" s="69" t="s">
        <v>160</v>
      </c>
      <c r="AE86" s="69" t="s">
        <v>160</v>
      </c>
      <c r="AF86" s="69" t="s">
        <v>160</v>
      </c>
      <c r="AG86" s="69" t="s">
        <v>160</v>
      </c>
      <c r="AH86" s="69" t="s">
        <v>160</v>
      </c>
      <c r="AI86" s="69" t="s">
        <v>160</v>
      </c>
      <c r="AJ86" s="69" t="s">
        <v>160</v>
      </c>
      <c r="AK86" s="69" t="s">
        <v>160</v>
      </c>
      <c r="AL86" s="69" t="s">
        <v>160</v>
      </c>
      <c r="AM86" s="69" t="s">
        <v>160</v>
      </c>
      <c r="AN86" s="69" t="s">
        <v>160</v>
      </c>
      <c r="AO86" s="69" t="s">
        <v>160</v>
      </c>
      <c r="AP86" s="69" t="s">
        <v>160</v>
      </c>
      <c r="AQ86" s="69" t="s">
        <v>160</v>
      </c>
      <c r="AR86" s="69" t="s">
        <v>160</v>
      </c>
      <c r="AS86" s="69" t="s">
        <v>160</v>
      </c>
      <c r="AT86" s="69" t="s">
        <v>160</v>
      </c>
      <c r="AU86" s="69" t="s">
        <v>160</v>
      </c>
      <c r="AV86" s="69" t="s">
        <v>160</v>
      </c>
      <c r="AW86" s="69" t="s">
        <v>160</v>
      </c>
      <c r="AX86" s="69" t="s">
        <v>160</v>
      </c>
      <c r="AY86" s="69" t="s">
        <v>160</v>
      </c>
      <c r="AZ86" s="69" t="s">
        <v>160</v>
      </c>
      <c r="BA86" s="69" t="s">
        <v>160</v>
      </c>
      <c r="BB86" s="69" t="s">
        <v>160</v>
      </c>
      <c r="BC86" s="69" t="s">
        <v>160</v>
      </c>
      <c r="BD86" s="69" t="s">
        <v>160</v>
      </c>
      <c r="BE86" s="69" t="s">
        <v>160</v>
      </c>
      <c r="BF86" s="69" t="s">
        <v>160</v>
      </c>
      <c r="BG86" s="69" t="s">
        <v>160</v>
      </c>
      <c r="BH86" s="69" t="s">
        <v>160</v>
      </c>
      <c r="BI86" s="69" t="s">
        <v>160</v>
      </c>
      <c r="BJ86" s="69" t="s">
        <v>160</v>
      </c>
      <c r="BK86" s="69" t="s">
        <v>160</v>
      </c>
      <c r="BL86" s="69" t="s">
        <v>160</v>
      </c>
      <c r="BM86" s="69" t="s">
        <v>160</v>
      </c>
      <c r="BN86" s="69" t="s">
        <v>160</v>
      </c>
      <c r="BO86" s="69" t="s">
        <v>160</v>
      </c>
      <c r="BP86" s="69" t="s">
        <v>160</v>
      </c>
      <c r="BQ86" s="69" t="s">
        <v>160</v>
      </c>
      <c r="BR86" s="69" t="s">
        <v>160</v>
      </c>
      <c r="BS86" s="69" t="s">
        <v>160</v>
      </c>
      <c r="BT86" s="69" t="s">
        <v>160</v>
      </c>
      <c r="BU86" s="69" t="s">
        <v>160</v>
      </c>
      <c r="BV86" s="69" t="s">
        <v>160</v>
      </c>
      <c r="BW86" s="69" t="s">
        <v>160</v>
      </c>
      <c r="BX86" s="69" t="s">
        <v>160</v>
      </c>
      <c r="BY86" s="69" t="s">
        <v>160</v>
      </c>
      <c r="BZ86" s="69" t="s">
        <v>160</v>
      </c>
      <c r="CA86" s="69" t="s">
        <v>160</v>
      </c>
      <c r="CB86" s="69" t="s">
        <v>160</v>
      </c>
      <c r="CC86" s="69" t="s">
        <v>160</v>
      </c>
      <c r="CD86" s="69" t="s">
        <v>160</v>
      </c>
      <c r="CE86" s="69" t="s">
        <v>160</v>
      </c>
      <c r="CF86" s="69" t="s">
        <v>160</v>
      </c>
      <c r="CG86" s="69" t="s">
        <v>160</v>
      </c>
      <c r="CH86" s="69" t="s">
        <v>160</v>
      </c>
      <c r="CI86" s="69" t="s">
        <v>160</v>
      </c>
      <c r="CJ86" s="69" t="s">
        <v>160</v>
      </c>
      <c r="CK86" s="69" t="s">
        <v>160</v>
      </c>
      <c r="CL86" s="69" t="s">
        <v>160</v>
      </c>
      <c r="CM86" s="69" t="s">
        <v>160</v>
      </c>
      <c r="CN86" s="69" t="s">
        <v>160</v>
      </c>
      <c r="CO86" s="69" t="s">
        <v>160</v>
      </c>
      <c r="CP86" s="69" t="s">
        <v>160</v>
      </c>
      <c r="CQ86" s="69" t="s">
        <v>160</v>
      </c>
      <c r="CR86" s="69" t="s">
        <v>160</v>
      </c>
      <c r="CS86" s="69" t="s">
        <v>160</v>
      </c>
      <c r="CT86" s="69" t="s">
        <v>160</v>
      </c>
      <c r="CU86" s="69" t="s">
        <v>160</v>
      </c>
      <c r="CV86" s="69" t="s">
        <v>160</v>
      </c>
      <c r="CW86" s="69" t="s">
        <v>160</v>
      </c>
      <c r="CX86" s="69" t="s">
        <v>160</v>
      </c>
      <c r="CY86" s="69" t="s">
        <v>160</v>
      </c>
      <c r="CZ86" s="69" t="s">
        <v>160</v>
      </c>
      <c r="DA86" s="69" t="s">
        <v>160</v>
      </c>
      <c r="DB86" s="69" t="s">
        <v>160</v>
      </c>
      <c r="DC86" s="69" t="s">
        <v>160</v>
      </c>
      <c r="DD86" s="69" t="s">
        <v>160</v>
      </c>
      <c r="DE86" s="69" t="s">
        <v>160</v>
      </c>
      <c r="DF86" s="69" t="s">
        <v>160</v>
      </c>
      <c r="DG86" s="69" t="s">
        <v>160</v>
      </c>
      <c r="DH86" s="69" t="s">
        <v>160</v>
      </c>
      <c r="DI86" s="69" t="s">
        <v>160</v>
      </c>
      <c r="DJ86" s="69" t="s">
        <v>160</v>
      </c>
      <c r="DK86" s="69" t="s">
        <v>160</v>
      </c>
      <c r="DL86" s="69" t="s">
        <v>160</v>
      </c>
      <c r="DM86" s="69" t="s">
        <v>160</v>
      </c>
      <c r="DN86" s="69" t="s">
        <v>160</v>
      </c>
      <c r="DO86" s="69" t="s">
        <v>160</v>
      </c>
      <c r="DP86" s="69" t="s">
        <v>160</v>
      </c>
      <c r="DQ86" s="69" t="s">
        <v>160</v>
      </c>
      <c r="DR86" s="69" t="s">
        <v>160</v>
      </c>
      <c r="DS86" s="69" t="s">
        <v>160</v>
      </c>
      <c r="DT86" s="69" t="s">
        <v>160</v>
      </c>
      <c r="DU86" s="69" t="s">
        <v>160</v>
      </c>
      <c r="DV86" s="69" t="s">
        <v>160</v>
      </c>
      <c r="DW86" s="69" t="s">
        <v>160</v>
      </c>
      <c r="DX86" s="69" t="s">
        <v>160</v>
      </c>
      <c r="DY86" s="69" t="s">
        <v>160</v>
      </c>
      <c r="DZ86" s="69" t="s">
        <v>160</v>
      </c>
      <c r="EA86" s="69" t="s">
        <v>160</v>
      </c>
      <c r="EB86" s="69" t="s">
        <v>160</v>
      </c>
      <c r="EC86" s="69" t="s">
        <v>160</v>
      </c>
      <c r="ED86" s="69" t="s">
        <v>160</v>
      </c>
      <c r="EE86" s="69" t="s">
        <v>160</v>
      </c>
      <c r="EF86" s="69" t="s">
        <v>160</v>
      </c>
      <c r="EG86" s="69" t="s">
        <v>160</v>
      </c>
      <c r="EH86" s="69" t="s">
        <v>160</v>
      </c>
      <c r="EI86" s="69" t="s">
        <v>160</v>
      </c>
      <c r="EJ86" s="69" t="s">
        <v>160</v>
      </c>
      <c r="EK86" s="69" t="s">
        <v>160</v>
      </c>
      <c r="EL86" s="69" t="s">
        <v>160</v>
      </c>
      <c r="EM86" s="69" t="s">
        <v>160</v>
      </c>
      <c r="EN86" s="69" t="s">
        <v>160</v>
      </c>
      <c r="EO86" s="69" t="s">
        <v>160</v>
      </c>
      <c r="EP86" s="69" t="s">
        <v>160</v>
      </c>
      <c r="EQ86" s="69" t="s">
        <v>160</v>
      </c>
      <c r="ER86" s="69" t="s">
        <v>160</v>
      </c>
      <c r="ES86" s="69" t="s">
        <v>160</v>
      </c>
      <c r="ET86" s="69" t="s">
        <v>160</v>
      </c>
      <c r="EU86" s="69" t="s">
        <v>160</v>
      </c>
      <c r="EV86" s="69" t="s">
        <v>160</v>
      </c>
      <c r="EW86" s="69" t="s">
        <v>160</v>
      </c>
      <c r="EX86" s="69" t="s">
        <v>160</v>
      </c>
      <c r="EY86" s="69" t="s">
        <v>160</v>
      </c>
      <c r="EZ86" s="69" t="s">
        <v>160</v>
      </c>
      <c r="FA86" s="69" t="s">
        <v>160</v>
      </c>
      <c r="FB86" s="69" t="s">
        <v>160</v>
      </c>
      <c r="FC86" s="69" t="s">
        <v>160</v>
      </c>
      <c r="FD86" s="69" t="s">
        <v>160</v>
      </c>
    </row>
    <row r="87" spans="1:160">
      <c r="A87" s="103" t="s">
        <v>487</v>
      </c>
      <c r="B87" s="20" t="s">
        <v>163</v>
      </c>
      <c r="C87" s="91" t="s">
        <v>175</v>
      </c>
      <c r="G87" s="51" t="str">
        <f t="shared" si="10"/>
        <v>Product usage guide with examples for all the functional usecases</v>
      </c>
      <c r="H87" s="51" t="s">
        <v>2</v>
      </c>
      <c r="I87" s="64">
        <v>45078</v>
      </c>
      <c r="J87" s="64">
        <v>45291</v>
      </c>
      <c r="K87" s="64"/>
      <c r="L87" s="64"/>
      <c r="M87" s="64"/>
      <c r="N87" s="64" t="b">
        <f t="shared" si="12"/>
        <v>0</v>
      </c>
      <c r="O87" s="64"/>
      <c r="P87" s="24">
        <v>0</v>
      </c>
      <c r="R87" s="51" t="s">
        <v>2</v>
      </c>
      <c r="S87" s="68" t="s">
        <v>160</v>
      </c>
      <c r="T87" s="69" t="s">
        <v>160</v>
      </c>
      <c r="U87" s="69" t="s">
        <v>160</v>
      </c>
      <c r="V87" s="69" t="s">
        <v>160</v>
      </c>
      <c r="W87" s="69" t="s">
        <v>160</v>
      </c>
      <c r="X87" s="69" t="s">
        <v>160</v>
      </c>
      <c r="Y87" s="69" t="s">
        <v>160</v>
      </c>
      <c r="Z87" s="69" t="s">
        <v>160</v>
      </c>
      <c r="AA87" s="69" t="s">
        <v>160</v>
      </c>
      <c r="AB87" s="69" t="s">
        <v>160</v>
      </c>
      <c r="AC87" s="69" t="s">
        <v>160</v>
      </c>
      <c r="AD87" s="69" t="s">
        <v>160</v>
      </c>
      <c r="AE87" s="69" t="s">
        <v>160</v>
      </c>
      <c r="AF87" s="69" t="s">
        <v>160</v>
      </c>
      <c r="AG87" s="69" t="s">
        <v>160</v>
      </c>
      <c r="AH87" s="69" t="s">
        <v>160</v>
      </c>
      <c r="AI87" s="69" t="s">
        <v>160</v>
      </c>
      <c r="AJ87" s="69" t="s">
        <v>160</v>
      </c>
      <c r="AK87" s="69" t="s">
        <v>160</v>
      </c>
      <c r="AL87" s="69" t="s">
        <v>160</v>
      </c>
      <c r="AM87" s="69" t="s">
        <v>160</v>
      </c>
      <c r="AN87" s="69" t="s">
        <v>160</v>
      </c>
      <c r="AO87" s="69" t="s">
        <v>160</v>
      </c>
      <c r="AP87" s="69" t="s">
        <v>160</v>
      </c>
      <c r="AQ87" s="69" t="s">
        <v>160</v>
      </c>
      <c r="AR87" s="69" t="s">
        <v>160</v>
      </c>
      <c r="AS87" s="69" t="s">
        <v>160</v>
      </c>
      <c r="AT87" s="69" t="s">
        <v>160</v>
      </c>
      <c r="AU87" s="69" t="s">
        <v>160</v>
      </c>
      <c r="AV87" s="69" t="s">
        <v>160</v>
      </c>
      <c r="AW87" s="69" t="s">
        <v>160</v>
      </c>
      <c r="AX87" s="69" t="s">
        <v>160</v>
      </c>
      <c r="AY87" s="69" t="s">
        <v>160</v>
      </c>
      <c r="AZ87" s="69" t="s">
        <v>160</v>
      </c>
      <c r="BA87" s="69" t="s">
        <v>160</v>
      </c>
      <c r="BB87" s="69" t="s">
        <v>160</v>
      </c>
      <c r="BC87" s="69" t="s">
        <v>160</v>
      </c>
      <c r="BD87" s="69" t="s">
        <v>160</v>
      </c>
      <c r="BE87" s="69" t="s">
        <v>160</v>
      </c>
      <c r="BF87" s="69" t="s">
        <v>160</v>
      </c>
      <c r="BG87" s="69" t="s">
        <v>160</v>
      </c>
      <c r="BH87" s="69" t="s">
        <v>160</v>
      </c>
      <c r="BI87" s="69" t="s">
        <v>160</v>
      </c>
      <c r="BJ87" s="69" t="s">
        <v>160</v>
      </c>
      <c r="BK87" s="69" t="s">
        <v>160</v>
      </c>
      <c r="BL87" s="69" t="s">
        <v>160</v>
      </c>
      <c r="BM87" s="69" t="s">
        <v>160</v>
      </c>
      <c r="BN87" s="69" t="s">
        <v>160</v>
      </c>
      <c r="BO87" s="69" t="s">
        <v>160</v>
      </c>
      <c r="BP87" s="69" t="s">
        <v>160</v>
      </c>
      <c r="BQ87" s="69" t="s">
        <v>160</v>
      </c>
      <c r="BR87" s="69" t="s">
        <v>160</v>
      </c>
      <c r="BS87" s="69" t="s">
        <v>160</v>
      </c>
      <c r="BT87" s="69" t="s">
        <v>160</v>
      </c>
      <c r="BU87" s="69" t="s">
        <v>160</v>
      </c>
      <c r="BV87" s="69" t="s">
        <v>160</v>
      </c>
      <c r="BW87" s="69" t="s">
        <v>160</v>
      </c>
      <c r="BX87" s="69" t="s">
        <v>160</v>
      </c>
      <c r="BY87" s="69" t="s">
        <v>160</v>
      </c>
      <c r="BZ87" s="69" t="s">
        <v>160</v>
      </c>
      <c r="CA87" s="69" t="s">
        <v>160</v>
      </c>
      <c r="CB87" s="69" t="s">
        <v>160</v>
      </c>
      <c r="CC87" s="69" t="s">
        <v>160</v>
      </c>
      <c r="CD87" s="69" t="s">
        <v>160</v>
      </c>
      <c r="CE87" s="69" t="s">
        <v>160</v>
      </c>
      <c r="CF87" s="69" t="s">
        <v>160</v>
      </c>
      <c r="CG87" s="69" t="s">
        <v>160</v>
      </c>
      <c r="CH87" s="69" t="s">
        <v>160</v>
      </c>
      <c r="CI87" s="69" t="s">
        <v>160</v>
      </c>
      <c r="CJ87" s="69" t="s">
        <v>160</v>
      </c>
      <c r="CK87" s="69" t="s">
        <v>160</v>
      </c>
      <c r="CL87" s="69" t="s">
        <v>160</v>
      </c>
      <c r="CM87" s="69" t="s">
        <v>160</v>
      </c>
      <c r="CN87" s="69" t="s">
        <v>160</v>
      </c>
      <c r="CO87" s="69" t="s">
        <v>160</v>
      </c>
      <c r="CP87" s="69" t="s">
        <v>160</v>
      </c>
      <c r="CQ87" s="69" t="s">
        <v>160</v>
      </c>
      <c r="CR87" s="69" t="s">
        <v>160</v>
      </c>
      <c r="CS87" s="69" t="s">
        <v>160</v>
      </c>
      <c r="CT87" s="69" t="s">
        <v>160</v>
      </c>
      <c r="CU87" s="69" t="s">
        <v>160</v>
      </c>
      <c r="CV87" s="69" t="s">
        <v>160</v>
      </c>
      <c r="CW87" s="69" t="s">
        <v>160</v>
      </c>
      <c r="CX87" s="69" t="s">
        <v>160</v>
      </c>
      <c r="CY87" s="69" t="s">
        <v>160</v>
      </c>
      <c r="CZ87" s="69" t="s">
        <v>160</v>
      </c>
      <c r="DA87" s="69" t="s">
        <v>160</v>
      </c>
      <c r="DB87" s="69" t="s">
        <v>160</v>
      </c>
      <c r="DC87" s="69" t="s">
        <v>160</v>
      </c>
      <c r="DD87" s="69" t="s">
        <v>160</v>
      </c>
      <c r="DE87" s="69" t="s">
        <v>160</v>
      </c>
      <c r="DF87" s="69" t="s">
        <v>160</v>
      </c>
      <c r="DG87" s="69" t="s">
        <v>160</v>
      </c>
      <c r="DH87" s="69" t="s">
        <v>160</v>
      </c>
      <c r="DI87" s="69" t="s">
        <v>160</v>
      </c>
      <c r="DJ87" s="69" t="s">
        <v>160</v>
      </c>
      <c r="DK87" s="69" t="s">
        <v>160</v>
      </c>
      <c r="DL87" s="69" t="s">
        <v>160</v>
      </c>
      <c r="DM87" s="69" t="s">
        <v>160</v>
      </c>
      <c r="DN87" s="69" t="s">
        <v>160</v>
      </c>
      <c r="DO87" s="69" t="s">
        <v>160</v>
      </c>
      <c r="DP87" s="69" t="s">
        <v>160</v>
      </c>
      <c r="DQ87" s="69" t="s">
        <v>160</v>
      </c>
      <c r="DR87" s="69" t="s">
        <v>160</v>
      </c>
      <c r="DS87" s="69" t="s">
        <v>160</v>
      </c>
      <c r="DT87" s="69" t="s">
        <v>160</v>
      </c>
      <c r="DU87" s="69" t="s">
        <v>160</v>
      </c>
      <c r="DV87" s="69" t="s">
        <v>160</v>
      </c>
      <c r="DW87" s="69" t="s">
        <v>160</v>
      </c>
      <c r="DX87" s="69" t="s">
        <v>160</v>
      </c>
      <c r="DY87" s="69" t="s">
        <v>160</v>
      </c>
      <c r="DZ87" s="69" t="s">
        <v>160</v>
      </c>
      <c r="EA87" s="69" t="s">
        <v>160</v>
      </c>
      <c r="EB87" s="69" t="s">
        <v>160</v>
      </c>
      <c r="EC87" s="69" t="s">
        <v>160</v>
      </c>
      <c r="ED87" s="69" t="s">
        <v>160</v>
      </c>
      <c r="EE87" s="69" t="s">
        <v>160</v>
      </c>
      <c r="EF87" s="69" t="s">
        <v>160</v>
      </c>
      <c r="EG87" s="69" t="s">
        <v>160</v>
      </c>
      <c r="EH87" s="69" t="s">
        <v>160</v>
      </c>
      <c r="EI87" s="69" t="s">
        <v>160</v>
      </c>
      <c r="EJ87" s="69" t="s">
        <v>160</v>
      </c>
      <c r="EK87" s="69" t="s">
        <v>160</v>
      </c>
      <c r="EL87" s="69" t="s">
        <v>160</v>
      </c>
      <c r="EM87" s="69" t="s">
        <v>160</v>
      </c>
      <c r="EN87" s="69" t="s">
        <v>160</v>
      </c>
      <c r="EO87" s="69" t="s">
        <v>160</v>
      </c>
      <c r="EP87" s="69" t="s">
        <v>160</v>
      </c>
      <c r="EQ87" s="69" t="s">
        <v>160</v>
      </c>
      <c r="ER87" s="69" t="s">
        <v>160</v>
      </c>
      <c r="ES87" s="69" t="s">
        <v>160</v>
      </c>
      <c r="ET87" s="69" t="s">
        <v>160</v>
      </c>
      <c r="EU87" s="69" t="s">
        <v>160</v>
      </c>
      <c r="EV87" s="69" t="s">
        <v>160</v>
      </c>
      <c r="EW87" s="69" t="s">
        <v>160</v>
      </c>
      <c r="EX87" s="69" t="s">
        <v>160</v>
      </c>
      <c r="EY87" s="69" t="s">
        <v>160</v>
      </c>
      <c r="EZ87" s="69" t="s">
        <v>160</v>
      </c>
      <c r="FA87" s="69" t="s">
        <v>160</v>
      </c>
      <c r="FB87" s="69" t="s">
        <v>160</v>
      </c>
      <c r="FC87" s="69" t="s">
        <v>160</v>
      </c>
      <c r="FD87" s="69" t="s">
        <v>160</v>
      </c>
    </row>
    <row r="88" spans="1:160" s="71" customFormat="1" ht="18.5" thickBot="1">
      <c r="A88" s="104" t="s">
        <v>488</v>
      </c>
      <c r="B88" s="105" t="s">
        <v>163</v>
      </c>
      <c r="C88" s="92" t="s">
        <v>176</v>
      </c>
      <c r="G88" s="71" t="str">
        <f t="shared" si="10"/>
        <v xml:space="preserve">Test report </v>
      </c>
      <c r="H88" s="71" t="s">
        <v>2</v>
      </c>
      <c r="I88" s="115">
        <v>45078</v>
      </c>
      <c r="J88" s="72">
        <v>45291</v>
      </c>
      <c r="K88" s="72"/>
      <c r="L88" s="72"/>
      <c r="M88" s="72"/>
      <c r="N88" s="72" t="b">
        <f t="shared" si="12"/>
        <v>0</v>
      </c>
      <c r="O88" s="72"/>
      <c r="P88" s="89">
        <v>0</v>
      </c>
      <c r="Q88" s="89"/>
      <c r="R88" s="71" t="s">
        <v>2</v>
      </c>
      <c r="S88" s="74" t="s">
        <v>160</v>
      </c>
      <c r="T88" s="75" t="s">
        <v>160</v>
      </c>
      <c r="U88" s="75" t="s">
        <v>160</v>
      </c>
      <c r="V88" s="75" t="s">
        <v>160</v>
      </c>
      <c r="W88" s="75" t="s">
        <v>160</v>
      </c>
      <c r="X88" s="75" t="s">
        <v>160</v>
      </c>
      <c r="Y88" s="75" t="s">
        <v>160</v>
      </c>
      <c r="Z88" s="75" t="s">
        <v>160</v>
      </c>
      <c r="AA88" s="75" t="s">
        <v>160</v>
      </c>
      <c r="AB88" s="75" t="s">
        <v>160</v>
      </c>
      <c r="AC88" s="75" t="s">
        <v>160</v>
      </c>
      <c r="AD88" s="75" t="s">
        <v>160</v>
      </c>
      <c r="AE88" s="75" t="s">
        <v>160</v>
      </c>
      <c r="AF88" s="75" t="s">
        <v>160</v>
      </c>
      <c r="AG88" s="75" t="s">
        <v>160</v>
      </c>
      <c r="AH88" s="75" t="s">
        <v>160</v>
      </c>
      <c r="AI88" s="75" t="s">
        <v>160</v>
      </c>
      <c r="AJ88" s="75" t="s">
        <v>160</v>
      </c>
      <c r="AK88" s="75" t="s">
        <v>160</v>
      </c>
      <c r="AL88" s="75" t="s">
        <v>160</v>
      </c>
      <c r="AM88" s="75" t="s">
        <v>160</v>
      </c>
      <c r="AN88" s="75" t="s">
        <v>160</v>
      </c>
      <c r="AO88" s="75" t="s">
        <v>160</v>
      </c>
      <c r="AP88" s="75" t="s">
        <v>160</v>
      </c>
      <c r="AQ88" s="75" t="s">
        <v>160</v>
      </c>
      <c r="AR88" s="75" t="s">
        <v>160</v>
      </c>
      <c r="AS88" s="75" t="s">
        <v>160</v>
      </c>
      <c r="AT88" s="75" t="s">
        <v>160</v>
      </c>
      <c r="AU88" s="75" t="s">
        <v>160</v>
      </c>
      <c r="AV88" s="75" t="s">
        <v>160</v>
      </c>
      <c r="AW88" s="75" t="s">
        <v>160</v>
      </c>
      <c r="AX88" s="75" t="s">
        <v>160</v>
      </c>
      <c r="AY88" s="75" t="s">
        <v>160</v>
      </c>
      <c r="AZ88" s="75" t="s">
        <v>160</v>
      </c>
      <c r="BA88" s="75" t="s">
        <v>160</v>
      </c>
      <c r="BB88" s="75" t="s">
        <v>160</v>
      </c>
      <c r="BC88" s="75" t="s">
        <v>160</v>
      </c>
      <c r="BD88" s="75" t="s">
        <v>160</v>
      </c>
      <c r="BE88" s="75" t="s">
        <v>160</v>
      </c>
      <c r="BF88" s="75" t="s">
        <v>160</v>
      </c>
      <c r="BG88" s="75" t="s">
        <v>160</v>
      </c>
      <c r="BH88" s="75" t="s">
        <v>160</v>
      </c>
      <c r="BI88" s="75" t="s">
        <v>160</v>
      </c>
      <c r="BJ88" s="75" t="s">
        <v>160</v>
      </c>
      <c r="BK88" s="75" t="s">
        <v>160</v>
      </c>
      <c r="BL88" s="75" t="s">
        <v>160</v>
      </c>
      <c r="BM88" s="75" t="s">
        <v>160</v>
      </c>
      <c r="BN88" s="75" t="s">
        <v>160</v>
      </c>
      <c r="BO88" s="75" t="s">
        <v>160</v>
      </c>
      <c r="BP88" s="75" t="s">
        <v>160</v>
      </c>
      <c r="BQ88" s="75" t="s">
        <v>160</v>
      </c>
      <c r="BR88" s="75" t="s">
        <v>160</v>
      </c>
      <c r="BS88" s="75" t="s">
        <v>160</v>
      </c>
      <c r="BT88" s="75" t="s">
        <v>160</v>
      </c>
      <c r="BU88" s="75" t="s">
        <v>160</v>
      </c>
      <c r="BV88" s="75" t="s">
        <v>160</v>
      </c>
      <c r="BW88" s="75" t="s">
        <v>160</v>
      </c>
      <c r="BX88" s="75" t="s">
        <v>160</v>
      </c>
      <c r="BY88" s="75" t="s">
        <v>160</v>
      </c>
      <c r="BZ88" s="75" t="s">
        <v>160</v>
      </c>
      <c r="CA88" s="75" t="s">
        <v>160</v>
      </c>
      <c r="CB88" s="75" t="s">
        <v>160</v>
      </c>
      <c r="CC88" s="75" t="s">
        <v>160</v>
      </c>
      <c r="CD88" s="75" t="s">
        <v>160</v>
      </c>
      <c r="CE88" s="75" t="s">
        <v>160</v>
      </c>
      <c r="CF88" s="75" t="s">
        <v>160</v>
      </c>
      <c r="CG88" s="75" t="s">
        <v>160</v>
      </c>
      <c r="CH88" s="75" t="s">
        <v>160</v>
      </c>
      <c r="CI88" s="75" t="s">
        <v>160</v>
      </c>
      <c r="CJ88" s="75" t="s">
        <v>160</v>
      </c>
      <c r="CK88" s="75" t="s">
        <v>160</v>
      </c>
      <c r="CL88" s="75" t="s">
        <v>160</v>
      </c>
      <c r="CM88" s="75" t="s">
        <v>160</v>
      </c>
      <c r="CN88" s="75" t="s">
        <v>160</v>
      </c>
      <c r="CO88" s="75" t="s">
        <v>160</v>
      </c>
      <c r="CP88" s="75" t="s">
        <v>160</v>
      </c>
      <c r="CQ88" s="75" t="s">
        <v>160</v>
      </c>
      <c r="CR88" s="75" t="s">
        <v>160</v>
      </c>
      <c r="CS88" s="75" t="s">
        <v>160</v>
      </c>
      <c r="CT88" s="75" t="s">
        <v>160</v>
      </c>
      <c r="CU88" s="75" t="s">
        <v>160</v>
      </c>
      <c r="CV88" s="75" t="s">
        <v>160</v>
      </c>
      <c r="CW88" s="75" t="s">
        <v>160</v>
      </c>
      <c r="CX88" s="75" t="s">
        <v>160</v>
      </c>
      <c r="CY88" s="75" t="s">
        <v>160</v>
      </c>
      <c r="CZ88" s="75" t="s">
        <v>160</v>
      </c>
      <c r="DA88" s="75" t="s">
        <v>160</v>
      </c>
      <c r="DB88" s="75" t="s">
        <v>160</v>
      </c>
      <c r="DC88" s="75" t="s">
        <v>160</v>
      </c>
      <c r="DD88" s="75" t="s">
        <v>160</v>
      </c>
      <c r="DE88" s="75" t="s">
        <v>160</v>
      </c>
      <c r="DF88" s="75" t="s">
        <v>160</v>
      </c>
      <c r="DG88" s="75" t="s">
        <v>160</v>
      </c>
      <c r="DH88" s="75" t="s">
        <v>160</v>
      </c>
      <c r="DI88" s="75" t="s">
        <v>160</v>
      </c>
      <c r="DJ88" s="75" t="s">
        <v>160</v>
      </c>
      <c r="DK88" s="75" t="s">
        <v>160</v>
      </c>
      <c r="DL88" s="75" t="s">
        <v>160</v>
      </c>
      <c r="DM88" s="75" t="s">
        <v>160</v>
      </c>
      <c r="DN88" s="75" t="s">
        <v>160</v>
      </c>
      <c r="DO88" s="75" t="s">
        <v>160</v>
      </c>
      <c r="DP88" s="75" t="s">
        <v>160</v>
      </c>
      <c r="DQ88" s="75" t="s">
        <v>160</v>
      </c>
      <c r="DR88" s="75" t="s">
        <v>160</v>
      </c>
      <c r="DS88" s="75" t="s">
        <v>160</v>
      </c>
      <c r="DT88" s="75" t="s">
        <v>160</v>
      </c>
      <c r="DU88" s="75" t="s">
        <v>160</v>
      </c>
      <c r="DV88" s="75" t="s">
        <v>160</v>
      </c>
      <c r="DW88" s="75" t="s">
        <v>160</v>
      </c>
      <c r="DX88" s="75" t="s">
        <v>160</v>
      </c>
      <c r="DY88" s="75" t="s">
        <v>160</v>
      </c>
      <c r="DZ88" s="75" t="s">
        <v>160</v>
      </c>
      <c r="EA88" s="75" t="s">
        <v>160</v>
      </c>
      <c r="EB88" s="75" t="s">
        <v>160</v>
      </c>
      <c r="EC88" s="75" t="s">
        <v>160</v>
      </c>
      <c r="ED88" s="75" t="s">
        <v>160</v>
      </c>
      <c r="EE88" s="75" t="s">
        <v>160</v>
      </c>
      <c r="EF88" s="75" t="s">
        <v>160</v>
      </c>
      <c r="EG88" s="75" t="s">
        <v>160</v>
      </c>
      <c r="EH88" s="75" t="s">
        <v>160</v>
      </c>
      <c r="EI88" s="75" t="s">
        <v>160</v>
      </c>
      <c r="EJ88" s="75" t="s">
        <v>160</v>
      </c>
      <c r="EK88" s="75" t="s">
        <v>160</v>
      </c>
      <c r="EL88" s="75" t="s">
        <v>160</v>
      </c>
      <c r="EM88" s="75" t="s">
        <v>160</v>
      </c>
      <c r="EN88" s="75" t="s">
        <v>160</v>
      </c>
      <c r="EO88" s="75" t="s">
        <v>160</v>
      </c>
      <c r="EP88" s="75" t="s">
        <v>160</v>
      </c>
      <c r="EQ88" s="75" t="s">
        <v>160</v>
      </c>
      <c r="ER88" s="75" t="s">
        <v>160</v>
      </c>
      <c r="ES88" s="75" t="s">
        <v>160</v>
      </c>
      <c r="ET88" s="75" t="s">
        <v>160</v>
      </c>
      <c r="EU88" s="75" t="s">
        <v>160</v>
      </c>
      <c r="EV88" s="75" t="s">
        <v>160</v>
      </c>
      <c r="EW88" s="75" t="s">
        <v>160</v>
      </c>
      <c r="EX88" s="75" t="s">
        <v>160</v>
      </c>
      <c r="EY88" s="75" t="s">
        <v>160</v>
      </c>
      <c r="EZ88" s="75" t="s">
        <v>160</v>
      </c>
      <c r="FA88" s="75" t="s">
        <v>160</v>
      </c>
      <c r="FB88" s="75" t="s">
        <v>160</v>
      </c>
      <c r="FC88" s="75" t="s">
        <v>160</v>
      </c>
      <c r="FD88" s="75" t="s">
        <v>160</v>
      </c>
    </row>
    <row r="89" spans="1:160">
      <c r="A89" s="103" t="s">
        <v>490</v>
      </c>
      <c r="B89" s="20" t="s">
        <v>209</v>
      </c>
      <c r="G89" s="51" t="str">
        <f t="shared" si="10"/>
        <v>M11. Decision Engine AI/ML models - Preventive maintenance of Battery module and inverter asset</v>
      </c>
      <c r="H89" s="51" t="s">
        <v>2</v>
      </c>
      <c r="I89" s="64">
        <f ca="1">IF(SUM(I90:INDIRECT("I"&amp;$O89))=0,"",MIN(I90:INDIRECT("I"&amp;$O89)))</f>
        <v>45078</v>
      </c>
      <c r="J89" s="64">
        <f ca="1">IF(SUM(J90:INDIRECT("J"&amp;$O89))=0,"",MAX(J90:INDIRECT("J"&amp;$O89)))</f>
        <v>45199</v>
      </c>
      <c r="K89" s="64" t="str">
        <f ca="1">IF(SUM(K90:INDIRECT("K"&amp;$O89))=0,"",MIN(K90:INDIRECT("K"&amp;$O89)))</f>
        <v/>
      </c>
      <c r="L89" s="64" t="str">
        <f ca="1">IF(SUM(L90:INDIRECT("L"&amp;$O89))=0,"",MAX(L90:INDIRECT("L"&amp;$O89)))</f>
        <v/>
      </c>
      <c r="M89" s="64" t="str">
        <f ca="1">IF(N89,TODAY(),IF(SUM(M90:INDIRECT("M"&amp;$O89))=0,"",MAX(M90:INDIRECT("M"&amp;$O89))))</f>
        <v/>
      </c>
      <c r="N89" s="64" t="b">
        <f ca="1">OR(N90:INDIRECT("N"&amp;O89))</f>
        <v>0</v>
      </c>
      <c r="O89" s="65">
        <f>ROW()+COUNTA(N90:N95)</f>
        <v>95</v>
      </c>
      <c r="P89" s="66">
        <f>AVERAGE(P90:P95)</f>
        <v>0</v>
      </c>
      <c r="R89" s="51" t="s">
        <v>2</v>
      </c>
      <c r="S89" s="68" t="s">
        <v>160</v>
      </c>
      <c r="T89" s="69" t="s">
        <v>160</v>
      </c>
      <c r="U89" s="69" t="s">
        <v>160</v>
      </c>
      <c r="V89" s="69" t="s">
        <v>160</v>
      </c>
      <c r="W89" s="69" t="s">
        <v>160</v>
      </c>
      <c r="X89" s="69" t="s">
        <v>160</v>
      </c>
      <c r="Y89" s="69" t="s">
        <v>160</v>
      </c>
      <c r="Z89" s="69" t="s">
        <v>160</v>
      </c>
      <c r="AA89" s="69" t="s">
        <v>160</v>
      </c>
      <c r="AB89" s="69" t="s">
        <v>160</v>
      </c>
      <c r="AC89" s="69" t="s">
        <v>160</v>
      </c>
      <c r="AD89" s="69" t="s">
        <v>160</v>
      </c>
      <c r="AE89" s="69" t="s">
        <v>160</v>
      </c>
      <c r="AF89" s="69" t="s">
        <v>160</v>
      </c>
      <c r="AG89" s="69" t="s">
        <v>160</v>
      </c>
      <c r="AH89" s="69" t="s">
        <v>160</v>
      </c>
      <c r="AI89" s="69" t="s">
        <v>160</v>
      </c>
      <c r="AJ89" s="69" t="s">
        <v>160</v>
      </c>
      <c r="AK89" s="69" t="s">
        <v>160</v>
      </c>
      <c r="AL89" s="69" t="s">
        <v>160</v>
      </c>
      <c r="AM89" s="69" t="s">
        <v>160</v>
      </c>
      <c r="AN89" s="69" t="s">
        <v>160</v>
      </c>
      <c r="AO89" s="69" t="s">
        <v>160</v>
      </c>
      <c r="AP89" s="69" t="s">
        <v>160</v>
      </c>
      <c r="AQ89" s="69" t="s">
        <v>160</v>
      </c>
      <c r="AR89" s="69" t="s">
        <v>160</v>
      </c>
      <c r="AS89" s="69" t="s">
        <v>160</v>
      </c>
      <c r="AT89" s="69" t="s">
        <v>160</v>
      </c>
      <c r="AU89" s="69" t="s">
        <v>160</v>
      </c>
      <c r="AV89" s="69" t="s">
        <v>160</v>
      </c>
      <c r="AW89" s="69" t="s">
        <v>160</v>
      </c>
      <c r="AX89" s="69" t="s">
        <v>160</v>
      </c>
      <c r="AY89" s="69" t="s">
        <v>160</v>
      </c>
      <c r="AZ89" s="69" t="s">
        <v>160</v>
      </c>
      <c r="BA89" s="69" t="s">
        <v>160</v>
      </c>
      <c r="BB89" s="69" t="s">
        <v>160</v>
      </c>
      <c r="BC89" s="69" t="s">
        <v>160</v>
      </c>
      <c r="BD89" s="69" t="s">
        <v>160</v>
      </c>
      <c r="BE89" s="69" t="s">
        <v>160</v>
      </c>
      <c r="BF89" s="69" t="s">
        <v>160</v>
      </c>
      <c r="BG89" s="69" t="s">
        <v>160</v>
      </c>
      <c r="BH89" s="69" t="s">
        <v>160</v>
      </c>
      <c r="BI89" s="69" t="s">
        <v>160</v>
      </c>
      <c r="BJ89" s="69" t="s">
        <v>160</v>
      </c>
      <c r="BK89" s="69" t="s">
        <v>160</v>
      </c>
      <c r="BL89" s="69" t="s">
        <v>160</v>
      </c>
      <c r="BM89" s="69" t="s">
        <v>160</v>
      </c>
      <c r="BN89" s="69" t="s">
        <v>160</v>
      </c>
      <c r="BO89" s="69" t="s">
        <v>160</v>
      </c>
      <c r="BP89" s="69" t="s">
        <v>160</v>
      </c>
      <c r="BQ89" s="69" t="s">
        <v>160</v>
      </c>
      <c r="BR89" s="69" t="s">
        <v>160</v>
      </c>
      <c r="BS89" s="69" t="s">
        <v>160</v>
      </c>
      <c r="BT89" s="69" t="s">
        <v>160</v>
      </c>
      <c r="BU89" s="69" t="s">
        <v>160</v>
      </c>
      <c r="BV89" s="69" t="s">
        <v>160</v>
      </c>
      <c r="BW89" s="69" t="s">
        <v>160</v>
      </c>
      <c r="BX89" s="69" t="s">
        <v>160</v>
      </c>
      <c r="BY89" s="69" t="s">
        <v>160</v>
      </c>
      <c r="BZ89" s="69" t="s">
        <v>160</v>
      </c>
      <c r="CA89" s="69" t="s">
        <v>160</v>
      </c>
      <c r="CB89" s="69" t="s">
        <v>160</v>
      </c>
      <c r="CC89" s="69" t="s">
        <v>160</v>
      </c>
      <c r="CD89" s="69" t="s">
        <v>160</v>
      </c>
      <c r="CE89" s="69" t="s">
        <v>160</v>
      </c>
      <c r="CF89" s="69" t="s">
        <v>160</v>
      </c>
      <c r="CG89" s="69" t="s">
        <v>160</v>
      </c>
      <c r="CH89" s="69" t="s">
        <v>160</v>
      </c>
      <c r="CI89" s="69" t="s">
        <v>160</v>
      </c>
      <c r="CJ89" s="69" t="s">
        <v>160</v>
      </c>
      <c r="CK89" s="69" t="s">
        <v>160</v>
      </c>
      <c r="CL89" s="69" t="s">
        <v>160</v>
      </c>
      <c r="CM89" s="69" t="s">
        <v>160</v>
      </c>
      <c r="CN89" s="69" t="s">
        <v>160</v>
      </c>
      <c r="CO89" s="69" t="s">
        <v>160</v>
      </c>
      <c r="CP89" s="69" t="s">
        <v>160</v>
      </c>
      <c r="CQ89" s="69" t="s">
        <v>160</v>
      </c>
      <c r="CR89" s="69" t="s">
        <v>160</v>
      </c>
      <c r="CS89" s="69" t="s">
        <v>160</v>
      </c>
      <c r="CT89" s="69" t="s">
        <v>160</v>
      </c>
      <c r="CU89" s="69" t="s">
        <v>160</v>
      </c>
      <c r="CV89" s="69" t="s">
        <v>160</v>
      </c>
      <c r="CW89" s="69" t="s">
        <v>160</v>
      </c>
      <c r="CX89" s="69" t="s">
        <v>160</v>
      </c>
      <c r="CY89" s="69" t="s">
        <v>160</v>
      </c>
      <c r="CZ89" s="69" t="s">
        <v>160</v>
      </c>
      <c r="DA89" s="69" t="s">
        <v>160</v>
      </c>
      <c r="DB89" s="69" t="s">
        <v>160</v>
      </c>
      <c r="DC89" s="69" t="s">
        <v>160</v>
      </c>
      <c r="DD89" s="69" t="s">
        <v>160</v>
      </c>
      <c r="DE89" s="69" t="s">
        <v>160</v>
      </c>
      <c r="DF89" s="69" t="s">
        <v>160</v>
      </c>
      <c r="DG89" s="69" t="s">
        <v>160</v>
      </c>
      <c r="DH89" s="69" t="s">
        <v>160</v>
      </c>
      <c r="DI89" s="69" t="s">
        <v>160</v>
      </c>
      <c r="DJ89" s="69" t="s">
        <v>160</v>
      </c>
      <c r="DK89" s="69" t="s">
        <v>160</v>
      </c>
      <c r="DL89" s="69" t="s">
        <v>160</v>
      </c>
      <c r="DM89" s="69" t="s">
        <v>160</v>
      </c>
      <c r="DN89" s="69" t="s">
        <v>160</v>
      </c>
      <c r="DO89" s="69" t="s">
        <v>160</v>
      </c>
      <c r="DP89" s="69" t="s">
        <v>160</v>
      </c>
      <c r="DQ89" s="69" t="s">
        <v>160</v>
      </c>
      <c r="DR89" s="69" t="s">
        <v>160</v>
      </c>
      <c r="DS89" s="69" t="s">
        <v>160</v>
      </c>
      <c r="DT89" s="69" t="s">
        <v>160</v>
      </c>
      <c r="DU89" s="69" t="s">
        <v>160</v>
      </c>
      <c r="DV89" s="69" t="s">
        <v>160</v>
      </c>
      <c r="DW89" s="69" t="s">
        <v>160</v>
      </c>
      <c r="DX89" s="69" t="s">
        <v>160</v>
      </c>
      <c r="DY89" s="69" t="s">
        <v>160</v>
      </c>
      <c r="DZ89" s="69" t="s">
        <v>160</v>
      </c>
      <c r="EA89" s="69" t="s">
        <v>160</v>
      </c>
      <c r="EB89" s="69" t="s">
        <v>160</v>
      </c>
      <c r="EC89" s="69" t="s">
        <v>160</v>
      </c>
      <c r="ED89" s="69" t="s">
        <v>160</v>
      </c>
      <c r="EE89" s="69" t="s">
        <v>160</v>
      </c>
      <c r="EF89" s="69" t="s">
        <v>160</v>
      </c>
      <c r="EG89" s="69" t="s">
        <v>160</v>
      </c>
      <c r="EH89" s="69" t="s">
        <v>160</v>
      </c>
      <c r="EI89" s="69" t="s">
        <v>160</v>
      </c>
      <c r="EJ89" s="69" t="s">
        <v>160</v>
      </c>
      <c r="EK89" s="69" t="s">
        <v>160</v>
      </c>
      <c r="EL89" s="69" t="s">
        <v>160</v>
      </c>
      <c r="EM89" s="69" t="s">
        <v>160</v>
      </c>
      <c r="EN89" s="69" t="s">
        <v>160</v>
      </c>
      <c r="EO89" s="69" t="s">
        <v>160</v>
      </c>
      <c r="EP89" s="69" t="s">
        <v>160</v>
      </c>
      <c r="EQ89" s="69" t="s">
        <v>160</v>
      </c>
      <c r="ER89" s="69" t="s">
        <v>160</v>
      </c>
      <c r="ES89" s="69" t="s">
        <v>160</v>
      </c>
      <c r="ET89" s="69" t="s">
        <v>160</v>
      </c>
      <c r="EU89" s="69" t="s">
        <v>160</v>
      </c>
      <c r="EV89" s="69" t="s">
        <v>160</v>
      </c>
      <c r="EW89" s="69" t="s">
        <v>160</v>
      </c>
      <c r="EX89" s="69" t="s">
        <v>160</v>
      </c>
      <c r="EY89" s="69" t="s">
        <v>160</v>
      </c>
      <c r="EZ89" s="69" t="s">
        <v>160</v>
      </c>
      <c r="FA89" s="69" t="s">
        <v>160</v>
      </c>
      <c r="FB89" s="69" t="s">
        <v>160</v>
      </c>
      <c r="FC89" s="69" t="s">
        <v>160</v>
      </c>
      <c r="FD89" s="69" t="s">
        <v>160</v>
      </c>
    </row>
    <row r="90" spans="1:160">
      <c r="A90" s="103" t="s">
        <v>491</v>
      </c>
      <c r="C90" s="50" t="s">
        <v>210</v>
      </c>
      <c r="G90" s="51" t="str">
        <f t="shared" si="10"/>
        <v>Note : Use data fusion platform to find faults in the assets</v>
      </c>
      <c r="H90" s="51" t="s">
        <v>2</v>
      </c>
      <c r="I90" s="64"/>
      <c r="J90" s="64"/>
      <c r="K90" s="64"/>
      <c r="L90" s="64"/>
      <c r="M90" s="64"/>
      <c r="N90" s="64" t="b">
        <f>ISNUMBER(SEARCH("*Waiting*",M90))</f>
        <v>0</v>
      </c>
      <c r="O90" s="64"/>
      <c r="R90" s="51" t="s">
        <v>2</v>
      </c>
      <c r="S90" s="68" t="s">
        <v>160</v>
      </c>
      <c r="T90" s="69" t="s">
        <v>160</v>
      </c>
      <c r="U90" s="69" t="s">
        <v>160</v>
      </c>
      <c r="V90" s="69" t="s">
        <v>160</v>
      </c>
      <c r="W90" s="69" t="s">
        <v>160</v>
      </c>
      <c r="X90" s="69" t="s">
        <v>160</v>
      </c>
      <c r="Y90" s="69" t="s">
        <v>160</v>
      </c>
      <c r="Z90" s="69" t="s">
        <v>160</v>
      </c>
      <c r="AA90" s="69" t="s">
        <v>160</v>
      </c>
      <c r="AB90" s="69" t="s">
        <v>160</v>
      </c>
      <c r="AC90" s="69" t="s">
        <v>160</v>
      </c>
      <c r="AD90" s="69" t="s">
        <v>160</v>
      </c>
      <c r="AE90" s="69" t="s">
        <v>160</v>
      </c>
      <c r="AF90" s="69" t="s">
        <v>160</v>
      </c>
      <c r="AG90" s="69" t="s">
        <v>160</v>
      </c>
      <c r="AH90" s="69" t="s">
        <v>160</v>
      </c>
      <c r="AI90" s="69" t="s">
        <v>160</v>
      </c>
      <c r="AJ90" s="69" t="s">
        <v>160</v>
      </c>
      <c r="AK90" s="69" t="s">
        <v>160</v>
      </c>
      <c r="AL90" s="69" t="s">
        <v>160</v>
      </c>
      <c r="AM90" s="69" t="s">
        <v>160</v>
      </c>
      <c r="AN90" s="69" t="s">
        <v>160</v>
      </c>
      <c r="AO90" s="69" t="s">
        <v>160</v>
      </c>
      <c r="AP90" s="69" t="s">
        <v>160</v>
      </c>
      <c r="AQ90" s="69" t="s">
        <v>160</v>
      </c>
      <c r="AR90" s="69" t="s">
        <v>160</v>
      </c>
      <c r="AS90" s="69" t="s">
        <v>160</v>
      </c>
      <c r="AT90" s="69" t="s">
        <v>160</v>
      </c>
      <c r="AU90" s="69" t="s">
        <v>160</v>
      </c>
      <c r="AV90" s="69" t="s">
        <v>160</v>
      </c>
      <c r="AW90" s="69" t="s">
        <v>160</v>
      </c>
      <c r="AX90" s="69" t="s">
        <v>160</v>
      </c>
      <c r="AY90" s="69" t="s">
        <v>160</v>
      </c>
      <c r="AZ90" s="69" t="s">
        <v>160</v>
      </c>
      <c r="BA90" s="69" t="s">
        <v>160</v>
      </c>
      <c r="BB90" s="69" t="s">
        <v>160</v>
      </c>
      <c r="BC90" s="69" t="s">
        <v>160</v>
      </c>
      <c r="BD90" s="69" t="s">
        <v>160</v>
      </c>
      <c r="BE90" s="69" t="s">
        <v>160</v>
      </c>
      <c r="BF90" s="69" t="s">
        <v>160</v>
      </c>
      <c r="BG90" s="69" t="s">
        <v>160</v>
      </c>
      <c r="BH90" s="69" t="s">
        <v>160</v>
      </c>
      <c r="BI90" s="69" t="s">
        <v>160</v>
      </c>
      <c r="BJ90" s="69" t="s">
        <v>160</v>
      </c>
      <c r="BK90" s="69" t="s">
        <v>160</v>
      </c>
      <c r="BL90" s="69" t="s">
        <v>160</v>
      </c>
      <c r="BM90" s="69" t="s">
        <v>160</v>
      </c>
      <c r="BN90" s="69" t="s">
        <v>160</v>
      </c>
      <c r="BO90" s="69" t="s">
        <v>160</v>
      </c>
      <c r="BP90" s="69" t="s">
        <v>160</v>
      </c>
      <c r="BQ90" s="69" t="s">
        <v>160</v>
      </c>
      <c r="BR90" s="69" t="s">
        <v>160</v>
      </c>
      <c r="BS90" s="69" t="s">
        <v>160</v>
      </c>
      <c r="BT90" s="69" t="s">
        <v>160</v>
      </c>
      <c r="BU90" s="69" t="s">
        <v>160</v>
      </c>
      <c r="BV90" s="69" t="s">
        <v>160</v>
      </c>
      <c r="BW90" s="69" t="s">
        <v>160</v>
      </c>
      <c r="BX90" s="69" t="s">
        <v>160</v>
      </c>
      <c r="BY90" s="69" t="s">
        <v>160</v>
      </c>
      <c r="BZ90" s="69" t="s">
        <v>160</v>
      </c>
      <c r="CA90" s="69" t="s">
        <v>160</v>
      </c>
      <c r="CB90" s="69" t="s">
        <v>160</v>
      </c>
      <c r="CC90" s="69" t="s">
        <v>160</v>
      </c>
      <c r="CD90" s="69" t="s">
        <v>160</v>
      </c>
      <c r="CE90" s="69" t="s">
        <v>160</v>
      </c>
      <c r="CF90" s="69" t="s">
        <v>160</v>
      </c>
      <c r="CG90" s="69" t="s">
        <v>160</v>
      </c>
      <c r="CH90" s="69" t="s">
        <v>160</v>
      </c>
      <c r="CI90" s="69" t="s">
        <v>160</v>
      </c>
      <c r="CJ90" s="69" t="s">
        <v>160</v>
      </c>
      <c r="CK90" s="69" t="s">
        <v>160</v>
      </c>
      <c r="CL90" s="69" t="s">
        <v>160</v>
      </c>
      <c r="CM90" s="69" t="s">
        <v>160</v>
      </c>
      <c r="CN90" s="69" t="s">
        <v>160</v>
      </c>
      <c r="CO90" s="69" t="s">
        <v>160</v>
      </c>
      <c r="CP90" s="69" t="s">
        <v>160</v>
      </c>
      <c r="CQ90" s="69" t="s">
        <v>160</v>
      </c>
      <c r="CR90" s="69" t="s">
        <v>160</v>
      </c>
      <c r="CS90" s="69" t="s">
        <v>160</v>
      </c>
      <c r="CT90" s="69" t="s">
        <v>160</v>
      </c>
      <c r="CU90" s="69" t="s">
        <v>160</v>
      </c>
      <c r="CV90" s="69" t="s">
        <v>160</v>
      </c>
      <c r="CW90" s="69" t="s">
        <v>160</v>
      </c>
      <c r="CX90" s="69" t="s">
        <v>160</v>
      </c>
      <c r="CY90" s="69" t="s">
        <v>160</v>
      </c>
      <c r="CZ90" s="69" t="s">
        <v>160</v>
      </c>
      <c r="DA90" s="69" t="s">
        <v>160</v>
      </c>
      <c r="DB90" s="69" t="s">
        <v>160</v>
      </c>
      <c r="DC90" s="69" t="s">
        <v>160</v>
      </c>
      <c r="DD90" s="69" t="s">
        <v>160</v>
      </c>
      <c r="DE90" s="69" t="s">
        <v>160</v>
      </c>
      <c r="DF90" s="69" t="s">
        <v>160</v>
      </c>
      <c r="DG90" s="69" t="s">
        <v>160</v>
      </c>
      <c r="DH90" s="69" t="s">
        <v>160</v>
      </c>
      <c r="DI90" s="69" t="s">
        <v>160</v>
      </c>
      <c r="DJ90" s="69" t="s">
        <v>160</v>
      </c>
      <c r="DK90" s="69" t="s">
        <v>160</v>
      </c>
      <c r="DL90" s="69" t="s">
        <v>160</v>
      </c>
      <c r="DM90" s="69" t="s">
        <v>160</v>
      </c>
      <c r="DN90" s="69" t="s">
        <v>160</v>
      </c>
      <c r="DO90" s="69" t="s">
        <v>160</v>
      </c>
      <c r="DP90" s="69" t="s">
        <v>160</v>
      </c>
      <c r="DQ90" s="69" t="s">
        <v>160</v>
      </c>
      <c r="DR90" s="69" t="s">
        <v>160</v>
      </c>
      <c r="DS90" s="69" t="s">
        <v>160</v>
      </c>
      <c r="DT90" s="69" t="s">
        <v>160</v>
      </c>
      <c r="DU90" s="69" t="s">
        <v>160</v>
      </c>
      <c r="DV90" s="69" t="s">
        <v>160</v>
      </c>
      <c r="DW90" s="69" t="s">
        <v>160</v>
      </c>
      <c r="DX90" s="69" t="s">
        <v>160</v>
      </c>
      <c r="DY90" s="69" t="s">
        <v>160</v>
      </c>
      <c r="DZ90" s="69" t="s">
        <v>160</v>
      </c>
      <c r="EA90" s="69" t="s">
        <v>160</v>
      </c>
      <c r="EB90" s="69" t="s">
        <v>160</v>
      </c>
      <c r="EC90" s="69" t="s">
        <v>160</v>
      </c>
      <c r="ED90" s="69" t="s">
        <v>160</v>
      </c>
      <c r="EE90" s="69" t="s">
        <v>160</v>
      </c>
      <c r="EF90" s="69" t="s">
        <v>160</v>
      </c>
      <c r="EG90" s="69" t="s">
        <v>160</v>
      </c>
      <c r="EH90" s="69" t="s">
        <v>160</v>
      </c>
      <c r="EI90" s="69" t="s">
        <v>160</v>
      </c>
      <c r="EJ90" s="69" t="s">
        <v>160</v>
      </c>
      <c r="EK90" s="69" t="s">
        <v>160</v>
      </c>
      <c r="EL90" s="69" t="s">
        <v>160</v>
      </c>
      <c r="EM90" s="69" t="s">
        <v>160</v>
      </c>
      <c r="EN90" s="69" t="s">
        <v>160</v>
      </c>
      <c r="EO90" s="69" t="s">
        <v>160</v>
      </c>
      <c r="EP90" s="69" t="s">
        <v>160</v>
      </c>
      <c r="EQ90" s="69" t="s">
        <v>160</v>
      </c>
      <c r="ER90" s="69" t="s">
        <v>160</v>
      </c>
      <c r="ES90" s="69" t="s">
        <v>160</v>
      </c>
      <c r="ET90" s="69" t="s">
        <v>160</v>
      </c>
      <c r="EU90" s="69" t="s">
        <v>160</v>
      </c>
      <c r="EV90" s="69" t="s">
        <v>160</v>
      </c>
      <c r="EW90" s="69" t="s">
        <v>160</v>
      </c>
      <c r="EX90" s="69" t="s">
        <v>160</v>
      </c>
      <c r="EY90" s="69" t="s">
        <v>160</v>
      </c>
      <c r="EZ90" s="69" t="s">
        <v>160</v>
      </c>
      <c r="FA90" s="69" t="s">
        <v>160</v>
      </c>
      <c r="FB90" s="69" t="s">
        <v>160</v>
      </c>
      <c r="FC90" s="69" t="s">
        <v>160</v>
      </c>
      <c r="FD90" s="69" t="s">
        <v>160</v>
      </c>
    </row>
    <row r="91" spans="1:160">
      <c r="A91" s="103" t="s">
        <v>492</v>
      </c>
      <c r="B91" s="20" t="s">
        <v>163</v>
      </c>
      <c r="C91" s="91" t="s">
        <v>171</v>
      </c>
      <c r="G91" s="51" t="str">
        <f t="shared" si="10"/>
        <v>Technical design document explaining the data schema and algorithm</v>
      </c>
      <c r="H91" s="51" t="s">
        <v>2</v>
      </c>
      <c r="I91" s="64">
        <v>45078</v>
      </c>
      <c r="J91" s="64">
        <v>45199</v>
      </c>
      <c r="K91" s="64"/>
      <c r="L91" s="64"/>
      <c r="M91" s="64"/>
      <c r="N91" s="64" t="b">
        <f t="shared" ref="N91:N95" si="13">ISNUMBER(SEARCH("*Waiting*",M91))</f>
        <v>0</v>
      </c>
      <c r="O91" s="64"/>
      <c r="P91" s="24">
        <v>0</v>
      </c>
      <c r="R91" s="51" t="s">
        <v>2</v>
      </c>
      <c r="S91" s="68" t="s">
        <v>160</v>
      </c>
      <c r="T91" s="69" t="s">
        <v>160</v>
      </c>
      <c r="U91" s="69" t="s">
        <v>160</v>
      </c>
      <c r="V91" s="69" t="s">
        <v>160</v>
      </c>
      <c r="W91" s="69" t="s">
        <v>160</v>
      </c>
      <c r="X91" s="69" t="s">
        <v>160</v>
      </c>
      <c r="Y91" s="69" t="s">
        <v>160</v>
      </c>
      <c r="Z91" s="69" t="s">
        <v>160</v>
      </c>
      <c r="AA91" s="69" t="s">
        <v>160</v>
      </c>
      <c r="AB91" s="69" t="s">
        <v>160</v>
      </c>
      <c r="AC91" s="69" t="s">
        <v>160</v>
      </c>
      <c r="AD91" s="69" t="s">
        <v>160</v>
      </c>
      <c r="AE91" s="69" t="s">
        <v>160</v>
      </c>
      <c r="AF91" s="69" t="s">
        <v>160</v>
      </c>
      <c r="AG91" s="69" t="s">
        <v>160</v>
      </c>
      <c r="AH91" s="69" t="s">
        <v>160</v>
      </c>
      <c r="AI91" s="69" t="s">
        <v>160</v>
      </c>
      <c r="AJ91" s="69" t="s">
        <v>160</v>
      </c>
      <c r="AK91" s="69" t="s">
        <v>160</v>
      </c>
      <c r="AL91" s="69" t="s">
        <v>160</v>
      </c>
      <c r="AM91" s="69" t="s">
        <v>160</v>
      </c>
      <c r="AN91" s="69" t="s">
        <v>160</v>
      </c>
      <c r="AO91" s="69" t="s">
        <v>160</v>
      </c>
      <c r="AP91" s="69" t="s">
        <v>160</v>
      </c>
      <c r="AQ91" s="69" t="s">
        <v>160</v>
      </c>
      <c r="AR91" s="69" t="s">
        <v>160</v>
      </c>
      <c r="AS91" s="69" t="s">
        <v>160</v>
      </c>
      <c r="AT91" s="69" t="s">
        <v>160</v>
      </c>
      <c r="AU91" s="69" t="s">
        <v>160</v>
      </c>
      <c r="AV91" s="69" t="s">
        <v>160</v>
      </c>
      <c r="AW91" s="69" t="s">
        <v>160</v>
      </c>
      <c r="AX91" s="69" t="s">
        <v>160</v>
      </c>
      <c r="AY91" s="69" t="s">
        <v>160</v>
      </c>
      <c r="AZ91" s="69" t="s">
        <v>160</v>
      </c>
      <c r="BA91" s="69" t="s">
        <v>160</v>
      </c>
      <c r="BB91" s="69" t="s">
        <v>160</v>
      </c>
      <c r="BC91" s="69" t="s">
        <v>160</v>
      </c>
      <c r="BD91" s="69" t="s">
        <v>160</v>
      </c>
      <c r="BE91" s="69" t="s">
        <v>160</v>
      </c>
      <c r="BF91" s="69" t="s">
        <v>160</v>
      </c>
      <c r="BG91" s="69" t="s">
        <v>160</v>
      </c>
      <c r="BH91" s="69" t="s">
        <v>160</v>
      </c>
      <c r="BI91" s="69" t="s">
        <v>160</v>
      </c>
      <c r="BJ91" s="69" t="s">
        <v>160</v>
      </c>
      <c r="BK91" s="69" t="s">
        <v>160</v>
      </c>
      <c r="BL91" s="69" t="s">
        <v>160</v>
      </c>
      <c r="BM91" s="69" t="s">
        <v>160</v>
      </c>
      <c r="BN91" s="69" t="s">
        <v>160</v>
      </c>
      <c r="BO91" s="69" t="s">
        <v>160</v>
      </c>
      <c r="BP91" s="69" t="s">
        <v>160</v>
      </c>
      <c r="BQ91" s="69" t="s">
        <v>160</v>
      </c>
      <c r="BR91" s="69" t="s">
        <v>160</v>
      </c>
      <c r="BS91" s="69" t="s">
        <v>160</v>
      </c>
      <c r="BT91" s="69" t="s">
        <v>160</v>
      </c>
      <c r="BU91" s="69" t="s">
        <v>160</v>
      </c>
      <c r="BV91" s="69" t="s">
        <v>160</v>
      </c>
      <c r="BW91" s="69" t="s">
        <v>160</v>
      </c>
      <c r="BX91" s="69" t="s">
        <v>160</v>
      </c>
      <c r="BY91" s="69" t="s">
        <v>160</v>
      </c>
      <c r="BZ91" s="69" t="s">
        <v>160</v>
      </c>
      <c r="CA91" s="69" t="s">
        <v>160</v>
      </c>
      <c r="CB91" s="69" t="s">
        <v>160</v>
      </c>
      <c r="CC91" s="69" t="s">
        <v>160</v>
      </c>
      <c r="CD91" s="69" t="s">
        <v>160</v>
      </c>
      <c r="CE91" s="69" t="s">
        <v>160</v>
      </c>
      <c r="CF91" s="69" t="s">
        <v>160</v>
      </c>
      <c r="CG91" s="69" t="s">
        <v>160</v>
      </c>
      <c r="CH91" s="69" t="s">
        <v>160</v>
      </c>
      <c r="CI91" s="69" t="s">
        <v>160</v>
      </c>
      <c r="CJ91" s="69" t="s">
        <v>160</v>
      </c>
      <c r="CK91" s="69" t="s">
        <v>160</v>
      </c>
      <c r="CL91" s="69" t="s">
        <v>160</v>
      </c>
      <c r="CM91" s="69" t="s">
        <v>160</v>
      </c>
      <c r="CN91" s="69" t="s">
        <v>160</v>
      </c>
      <c r="CO91" s="69" t="s">
        <v>160</v>
      </c>
      <c r="CP91" s="69" t="s">
        <v>160</v>
      </c>
      <c r="CQ91" s="69" t="s">
        <v>160</v>
      </c>
      <c r="CR91" s="69" t="s">
        <v>160</v>
      </c>
      <c r="CS91" s="69" t="s">
        <v>160</v>
      </c>
      <c r="CT91" s="69" t="s">
        <v>160</v>
      </c>
      <c r="CU91" s="69" t="s">
        <v>160</v>
      </c>
      <c r="CV91" s="69" t="s">
        <v>160</v>
      </c>
      <c r="CW91" s="69" t="s">
        <v>160</v>
      </c>
      <c r="CX91" s="69" t="s">
        <v>160</v>
      </c>
      <c r="CY91" s="69" t="s">
        <v>160</v>
      </c>
      <c r="CZ91" s="69" t="s">
        <v>160</v>
      </c>
      <c r="DA91" s="69" t="s">
        <v>160</v>
      </c>
      <c r="DB91" s="69" t="s">
        <v>160</v>
      </c>
      <c r="DC91" s="69" t="s">
        <v>160</v>
      </c>
      <c r="DD91" s="69" t="s">
        <v>160</v>
      </c>
      <c r="DE91" s="69" t="s">
        <v>160</v>
      </c>
      <c r="DF91" s="69" t="s">
        <v>160</v>
      </c>
      <c r="DG91" s="69" t="s">
        <v>160</v>
      </c>
      <c r="DH91" s="69" t="s">
        <v>160</v>
      </c>
      <c r="DI91" s="69" t="s">
        <v>160</v>
      </c>
      <c r="DJ91" s="69" t="s">
        <v>160</v>
      </c>
      <c r="DK91" s="69" t="s">
        <v>160</v>
      </c>
      <c r="DL91" s="69" t="s">
        <v>160</v>
      </c>
      <c r="DM91" s="69" t="s">
        <v>160</v>
      </c>
      <c r="DN91" s="69" t="s">
        <v>160</v>
      </c>
      <c r="DO91" s="69" t="s">
        <v>160</v>
      </c>
      <c r="DP91" s="69" t="s">
        <v>160</v>
      </c>
      <c r="DQ91" s="69" t="s">
        <v>160</v>
      </c>
      <c r="DR91" s="69" t="s">
        <v>160</v>
      </c>
      <c r="DS91" s="69" t="s">
        <v>160</v>
      </c>
      <c r="DT91" s="69" t="s">
        <v>160</v>
      </c>
      <c r="DU91" s="69" t="s">
        <v>160</v>
      </c>
      <c r="DV91" s="69" t="s">
        <v>160</v>
      </c>
      <c r="DW91" s="69" t="s">
        <v>160</v>
      </c>
      <c r="DX91" s="69" t="s">
        <v>160</v>
      </c>
      <c r="DY91" s="69" t="s">
        <v>160</v>
      </c>
      <c r="DZ91" s="69" t="s">
        <v>160</v>
      </c>
      <c r="EA91" s="69" t="s">
        <v>160</v>
      </c>
      <c r="EB91" s="69" t="s">
        <v>160</v>
      </c>
      <c r="EC91" s="69" t="s">
        <v>160</v>
      </c>
      <c r="ED91" s="69" t="s">
        <v>160</v>
      </c>
      <c r="EE91" s="69" t="s">
        <v>160</v>
      </c>
      <c r="EF91" s="69" t="s">
        <v>160</v>
      </c>
      <c r="EG91" s="69" t="s">
        <v>160</v>
      </c>
      <c r="EH91" s="69" t="s">
        <v>160</v>
      </c>
      <c r="EI91" s="69" t="s">
        <v>160</v>
      </c>
      <c r="EJ91" s="69" t="s">
        <v>160</v>
      </c>
      <c r="EK91" s="69" t="s">
        <v>160</v>
      </c>
      <c r="EL91" s="69" t="s">
        <v>160</v>
      </c>
      <c r="EM91" s="69" t="s">
        <v>160</v>
      </c>
      <c r="EN91" s="69" t="s">
        <v>160</v>
      </c>
      <c r="EO91" s="69" t="s">
        <v>160</v>
      </c>
      <c r="EP91" s="69" t="s">
        <v>160</v>
      </c>
      <c r="EQ91" s="69" t="s">
        <v>160</v>
      </c>
      <c r="ER91" s="69" t="s">
        <v>160</v>
      </c>
      <c r="ES91" s="69" t="s">
        <v>160</v>
      </c>
      <c r="ET91" s="69" t="s">
        <v>160</v>
      </c>
      <c r="EU91" s="69" t="s">
        <v>160</v>
      </c>
      <c r="EV91" s="69" t="s">
        <v>160</v>
      </c>
      <c r="EW91" s="69" t="s">
        <v>160</v>
      </c>
      <c r="EX91" s="69" t="s">
        <v>160</v>
      </c>
      <c r="EY91" s="69" t="s">
        <v>160</v>
      </c>
      <c r="EZ91" s="69" t="s">
        <v>160</v>
      </c>
      <c r="FA91" s="69" t="s">
        <v>160</v>
      </c>
      <c r="FB91" s="69" t="s">
        <v>160</v>
      </c>
      <c r="FC91" s="69" t="s">
        <v>160</v>
      </c>
      <c r="FD91" s="69" t="s">
        <v>160</v>
      </c>
    </row>
    <row r="92" spans="1:160">
      <c r="A92" s="103" t="s">
        <v>493</v>
      </c>
      <c r="B92" s="20" t="s">
        <v>163</v>
      </c>
      <c r="C92" s="91" t="s">
        <v>172</v>
      </c>
      <c r="G92" s="51" t="str">
        <f t="shared" si="10"/>
        <v>Software Code</v>
      </c>
      <c r="H92" s="51" t="s">
        <v>2</v>
      </c>
      <c r="I92" s="64">
        <v>45078</v>
      </c>
      <c r="J92" s="64">
        <v>45199</v>
      </c>
      <c r="K92" s="64"/>
      <c r="L92" s="64"/>
      <c r="M92" s="64"/>
      <c r="N92" s="64" t="b">
        <f t="shared" si="13"/>
        <v>0</v>
      </c>
      <c r="O92" s="64"/>
      <c r="P92" s="24">
        <v>0</v>
      </c>
      <c r="R92" s="51" t="s">
        <v>2</v>
      </c>
      <c r="S92" s="68" t="s">
        <v>160</v>
      </c>
      <c r="T92" s="69" t="s">
        <v>160</v>
      </c>
      <c r="U92" s="69" t="s">
        <v>160</v>
      </c>
      <c r="V92" s="69" t="s">
        <v>160</v>
      </c>
      <c r="W92" s="69" t="s">
        <v>160</v>
      </c>
      <c r="X92" s="69" t="s">
        <v>160</v>
      </c>
      <c r="Y92" s="69" t="s">
        <v>160</v>
      </c>
      <c r="Z92" s="69" t="s">
        <v>160</v>
      </c>
      <c r="AA92" s="69" t="s">
        <v>160</v>
      </c>
      <c r="AB92" s="69" t="s">
        <v>160</v>
      </c>
      <c r="AC92" s="69" t="s">
        <v>160</v>
      </c>
      <c r="AD92" s="69" t="s">
        <v>160</v>
      </c>
      <c r="AE92" s="69" t="s">
        <v>160</v>
      </c>
      <c r="AF92" s="69" t="s">
        <v>160</v>
      </c>
      <c r="AG92" s="69" t="s">
        <v>160</v>
      </c>
      <c r="AH92" s="69" t="s">
        <v>160</v>
      </c>
      <c r="AI92" s="69" t="s">
        <v>160</v>
      </c>
      <c r="AJ92" s="69" t="s">
        <v>160</v>
      </c>
      <c r="AK92" s="69" t="s">
        <v>160</v>
      </c>
      <c r="AL92" s="69" t="s">
        <v>160</v>
      </c>
      <c r="AM92" s="69" t="s">
        <v>160</v>
      </c>
      <c r="AN92" s="69" t="s">
        <v>160</v>
      </c>
      <c r="AO92" s="69" t="s">
        <v>160</v>
      </c>
      <c r="AP92" s="69" t="s">
        <v>160</v>
      </c>
      <c r="AQ92" s="69" t="s">
        <v>160</v>
      </c>
      <c r="AR92" s="69" t="s">
        <v>160</v>
      </c>
      <c r="AS92" s="69" t="s">
        <v>160</v>
      </c>
      <c r="AT92" s="69" t="s">
        <v>160</v>
      </c>
      <c r="AU92" s="69" t="s">
        <v>160</v>
      </c>
      <c r="AV92" s="69" t="s">
        <v>160</v>
      </c>
      <c r="AW92" s="69" t="s">
        <v>160</v>
      </c>
      <c r="AX92" s="69" t="s">
        <v>160</v>
      </c>
      <c r="AY92" s="69" t="s">
        <v>160</v>
      </c>
      <c r="AZ92" s="69" t="s">
        <v>160</v>
      </c>
      <c r="BA92" s="69" t="s">
        <v>160</v>
      </c>
      <c r="BB92" s="69" t="s">
        <v>160</v>
      </c>
      <c r="BC92" s="69" t="s">
        <v>160</v>
      </c>
      <c r="BD92" s="69" t="s">
        <v>160</v>
      </c>
      <c r="BE92" s="69" t="s">
        <v>160</v>
      </c>
      <c r="BF92" s="69" t="s">
        <v>160</v>
      </c>
      <c r="BG92" s="69" t="s">
        <v>160</v>
      </c>
      <c r="BH92" s="69" t="s">
        <v>160</v>
      </c>
      <c r="BI92" s="69" t="s">
        <v>160</v>
      </c>
      <c r="BJ92" s="69" t="s">
        <v>160</v>
      </c>
      <c r="BK92" s="69" t="s">
        <v>160</v>
      </c>
      <c r="BL92" s="69" t="s">
        <v>160</v>
      </c>
      <c r="BM92" s="69" t="s">
        <v>160</v>
      </c>
      <c r="BN92" s="69" t="s">
        <v>160</v>
      </c>
      <c r="BO92" s="69" t="s">
        <v>160</v>
      </c>
      <c r="BP92" s="69" t="s">
        <v>160</v>
      </c>
      <c r="BQ92" s="69" t="s">
        <v>160</v>
      </c>
      <c r="BR92" s="69" t="s">
        <v>160</v>
      </c>
      <c r="BS92" s="69" t="s">
        <v>160</v>
      </c>
      <c r="BT92" s="69" t="s">
        <v>160</v>
      </c>
      <c r="BU92" s="69" t="s">
        <v>160</v>
      </c>
      <c r="BV92" s="69" t="s">
        <v>160</v>
      </c>
      <c r="BW92" s="69" t="s">
        <v>160</v>
      </c>
      <c r="BX92" s="69" t="s">
        <v>160</v>
      </c>
      <c r="BY92" s="69" t="s">
        <v>160</v>
      </c>
      <c r="BZ92" s="69" t="s">
        <v>160</v>
      </c>
      <c r="CA92" s="69" t="s">
        <v>160</v>
      </c>
      <c r="CB92" s="69" t="s">
        <v>160</v>
      </c>
      <c r="CC92" s="69" t="s">
        <v>160</v>
      </c>
      <c r="CD92" s="69" t="s">
        <v>160</v>
      </c>
      <c r="CE92" s="69" t="s">
        <v>160</v>
      </c>
      <c r="CF92" s="69" t="s">
        <v>160</v>
      </c>
      <c r="CG92" s="69" t="s">
        <v>160</v>
      </c>
      <c r="CH92" s="69" t="s">
        <v>160</v>
      </c>
      <c r="CI92" s="69" t="s">
        <v>160</v>
      </c>
      <c r="CJ92" s="69" t="s">
        <v>160</v>
      </c>
      <c r="CK92" s="69" t="s">
        <v>160</v>
      </c>
      <c r="CL92" s="69" t="s">
        <v>160</v>
      </c>
      <c r="CM92" s="69" t="s">
        <v>160</v>
      </c>
      <c r="CN92" s="69" t="s">
        <v>160</v>
      </c>
      <c r="CO92" s="69" t="s">
        <v>160</v>
      </c>
      <c r="CP92" s="69" t="s">
        <v>160</v>
      </c>
      <c r="CQ92" s="69" t="s">
        <v>160</v>
      </c>
      <c r="CR92" s="69" t="s">
        <v>160</v>
      </c>
      <c r="CS92" s="69" t="s">
        <v>160</v>
      </c>
      <c r="CT92" s="69" t="s">
        <v>160</v>
      </c>
      <c r="CU92" s="69" t="s">
        <v>160</v>
      </c>
      <c r="CV92" s="69" t="s">
        <v>160</v>
      </c>
      <c r="CW92" s="69" t="s">
        <v>160</v>
      </c>
      <c r="CX92" s="69" t="s">
        <v>160</v>
      </c>
      <c r="CY92" s="69" t="s">
        <v>160</v>
      </c>
      <c r="CZ92" s="69" t="s">
        <v>160</v>
      </c>
      <c r="DA92" s="69" t="s">
        <v>160</v>
      </c>
      <c r="DB92" s="69" t="s">
        <v>160</v>
      </c>
      <c r="DC92" s="69" t="s">
        <v>160</v>
      </c>
      <c r="DD92" s="69" t="s">
        <v>160</v>
      </c>
      <c r="DE92" s="69" t="s">
        <v>160</v>
      </c>
      <c r="DF92" s="69" t="s">
        <v>160</v>
      </c>
      <c r="DG92" s="69" t="s">
        <v>160</v>
      </c>
      <c r="DH92" s="69" t="s">
        <v>160</v>
      </c>
      <c r="DI92" s="69" t="s">
        <v>160</v>
      </c>
      <c r="DJ92" s="69" t="s">
        <v>160</v>
      </c>
      <c r="DK92" s="69" t="s">
        <v>160</v>
      </c>
      <c r="DL92" s="69" t="s">
        <v>160</v>
      </c>
      <c r="DM92" s="69" t="s">
        <v>160</v>
      </c>
      <c r="DN92" s="69" t="s">
        <v>160</v>
      </c>
      <c r="DO92" s="69" t="s">
        <v>160</v>
      </c>
      <c r="DP92" s="69" t="s">
        <v>160</v>
      </c>
      <c r="DQ92" s="69" t="s">
        <v>160</v>
      </c>
      <c r="DR92" s="69" t="s">
        <v>160</v>
      </c>
      <c r="DS92" s="69" t="s">
        <v>160</v>
      </c>
      <c r="DT92" s="69" t="s">
        <v>160</v>
      </c>
      <c r="DU92" s="69" t="s">
        <v>160</v>
      </c>
      <c r="DV92" s="69" t="s">
        <v>160</v>
      </c>
      <c r="DW92" s="69" t="s">
        <v>160</v>
      </c>
      <c r="DX92" s="69" t="s">
        <v>160</v>
      </c>
      <c r="DY92" s="69" t="s">
        <v>160</v>
      </c>
      <c r="DZ92" s="69" t="s">
        <v>160</v>
      </c>
      <c r="EA92" s="69" t="s">
        <v>160</v>
      </c>
      <c r="EB92" s="69" t="s">
        <v>160</v>
      </c>
      <c r="EC92" s="69" t="s">
        <v>160</v>
      </c>
      <c r="ED92" s="69" t="s">
        <v>160</v>
      </c>
      <c r="EE92" s="69" t="s">
        <v>160</v>
      </c>
      <c r="EF92" s="69" t="s">
        <v>160</v>
      </c>
      <c r="EG92" s="69" t="s">
        <v>160</v>
      </c>
      <c r="EH92" s="69" t="s">
        <v>160</v>
      </c>
      <c r="EI92" s="69" t="s">
        <v>160</v>
      </c>
      <c r="EJ92" s="69" t="s">
        <v>160</v>
      </c>
      <c r="EK92" s="69" t="s">
        <v>160</v>
      </c>
      <c r="EL92" s="69" t="s">
        <v>160</v>
      </c>
      <c r="EM92" s="69" t="s">
        <v>160</v>
      </c>
      <c r="EN92" s="69" t="s">
        <v>160</v>
      </c>
      <c r="EO92" s="69" t="s">
        <v>160</v>
      </c>
      <c r="EP92" s="69" t="s">
        <v>160</v>
      </c>
      <c r="EQ92" s="69" t="s">
        <v>160</v>
      </c>
      <c r="ER92" s="69" t="s">
        <v>160</v>
      </c>
      <c r="ES92" s="69" t="s">
        <v>160</v>
      </c>
      <c r="ET92" s="69" t="s">
        <v>160</v>
      </c>
      <c r="EU92" s="69" t="s">
        <v>160</v>
      </c>
      <c r="EV92" s="69" t="s">
        <v>160</v>
      </c>
      <c r="EW92" s="69" t="s">
        <v>160</v>
      </c>
      <c r="EX92" s="69" t="s">
        <v>160</v>
      </c>
      <c r="EY92" s="69" t="s">
        <v>160</v>
      </c>
      <c r="EZ92" s="69" t="s">
        <v>160</v>
      </c>
      <c r="FA92" s="69" t="s">
        <v>160</v>
      </c>
      <c r="FB92" s="69" t="s">
        <v>160</v>
      </c>
      <c r="FC92" s="69" t="s">
        <v>160</v>
      </c>
      <c r="FD92" s="69" t="s">
        <v>160</v>
      </c>
    </row>
    <row r="93" spans="1:160">
      <c r="A93" s="103" t="s">
        <v>494</v>
      </c>
      <c r="B93" s="20" t="s">
        <v>163</v>
      </c>
      <c r="C93" s="91" t="s">
        <v>173</v>
      </c>
      <c r="G93" s="51" t="str">
        <f t="shared" si="10"/>
        <v>Deployment Procedure of the code</v>
      </c>
      <c r="H93" s="51" t="s">
        <v>2</v>
      </c>
      <c r="I93" s="64">
        <v>45078</v>
      </c>
      <c r="J93" s="64">
        <v>45199</v>
      </c>
      <c r="K93" s="64"/>
      <c r="L93" s="64"/>
      <c r="M93" s="64"/>
      <c r="N93" s="64" t="b">
        <f t="shared" si="13"/>
        <v>0</v>
      </c>
      <c r="O93" s="64"/>
      <c r="P93" s="24">
        <v>0</v>
      </c>
      <c r="R93" s="51" t="s">
        <v>2</v>
      </c>
      <c r="S93" s="68" t="s">
        <v>160</v>
      </c>
      <c r="T93" s="69" t="s">
        <v>160</v>
      </c>
      <c r="U93" s="69" t="s">
        <v>160</v>
      </c>
      <c r="V93" s="69" t="s">
        <v>160</v>
      </c>
      <c r="W93" s="69" t="s">
        <v>160</v>
      </c>
      <c r="X93" s="69" t="s">
        <v>160</v>
      </c>
      <c r="Y93" s="69" t="s">
        <v>160</v>
      </c>
      <c r="Z93" s="69" t="s">
        <v>160</v>
      </c>
      <c r="AA93" s="69" t="s">
        <v>160</v>
      </c>
      <c r="AB93" s="69" t="s">
        <v>160</v>
      </c>
      <c r="AC93" s="69" t="s">
        <v>160</v>
      </c>
      <c r="AD93" s="69" t="s">
        <v>160</v>
      </c>
      <c r="AE93" s="69" t="s">
        <v>160</v>
      </c>
      <c r="AF93" s="69" t="s">
        <v>160</v>
      </c>
      <c r="AG93" s="69" t="s">
        <v>160</v>
      </c>
      <c r="AH93" s="69" t="s">
        <v>160</v>
      </c>
      <c r="AI93" s="69" t="s">
        <v>160</v>
      </c>
      <c r="AJ93" s="69" t="s">
        <v>160</v>
      </c>
      <c r="AK93" s="69" t="s">
        <v>160</v>
      </c>
      <c r="AL93" s="69" t="s">
        <v>160</v>
      </c>
      <c r="AM93" s="69" t="s">
        <v>160</v>
      </c>
      <c r="AN93" s="69" t="s">
        <v>160</v>
      </c>
      <c r="AO93" s="69" t="s">
        <v>160</v>
      </c>
      <c r="AP93" s="69" t="s">
        <v>160</v>
      </c>
      <c r="AQ93" s="69" t="s">
        <v>160</v>
      </c>
      <c r="AR93" s="69" t="s">
        <v>160</v>
      </c>
      <c r="AS93" s="69" t="s">
        <v>160</v>
      </c>
      <c r="AT93" s="69" t="s">
        <v>160</v>
      </c>
      <c r="AU93" s="69" t="s">
        <v>160</v>
      </c>
      <c r="AV93" s="69" t="s">
        <v>160</v>
      </c>
      <c r="AW93" s="69" t="s">
        <v>160</v>
      </c>
      <c r="AX93" s="69" t="s">
        <v>160</v>
      </c>
      <c r="AY93" s="69" t="s">
        <v>160</v>
      </c>
      <c r="AZ93" s="69" t="s">
        <v>160</v>
      </c>
      <c r="BA93" s="69" t="s">
        <v>160</v>
      </c>
      <c r="BB93" s="69" t="s">
        <v>160</v>
      </c>
      <c r="BC93" s="69" t="s">
        <v>160</v>
      </c>
      <c r="BD93" s="69" t="s">
        <v>160</v>
      </c>
      <c r="BE93" s="69" t="s">
        <v>160</v>
      </c>
      <c r="BF93" s="69" t="s">
        <v>160</v>
      </c>
      <c r="BG93" s="69" t="s">
        <v>160</v>
      </c>
      <c r="BH93" s="69" t="s">
        <v>160</v>
      </c>
      <c r="BI93" s="69" t="s">
        <v>160</v>
      </c>
      <c r="BJ93" s="69" t="s">
        <v>160</v>
      </c>
      <c r="BK93" s="69" t="s">
        <v>160</v>
      </c>
      <c r="BL93" s="69" t="s">
        <v>160</v>
      </c>
      <c r="BM93" s="69" t="s">
        <v>160</v>
      </c>
      <c r="BN93" s="69" t="s">
        <v>160</v>
      </c>
      <c r="BO93" s="69" t="s">
        <v>160</v>
      </c>
      <c r="BP93" s="69" t="s">
        <v>160</v>
      </c>
      <c r="BQ93" s="69" t="s">
        <v>160</v>
      </c>
      <c r="BR93" s="69" t="s">
        <v>160</v>
      </c>
      <c r="BS93" s="69" t="s">
        <v>160</v>
      </c>
      <c r="BT93" s="69" t="s">
        <v>160</v>
      </c>
      <c r="BU93" s="69" t="s">
        <v>160</v>
      </c>
      <c r="BV93" s="69" t="s">
        <v>160</v>
      </c>
      <c r="BW93" s="69" t="s">
        <v>160</v>
      </c>
      <c r="BX93" s="69" t="s">
        <v>160</v>
      </c>
      <c r="BY93" s="69" t="s">
        <v>160</v>
      </c>
      <c r="BZ93" s="69" t="s">
        <v>160</v>
      </c>
      <c r="CA93" s="69" t="s">
        <v>160</v>
      </c>
      <c r="CB93" s="69" t="s">
        <v>160</v>
      </c>
      <c r="CC93" s="69" t="s">
        <v>160</v>
      </c>
      <c r="CD93" s="69" t="s">
        <v>160</v>
      </c>
      <c r="CE93" s="69" t="s">
        <v>160</v>
      </c>
      <c r="CF93" s="69" t="s">
        <v>160</v>
      </c>
      <c r="CG93" s="69" t="s">
        <v>160</v>
      </c>
      <c r="CH93" s="69" t="s">
        <v>160</v>
      </c>
      <c r="CI93" s="69" t="s">
        <v>160</v>
      </c>
      <c r="CJ93" s="69" t="s">
        <v>160</v>
      </c>
      <c r="CK93" s="69" t="s">
        <v>160</v>
      </c>
      <c r="CL93" s="69" t="s">
        <v>160</v>
      </c>
      <c r="CM93" s="69" t="s">
        <v>160</v>
      </c>
      <c r="CN93" s="69" t="s">
        <v>160</v>
      </c>
      <c r="CO93" s="69" t="s">
        <v>160</v>
      </c>
      <c r="CP93" s="69" t="s">
        <v>160</v>
      </c>
      <c r="CQ93" s="69" t="s">
        <v>160</v>
      </c>
      <c r="CR93" s="69" t="s">
        <v>160</v>
      </c>
      <c r="CS93" s="69" t="s">
        <v>160</v>
      </c>
      <c r="CT93" s="69" t="s">
        <v>160</v>
      </c>
      <c r="CU93" s="69" t="s">
        <v>160</v>
      </c>
      <c r="CV93" s="69" t="s">
        <v>160</v>
      </c>
      <c r="CW93" s="69" t="s">
        <v>160</v>
      </c>
      <c r="CX93" s="69" t="s">
        <v>160</v>
      </c>
      <c r="CY93" s="69" t="s">
        <v>160</v>
      </c>
      <c r="CZ93" s="69" t="s">
        <v>160</v>
      </c>
      <c r="DA93" s="69" t="s">
        <v>160</v>
      </c>
      <c r="DB93" s="69" t="s">
        <v>160</v>
      </c>
      <c r="DC93" s="69" t="s">
        <v>160</v>
      </c>
      <c r="DD93" s="69" t="s">
        <v>160</v>
      </c>
      <c r="DE93" s="69" t="s">
        <v>160</v>
      </c>
      <c r="DF93" s="69" t="s">
        <v>160</v>
      </c>
      <c r="DG93" s="69" t="s">
        <v>160</v>
      </c>
      <c r="DH93" s="69" t="s">
        <v>160</v>
      </c>
      <c r="DI93" s="69" t="s">
        <v>160</v>
      </c>
      <c r="DJ93" s="69" t="s">
        <v>160</v>
      </c>
      <c r="DK93" s="69" t="s">
        <v>160</v>
      </c>
      <c r="DL93" s="69" t="s">
        <v>160</v>
      </c>
      <c r="DM93" s="69" t="s">
        <v>160</v>
      </c>
      <c r="DN93" s="69" t="s">
        <v>160</v>
      </c>
      <c r="DO93" s="69" t="s">
        <v>160</v>
      </c>
      <c r="DP93" s="69" t="s">
        <v>160</v>
      </c>
      <c r="DQ93" s="69" t="s">
        <v>160</v>
      </c>
      <c r="DR93" s="69" t="s">
        <v>160</v>
      </c>
      <c r="DS93" s="69" t="s">
        <v>160</v>
      </c>
      <c r="DT93" s="69" t="s">
        <v>160</v>
      </c>
      <c r="DU93" s="69" t="s">
        <v>160</v>
      </c>
      <c r="DV93" s="69" t="s">
        <v>160</v>
      </c>
      <c r="DW93" s="69" t="s">
        <v>160</v>
      </c>
      <c r="DX93" s="69" t="s">
        <v>160</v>
      </c>
      <c r="DY93" s="69" t="s">
        <v>160</v>
      </c>
      <c r="DZ93" s="69" t="s">
        <v>160</v>
      </c>
      <c r="EA93" s="69" t="s">
        <v>160</v>
      </c>
      <c r="EB93" s="69" t="s">
        <v>160</v>
      </c>
      <c r="EC93" s="69" t="s">
        <v>160</v>
      </c>
      <c r="ED93" s="69" t="s">
        <v>160</v>
      </c>
      <c r="EE93" s="69" t="s">
        <v>160</v>
      </c>
      <c r="EF93" s="69" t="s">
        <v>160</v>
      </c>
      <c r="EG93" s="69" t="s">
        <v>160</v>
      </c>
      <c r="EH93" s="69" t="s">
        <v>160</v>
      </c>
      <c r="EI93" s="69" t="s">
        <v>160</v>
      </c>
      <c r="EJ93" s="69" t="s">
        <v>160</v>
      </c>
      <c r="EK93" s="69" t="s">
        <v>160</v>
      </c>
      <c r="EL93" s="69" t="s">
        <v>160</v>
      </c>
      <c r="EM93" s="69" t="s">
        <v>160</v>
      </c>
      <c r="EN93" s="69" t="s">
        <v>160</v>
      </c>
      <c r="EO93" s="69" t="s">
        <v>160</v>
      </c>
      <c r="EP93" s="69" t="s">
        <v>160</v>
      </c>
      <c r="EQ93" s="69" t="s">
        <v>160</v>
      </c>
      <c r="ER93" s="69" t="s">
        <v>160</v>
      </c>
      <c r="ES93" s="69" t="s">
        <v>160</v>
      </c>
      <c r="ET93" s="69" t="s">
        <v>160</v>
      </c>
      <c r="EU93" s="69" t="s">
        <v>160</v>
      </c>
      <c r="EV93" s="69" t="s">
        <v>160</v>
      </c>
      <c r="EW93" s="69" t="s">
        <v>160</v>
      </c>
      <c r="EX93" s="69" t="s">
        <v>160</v>
      </c>
      <c r="EY93" s="69" t="s">
        <v>160</v>
      </c>
      <c r="EZ93" s="69" t="s">
        <v>160</v>
      </c>
      <c r="FA93" s="69" t="s">
        <v>160</v>
      </c>
      <c r="FB93" s="69" t="s">
        <v>160</v>
      </c>
      <c r="FC93" s="69" t="s">
        <v>160</v>
      </c>
      <c r="FD93" s="69" t="s">
        <v>160</v>
      </c>
    </row>
    <row r="94" spans="1:160">
      <c r="A94" s="103" t="s">
        <v>495</v>
      </c>
      <c r="B94" s="20" t="s">
        <v>163</v>
      </c>
      <c r="C94" s="91" t="s">
        <v>175</v>
      </c>
      <c r="G94" s="51" t="str">
        <f t="shared" si="10"/>
        <v>Product usage guide with examples for all the functional usecases</v>
      </c>
      <c r="H94" s="51" t="s">
        <v>2</v>
      </c>
      <c r="I94" s="64">
        <v>45078</v>
      </c>
      <c r="J94" s="64">
        <v>45199</v>
      </c>
      <c r="K94" s="64"/>
      <c r="L94" s="64"/>
      <c r="M94" s="64"/>
      <c r="N94" s="64" t="b">
        <f t="shared" si="13"/>
        <v>0</v>
      </c>
      <c r="O94" s="64"/>
      <c r="P94" s="24">
        <v>0</v>
      </c>
      <c r="R94" s="51" t="s">
        <v>2</v>
      </c>
      <c r="S94" s="68" t="s">
        <v>160</v>
      </c>
      <c r="T94" s="69" t="s">
        <v>160</v>
      </c>
      <c r="U94" s="69" t="s">
        <v>160</v>
      </c>
      <c r="V94" s="69" t="s">
        <v>160</v>
      </c>
      <c r="W94" s="69" t="s">
        <v>160</v>
      </c>
      <c r="X94" s="69" t="s">
        <v>160</v>
      </c>
      <c r="Y94" s="69" t="s">
        <v>160</v>
      </c>
      <c r="Z94" s="69" t="s">
        <v>160</v>
      </c>
      <c r="AA94" s="69" t="s">
        <v>160</v>
      </c>
      <c r="AB94" s="69" t="s">
        <v>160</v>
      </c>
      <c r="AC94" s="69" t="s">
        <v>160</v>
      </c>
      <c r="AD94" s="69" t="s">
        <v>160</v>
      </c>
      <c r="AE94" s="69" t="s">
        <v>160</v>
      </c>
      <c r="AF94" s="69" t="s">
        <v>160</v>
      </c>
      <c r="AG94" s="69" t="s">
        <v>160</v>
      </c>
      <c r="AH94" s="69" t="s">
        <v>160</v>
      </c>
      <c r="AI94" s="69" t="s">
        <v>160</v>
      </c>
      <c r="AJ94" s="69" t="s">
        <v>160</v>
      </c>
      <c r="AK94" s="69" t="s">
        <v>160</v>
      </c>
      <c r="AL94" s="69" t="s">
        <v>160</v>
      </c>
      <c r="AM94" s="69" t="s">
        <v>160</v>
      </c>
      <c r="AN94" s="69" t="s">
        <v>160</v>
      </c>
      <c r="AO94" s="69" t="s">
        <v>160</v>
      </c>
      <c r="AP94" s="69" t="s">
        <v>160</v>
      </c>
      <c r="AQ94" s="69" t="s">
        <v>160</v>
      </c>
      <c r="AR94" s="69" t="s">
        <v>160</v>
      </c>
      <c r="AS94" s="69" t="s">
        <v>160</v>
      </c>
      <c r="AT94" s="69" t="s">
        <v>160</v>
      </c>
      <c r="AU94" s="69" t="s">
        <v>160</v>
      </c>
      <c r="AV94" s="69" t="s">
        <v>160</v>
      </c>
      <c r="AW94" s="69" t="s">
        <v>160</v>
      </c>
      <c r="AX94" s="69" t="s">
        <v>160</v>
      </c>
      <c r="AY94" s="69" t="s">
        <v>160</v>
      </c>
      <c r="AZ94" s="69" t="s">
        <v>160</v>
      </c>
      <c r="BA94" s="69" t="s">
        <v>160</v>
      </c>
      <c r="BB94" s="69" t="s">
        <v>160</v>
      </c>
      <c r="BC94" s="69" t="s">
        <v>160</v>
      </c>
      <c r="BD94" s="69" t="s">
        <v>160</v>
      </c>
      <c r="BE94" s="69" t="s">
        <v>160</v>
      </c>
      <c r="BF94" s="69" t="s">
        <v>160</v>
      </c>
      <c r="BG94" s="69" t="s">
        <v>160</v>
      </c>
      <c r="BH94" s="69" t="s">
        <v>160</v>
      </c>
      <c r="BI94" s="69" t="s">
        <v>160</v>
      </c>
      <c r="BJ94" s="69" t="s">
        <v>160</v>
      </c>
      <c r="BK94" s="69" t="s">
        <v>160</v>
      </c>
      <c r="BL94" s="69" t="s">
        <v>160</v>
      </c>
      <c r="BM94" s="69" t="s">
        <v>160</v>
      </c>
      <c r="BN94" s="69" t="s">
        <v>160</v>
      </c>
      <c r="BO94" s="69" t="s">
        <v>160</v>
      </c>
      <c r="BP94" s="69" t="s">
        <v>160</v>
      </c>
      <c r="BQ94" s="69" t="s">
        <v>160</v>
      </c>
      <c r="BR94" s="69" t="s">
        <v>160</v>
      </c>
      <c r="BS94" s="69" t="s">
        <v>160</v>
      </c>
      <c r="BT94" s="69" t="s">
        <v>160</v>
      </c>
      <c r="BU94" s="69" t="s">
        <v>160</v>
      </c>
      <c r="BV94" s="69" t="s">
        <v>160</v>
      </c>
      <c r="BW94" s="69" t="s">
        <v>160</v>
      </c>
      <c r="BX94" s="69" t="s">
        <v>160</v>
      </c>
      <c r="BY94" s="69" t="s">
        <v>160</v>
      </c>
      <c r="BZ94" s="69" t="s">
        <v>160</v>
      </c>
      <c r="CA94" s="69" t="s">
        <v>160</v>
      </c>
      <c r="CB94" s="69" t="s">
        <v>160</v>
      </c>
      <c r="CC94" s="69" t="s">
        <v>160</v>
      </c>
      <c r="CD94" s="69" t="s">
        <v>160</v>
      </c>
      <c r="CE94" s="69" t="s">
        <v>160</v>
      </c>
      <c r="CF94" s="69" t="s">
        <v>160</v>
      </c>
      <c r="CG94" s="69" t="s">
        <v>160</v>
      </c>
      <c r="CH94" s="69" t="s">
        <v>160</v>
      </c>
      <c r="CI94" s="69" t="s">
        <v>160</v>
      </c>
      <c r="CJ94" s="69" t="s">
        <v>160</v>
      </c>
      <c r="CK94" s="69" t="s">
        <v>160</v>
      </c>
      <c r="CL94" s="69" t="s">
        <v>160</v>
      </c>
      <c r="CM94" s="69" t="s">
        <v>160</v>
      </c>
      <c r="CN94" s="69" t="s">
        <v>160</v>
      </c>
      <c r="CO94" s="69" t="s">
        <v>160</v>
      </c>
      <c r="CP94" s="69" t="s">
        <v>160</v>
      </c>
      <c r="CQ94" s="69" t="s">
        <v>160</v>
      </c>
      <c r="CR94" s="69" t="s">
        <v>160</v>
      </c>
      <c r="CS94" s="69" t="s">
        <v>160</v>
      </c>
      <c r="CT94" s="69" t="s">
        <v>160</v>
      </c>
      <c r="CU94" s="69" t="s">
        <v>160</v>
      </c>
      <c r="CV94" s="69" t="s">
        <v>160</v>
      </c>
      <c r="CW94" s="69" t="s">
        <v>160</v>
      </c>
      <c r="CX94" s="69" t="s">
        <v>160</v>
      </c>
      <c r="CY94" s="69" t="s">
        <v>160</v>
      </c>
      <c r="CZ94" s="69" t="s">
        <v>160</v>
      </c>
      <c r="DA94" s="69" t="s">
        <v>160</v>
      </c>
      <c r="DB94" s="69" t="s">
        <v>160</v>
      </c>
      <c r="DC94" s="69" t="s">
        <v>160</v>
      </c>
      <c r="DD94" s="69" t="s">
        <v>160</v>
      </c>
      <c r="DE94" s="69" t="s">
        <v>160</v>
      </c>
      <c r="DF94" s="69" t="s">
        <v>160</v>
      </c>
      <c r="DG94" s="69" t="s">
        <v>160</v>
      </c>
      <c r="DH94" s="69" t="s">
        <v>160</v>
      </c>
      <c r="DI94" s="69" t="s">
        <v>160</v>
      </c>
      <c r="DJ94" s="69" t="s">
        <v>160</v>
      </c>
      <c r="DK94" s="69" t="s">
        <v>160</v>
      </c>
      <c r="DL94" s="69" t="s">
        <v>160</v>
      </c>
      <c r="DM94" s="69" t="s">
        <v>160</v>
      </c>
      <c r="DN94" s="69" t="s">
        <v>160</v>
      </c>
      <c r="DO94" s="69" t="s">
        <v>160</v>
      </c>
      <c r="DP94" s="69" t="s">
        <v>160</v>
      </c>
      <c r="DQ94" s="69" t="s">
        <v>160</v>
      </c>
      <c r="DR94" s="69" t="s">
        <v>160</v>
      </c>
      <c r="DS94" s="69" t="s">
        <v>160</v>
      </c>
      <c r="DT94" s="69" t="s">
        <v>160</v>
      </c>
      <c r="DU94" s="69" t="s">
        <v>160</v>
      </c>
      <c r="DV94" s="69" t="s">
        <v>160</v>
      </c>
      <c r="DW94" s="69" t="s">
        <v>160</v>
      </c>
      <c r="DX94" s="69" t="s">
        <v>160</v>
      </c>
      <c r="DY94" s="69" t="s">
        <v>160</v>
      </c>
      <c r="DZ94" s="69" t="s">
        <v>160</v>
      </c>
      <c r="EA94" s="69" t="s">
        <v>160</v>
      </c>
      <c r="EB94" s="69" t="s">
        <v>160</v>
      </c>
      <c r="EC94" s="69" t="s">
        <v>160</v>
      </c>
      <c r="ED94" s="69" t="s">
        <v>160</v>
      </c>
      <c r="EE94" s="69" t="s">
        <v>160</v>
      </c>
      <c r="EF94" s="69" t="s">
        <v>160</v>
      </c>
      <c r="EG94" s="69" t="s">
        <v>160</v>
      </c>
      <c r="EH94" s="69" t="s">
        <v>160</v>
      </c>
      <c r="EI94" s="69" t="s">
        <v>160</v>
      </c>
      <c r="EJ94" s="69" t="s">
        <v>160</v>
      </c>
      <c r="EK94" s="69" t="s">
        <v>160</v>
      </c>
      <c r="EL94" s="69" t="s">
        <v>160</v>
      </c>
      <c r="EM94" s="69" t="s">
        <v>160</v>
      </c>
      <c r="EN94" s="69" t="s">
        <v>160</v>
      </c>
      <c r="EO94" s="69" t="s">
        <v>160</v>
      </c>
      <c r="EP94" s="69" t="s">
        <v>160</v>
      </c>
      <c r="EQ94" s="69" t="s">
        <v>160</v>
      </c>
      <c r="ER94" s="69" t="s">
        <v>160</v>
      </c>
      <c r="ES94" s="69" t="s">
        <v>160</v>
      </c>
      <c r="ET94" s="69" t="s">
        <v>160</v>
      </c>
      <c r="EU94" s="69" t="s">
        <v>160</v>
      </c>
      <c r="EV94" s="69" t="s">
        <v>160</v>
      </c>
      <c r="EW94" s="69" t="s">
        <v>160</v>
      </c>
      <c r="EX94" s="69" t="s">
        <v>160</v>
      </c>
      <c r="EY94" s="69" t="s">
        <v>160</v>
      </c>
      <c r="EZ94" s="69" t="s">
        <v>160</v>
      </c>
      <c r="FA94" s="69" t="s">
        <v>160</v>
      </c>
      <c r="FB94" s="69" t="s">
        <v>160</v>
      </c>
      <c r="FC94" s="69" t="s">
        <v>160</v>
      </c>
      <c r="FD94" s="69" t="s">
        <v>160</v>
      </c>
    </row>
    <row r="95" spans="1:160" s="71" customFormat="1" ht="18.5" thickBot="1">
      <c r="A95" s="104" t="s">
        <v>489</v>
      </c>
      <c r="B95" s="105" t="s">
        <v>163</v>
      </c>
      <c r="C95" s="92" t="s">
        <v>176</v>
      </c>
      <c r="G95" s="71" t="str">
        <f t="shared" si="10"/>
        <v xml:space="preserve">Test report </v>
      </c>
      <c r="H95" s="71" t="s">
        <v>2</v>
      </c>
      <c r="I95" s="115">
        <v>45078</v>
      </c>
      <c r="J95" s="72">
        <v>45199</v>
      </c>
      <c r="K95" s="72"/>
      <c r="L95" s="72"/>
      <c r="M95" s="72"/>
      <c r="N95" s="72" t="b">
        <f t="shared" si="13"/>
        <v>0</v>
      </c>
      <c r="O95" s="72"/>
      <c r="P95" s="89">
        <v>0</v>
      </c>
      <c r="Q95" s="89"/>
      <c r="R95" s="71" t="s">
        <v>2</v>
      </c>
      <c r="S95" s="74" t="s">
        <v>160</v>
      </c>
      <c r="T95" s="75" t="s">
        <v>160</v>
      </c>
      <c r="U95" s="75" t="s">
        <v>160</v>
      </c>
      <c r="V95" s="75" t="s">
        <v>160</v>
      </c>
      <c r="W95" s="75" t="s">
        <v>160</v>
      </c>
      <c r="X95" s="75" t="s">
        <v>160</v>
      </c>
      <c r="Y95" s="75" t="s">
        <v>160</v>
      </c>
      <c r="Z95" s="75" t="s">
        <v>160</v>
      </c>
      <c r="AA95" s="75" t="s">
        <v>160</v>
      </c>
      <c r="AB95" s="75" t="s">
        <v>160</v>
      </c>
      <c r="AC95" s="75" t="s">
        <v>160</v>
      </c>
      <c r="AD95" s="75" t="s">
        <v>160</v>
      </c>
      <c r="AE95" s="75" t="s">
        <v>160</v>
      </c>
      <c r="AF95" s="75" t="s">
        <v>160</v>
      </c>
      <c r="AG95" s="75" t="s">
        <v>160</v>
      </c>
      <c r="AH95" s="75" t="s">
        <v>160</v>
      </c>
      <c r="AI95" s="75" t="s">
        <v>160</v>
      </c>
      <c r="AJ95" s="75" t="s">
        <v>160</v>
      </c>
      <c r="AK95" s="75" t="s">
        <v>160</v>
      </c>
      <c r="AL95" s="75" t="s">
        <v>160</v>
      </c>
      <c r="AM95" s="75" t="s">
        <v>160</v>
      </c>
      <c r="AN95" s="75" t="s">
        <v>160</v>
      </c>
      <c r="AO95" s="75" t="s">
        <v>160</v>
      </c>
      <c r="AP95" s="75" t="s">
        <v>160</v>
      </c>
      <c r="AQ95" s="75" t="s">
        <v>160</v>
      </c>
      <c r="AR95" s="75" t="s">
        <v>160</v>
      </c>
      <c r="AS95" s="75" t="s">
        <v>160</v>
      </c>
      <c r="AT95" s="75" t="s">
        <v>160</v>
      </c>
      <c r="AU95" s="75" t="s">
        <v>160</v>
      </c>
      <c r="AV95" s="75" t="s">
        <v>160</v>
      </c>
      <c r="AW95" s="75" t="s">
        <v>160</v>
      </c>
      <c r="AX95" s="75" t="s">
        <v>160</v>
      </c>
      <c r="AY95" s="75" t="s">
        <v>160</v>
      </c>
      <c r="AZ95" s="75" t="s">
        <v>160</v>
      </c>
      <c r="BA95" s="75" t="s">
        <v>160</v>
      </c>
      <c r="BB95" s="75" t="s">
        <v>160</v>
      </c>
      <c r="BC95" s="75" t="s">
        <v>160</v>
      </c>
      <c r="BD95" s="75" t="s">
        <v>160</v>
      </c>
      <c r="BE95" s="75" t="s">
        <v>160</v>
      </c>
      <c r="BF95" s="75" t="s">
        <v>160</v>
      </c>
      <c r="BG95" s="75" t="s">
        <v>160</v>
      </c>
      <c r="BH95" s="75" t="s">
        <v>160</v>
      </c>
      <c r="BI95" s="75" t="s">
        <v>160</v>
      </c>
      <c r="BJ95" s="75" t="s">
        <v>160</v>
      </c>
      <c r="BK95" s="75" t="s">
        <v>160</v>
      </c>
      <c r="BL95" s="75" t="s">
        <v>160</v>
      </c>
      <c r="BM95" s="75" t="s">
        <v>160</v>
      </c>
      <c r="BN95" s="75" t="s">
        <v>160</v>
      </c>
      <c r="BO95" s="75" t="s">
        <v>160</v>
      </c>
      <c r="BP95" s="75" t="s">
        <v>160</v>
      </c>
      <c r="BQ95" s="75" t="s">
        <v>160</v>
      </c>
      <c r="BR95" s="75" t="s">
        <v>160</v>
      </c>
      <c r="BS95" s="75" t="s">
        <v>160</v>
      </c>
      <c r="BT95" s="75" t="s">
        <v>160</v>
      </c>
      <c r="BU95" s="75" t="s">
        <v>160</v>
      </c>
      <c r="BV95" s="75" t="s">
        <v>160</v>
      </c>
      <c r="BW95" s="75" t="s">
        <v>160</v>
      </c>
      <c r="BX95" s="75" t="s">
        <v>160</v>
      </c>
      <c r="BY95" s="75" t="s">
        <v>160</v>
      </c>
      <c r="BZ95" s="75" t="s">
        <v>160</v>
      </c>
      <c r="CA95" s="75" t="s">
        <v>160</v>
      </c>
      <c r="CB95" s="75" t="s">
        <v>160</v>
      </c>
      <c r="CC95" s="75" t="s">
        <v>160</v>
      </c>
      <c r="CD95" s="75" t="s">
        <v>160</v>
      </c>
      <c r="CE95" s="75" t="s">
        <v>160</v>
      </c>
      <c r="CF95" s="75" t="s">
        <v>160</v>
      </c>
      <c r="CG95" s="75" t="s">
        <v>160</v>
      </c>
      <c r="CH95" s="75" t="s">
        <v>160</v>
      </c>
      <c r="CI95" s="75" t="s">
        <v>160</v>
      </c>
      <c r="CJ95" s="75" t="s">
        <v>160</v>
      </c>
      <c r="CK95" s="75" t="s">
        <v>160</v>
      </c>
      <c r="CL95" s="75" t="s">
        <v>160</v>
      </c>
      <c r="CM95" s="75" t="s">
        <v>160</v>
      </c>
      <c r="CN95" s="75" t="s">
        <v>160</v>
      </c>
      <c r="CO95" s="75" t="s">
        <v>160</v>
      </c>
      <c r="CP95" s="75" t="s">
        <v>160</v>
      </c>
      <c r="CQ95" s="75" t="s">
        <v>160</v>
      </c>
      <c r="CR95" s="75" t="s">
        <v>160</v>
      </c>
      <c r="CS95" s="75" t="s">
        <v>160</v>
      </c>
      <c r="CT95" s="75" t="s">
        <v>160</v>
      </c>
      <c r="CU95" s="75" t="s">
        <v>160</v>
      </c>
      <c r="CV95" s="75" t="s">
        <v>160</v>
      </c>
      <c r="CW95" s="75" t="s">
        <v>160</v>
      </c>
      <c r="CX95" s="75" t="s">
        <v>160</v>
      </c>
      <c r="CY95" s="75" t="s">
        <v>160</v>
      </c>
      <c r="CZ95" s="75" t="s">
        <v>160</v>
      </c>
      <c r="DA95" s="75" t="s">
        <v>160</v>
      </c>
      <c r="DB95" s="75" t="s">
        <v>160</v>
      </c>
      <c r="DC95" s="75" t="s">
        <v>160</v>
      </c>
      <c r="DD95" s="75" t="s">
        <v>160</v>
      </c>
      <c r="DE95" s="75" t="s">
        <v>160</v>
      </c>
      <c r="DF95" s="75" t="s">
        <v>160</v>
      </c>
      <c r="DG95" s="75" t="s">
        <v>160</v>
      </c>
      <c r="DH95" s="75" t="s">
        <v>160</v>
      </c>
      <c r="DI95" s="75" t="s">
        <v>160</v>
      </c>
      <c r="DJ95" s="75" t="s">
        <v>160</v>
      </c>
      <c r="DK95" s="75" t="s">
        <v>160</v>
      </c>
      <c r="DL95" s="75" t="s">
        <v>160</v>
      </c>
      <c r="DM95" s="75" t="s">
        <v>160</v>
      </c>
      <c r="DN95" s="75" t="s">
        <v>160</v>
      </c>
      <c r="DO95" s="75" t="s">
        <v>160</v>
      </c>
      <c r="DP95" s="75" t="s">
        <v>160</v>
      </c>
      <c r="DQ95" s="75" t="s">
        <v>160</v>
      </c>
      <c r="DR95" s="75" t="s">
        <v>160</v>
      </c>
      <c r="DS95" s="75" t="s">
        <v>160</v>
      </c>
      <c r="DT95" s="75" t="s">
        <v>160</v>
      </c>
      <c r="DU95" s="75" t="s">
        <v>160</v>
      </c>
      <c r="DV95" s="75" t="s">
        <v>160</v>
      </c>
      <c r="DW95" s="75" t="s">
        <v>160</v>
      </c>
      <c r="DX95" s="75" t="s">
        <v>160</v>
      </c>
      <c r="DY95" s="75" t="s">
        <v>160</v>
      </c>
      <c r="DZ95" s="75" t="s">
        <v>160</v>
      </c>
      <c r="EA95" s="75" t="s">
        <v>160</v>
      </c>
      <c r="EB95" s="75" t="s">
        <v>160</v>
      </c>
      <c r="EC95" s="75" t="s">
        <v>160</v>
      </c>
      <c r="ED95" s="75" t="s">
        <v>160</v>
      </c>
      <c r="EE95" s="75" t="s">
        <v>160</v>
      </c>
      <c r="EF95" s="75" t="s">
        <v>160</v>
      </c>
      <c r="EG95" s="75" t="s">
        <v>160</v>
      </c>
      <c r="EH95" s="75" t="s">
        <v>160</v>
      </c>
      <c r="EI95" s="75" t="s">
        <v>160</v>
      </c>
      <c r="EJ95" s="75" t="s">
        <v>160</v>
      </c>
      <c r="EK95" s="75" t="s">
        <v>160</v>
      </c>
      <c r="EL95" s="75" t="s">
        <v>160</v>
      </c>
      <c r="EM95" s="75" t="s">
        <v>160</v>
      </c>
      <c r="EN95" s="75" t="s">
        <v>160</v>
      </c>
      <c r="EO95" s="75" t="s">
        <v>160</v>
      </c>
      <c r="EP95" s="75" t="s">
        <v>160</v>
      </c>
      <c r="EQ95" s="75" t="s">
        <v>160</v>
      </c>
      <c r="ER95" s="75" t="s">
        <v>160</v>
      </c>
      <c r="ES95" s="75" t="s">
        <v>160</v>
      </c>
      <c r="ET95" s="75" t="s">
        <v>160</v>
      </c>
      <c r="EU95" s="75" t="s">
        <v>160</v>
      </c>
      <c r="EV95" s="75" t="s">
        <v>160</v>
      </c>
      <c r="EW95" s="75" t="s">
        <v>160</v>
      </c>
      <c r="EX95" s="75" t="s">
        <v>160</v>
      </c>
      <c r="EY95" s="75" t="s">
        <v>160</v>
      </c>
      <c r="EZ95" s="75" t="s">
        <v>160</v>
      </c>
      <c r="FA95" s="75" t="s">
        <v>160</v>
      </c>
      <c r="FB95" s="75" t="s">
        <v>160</v>
      </c>
      <c r="FC95" s="75" t="s">
        <v>160</v>
      </c>
      <c r="FD95" s="75" t="s">
        <v>160</v>
      </c>
    </row>
    <row r="96" spans="1:160">
      <c r="A96" s="103" t="s">
        <v>497</v>
      </c>
      <c r="B96" s="20" t="s">
        <v>211</v>
      </c>
      <c r="G96" s="51" t="str">
        <f t="shared" si="10"/>
        <v>M12. Decision Engine AI/ML models - Preventive maintenance of PV panel &amp; inverter asset</v>
      </c>
      <c r="H96" s="51" t="s">
        <v>2</v>
      </c>
      <c r="I96" s="64">
        <f ca="1">IF(SUM(I97:INDIRECT("I"&amp;$O96))=0,"",MIN(I97:INDIRECT("I"&amp;$O96)))</f>
        <v>45383</v>
      </c>
      <c r="J96" s="64">
        <f ca="1">IF(SUM(J97:INDIRECT("J"&amp;$O96))=0,"",MAX(J97:INDIRECT("J"&amp;$O96)))</f>
        <v>45473</v>
      </c>
      <c r="K96" s="64" t="str">
        <f ca="1">IF(SUM(K97:INDIRECT("K"&amp;$O96))=0,"",MIN(K97:INDIRECT("K"&amp;$O96)))</f>
        <v/>
      </c>
      <c r="L96" s="64" t="str">
        <f ca="1">IF(SUM(L97:INDIRECT("L"&amp;$O96))=0,"",MAX(L97:INDIRECT("L"&amp;$O96)))</f>
        <v/>
      </c>
      <c r="M96" s="64" t="str">
        <f ca="1">IF(N96,TODAY(),IF(SUM(M97:INDIRECT("M"&amp;$O96))=0,"",MAX(M97:INDIRECT("M"&amp;$O96))))</f>
        <v/>
      </c>
      <c r="N96" s="64" t="b">
        <f ca="1">OR(N97:INDIRECT("N"&amp;O96))</f>
        <v>0</v>
      </c>
      <c r="O96" s="65">
        <f>ROW()+COUNTA(N97:N102)</f>
        <v>102</v>
      </c>
      <c r="P96" s="66">
        <f>AVERAGE(P97:P102)</f>
        <v>0</v>
      </c>
      <c r="R96" s="51" t="s">
        <v>2</v>
      </c>
      <c r="S96" s="68" t="s">
        <v>160</v>
      </c>
      <c r="T96" s="69" t="s">
        <v>160</v>
      </c>
      <c r="U96" s="69" t="s">
        <v>160</v>
      </c>
      <c r="V96" s="69" t="s">
        <v>160</v>
      </c>
      <c r="W96" s="69" t="s">
        <v>160</v>
      </c>
      <c r="X96" s="69" t="s">
        <v>160</v>
      </c>
      <c r="Y96" s="69" t="s">
        <v>160</v>
      </c>
      <c r="Z96" s="69" t="s">
        <v>160</v>
      </c>
      <c r="AA96" s="69" t="s">
        <v>160</v>
      </c>
      <c r="AB96" s="69" t="s">
        <v>160</v>
      </c>
      <c r="AC96" s="69" t="s">
        <v>160</v>
      </c>
      <c r="AD96" s="69" t="s">
        <v>160</v>
      </c>
      <c r="AE96" s="69" t="s">
        <v>160</v>
      </c>
      <c r="AF96" s="69" t="s">
        <v>160</v>
      </c>
      <c r="AG96" s="69" t="s">
        <v>160</v>
      </c>
      <c r="AH96" s="69" t="s">
        <v>160</v>
      </c>
      <c r="AI96" s="69" t="s">
        <v>160</v>
      </c>
      <c r="AJ96" s="69" t="s">
        <v>160</v>
      </c>
      <c r="AK96" s="69" t="s">
        <v>160</v>
      </c>
      <c r="AL96" s="69" t="s">
        <v>160</v>
      </c>
      <c r="AM96" s="69" t="s">
        <v>160</v>
      </c>
      <c r="AN96" s="69" t="s">
        <v>160</v>
      </c>
      <c r="AO96" s="69" t="s">
        <v>160</v>
      </c>
      <c r="AP96" s="69" t="s">
        <v>160</v>
      </c>
      <c r="AQ96" s="69" t="s">
        <v>160</v>
      </c>
      <c r="AR96" s="69" t="s">
        <v>160</v>
      </c>
      <c r="AS96" s="69" t="s">
        <v>160</v>
      </c>
      <c r="AT96" s="69" t="s">
        <v>160</v>
      </c>
      <c r="AU96" s="69" t="s">
        <v>160</v>
      </c>
      <c r="AV96" s="69" t="s">
        <v>160</v>
      </c>
      <c r="AW96" s="69" t="s">
        <v>160</v>
      </c>
      <c r="AX96" s="69" t="s">
        <v>160</v>
      </c>
      <c r="AY96" s="69" t="s">
        <v>160</v>
      </c>
      <c r="AZ96" s="69" t="s">
        <v>160</v>
      </c>
      <c r="BA96" s="69" t="s">
        <v>160</v>
      </c>
      <c r="BB96" s="69" t="s">
        <v>160</v>
      </c>
      <c r="BC96" s="69" t="s">
        <v>160</v>
      </c>
      <c r="BD96" s="69" t="s">
        <v>160</v>
      </c>
      <c r="BE96" s="69" t="s">
        <v>160</v>
      </c>
      <c r="BF96" s="69" t="s">
        <v>160</v>
      </c>
      <c r="BG96" s="69" t="s">
        <v>160</v>
      </c>
      <c r="BH96" s="69" t="s">
        <v>160</v>
      </c>
      <c r="BI96" s="69" t="s">
        <v>160</v>
      </c>
      <c r="BJ96" s="69" t="s">
        <v>160</v>
      </c>
      <c r="BK96" s="69" t="s">
        <v>160</v>
      </c>
      <c r="BL96" s="69" t="s">
        <v>160</v>
      </c>
      <c r="BM96" s="69" t="s">
        <v>160</v>
      </c>
      <c r="BN96" s="69" t="s">
        <v>160</v>
      </c>
      <c r="BO96" s="69" t="s">
        <v>160</v>
      </c>
      <c r="BP96" s="69" t="s">
        <v>160</v>
      </c>
      <c r="BQ96" s="69" t="s">
        <v>160</v>
      </c>
      <c r="BR96" s="69" t="s">
        <v>160</v>
      </c>
      <c r="BS96" s="69" t="s">
        <v>160</v>
      </c>
      <c r="BT96" s="69" t="s">
        <v>160</v>
      </c>
      <c r="BU96" s="69" t="s">
        <v>160</v>
      </c>
      <c r="BV96" s="69" t="s">
        <v>160</v>
      </c>
      <c r="BW96" s="69" t="s">
        <v>160</v>
      </c>
      <c r="BX96" s="69" t="s">
        <v>160</v>
      </c>
      <c r="BY96" s="69" t="s">
        <v>160</v>
      </c>
      <c r="BZ96" s="69" t="s">
        <v>160</v>
      </c>
      <c r="CA96" s="69" t="s">
        <v>160</v>
      </c>
      <c r="CB96" s="69" t="s">
        <v>160</v>
      </c>
      <c r="CC96" s="69" t="s">
        <v>160</v>
      </c>
      <c r="CD96" s="69" t="s">
        <v>160</v>
      </c>
      <c r="CE96" s="69" t="s">
        <v>160</v>
      </c>
      <c r="CF96" s="69" t="s">
        <v>160</v>
      </c>
      <c r="CG96" s="69" t="s">
        <v>160</v>
      </c>
      <c r="CH96" s="69" t="s">
        <v>160</v>
      </c>
      <c r="CI96" s="69" t="s">
        <v>160</v>
      </c>
      <c r="CJ96" s="69" t="s">
        <v>160</v>
      </c>
      <c r="CK96" s="69" t="s">
        <v>160</v>
      </c>
      <c r="CL96" s="69" t="s">
        <v>160</v>
      </c>
      <c r="CM96" s="69" t="s">
        <v>160</v>
      </c>
      <c r="CN96" s="69" t="s">
        <v>160</v>
      </c>
      <c r="CO96" s="69" t="s">
        <v>160</v>
      </c>
      <c r="CP96" s="69" t="s">
        <v>160</v>
      </c>
      <c r="CQ96" s="69" t="s">
        <v>160</v>
      </c>
      <c r="CR96" s="69" t="s">
        <v>160</v>
      </c>
      <c r="CS96" s="69" t="s">
        <v>160</v>
      </c>
      <c r="CT96" s="69" t="s">
        <v>160</v>
      </c>
      <c r="CU96" s="69" t="s">
        <v>160</v>
      </c>
      <c r="CV96" s="69" t="s">
        <v>160</v>
      </c>
      <c r="CW96" s="69" t="s">
        <v>160</v>
      </c>
      <c r="CX96" s="69" t="s">
        <v>160</v>
      </c>
      <c r="CY96" s="69" t="s">
        <v>160</v>
      </c>
      <c r="CZ96" s="69" t="s">
        <v>160</v>
      </c>
      <c r="DA96" s="69" t="s">
        <v>160</v>
      </c>
      <c r="DB96" s="69" t="s">
        <v>160</v>
      </c>
      <c r="DC96" s="69" t="s">
        <v>160</v>
      </c>
      <c r="DD96" s="69" t="s">
        <v>160</v>
      </c>
      <c r="DE96" s="69" t="s">
        <v>160</v>
      </c>
      <c r="DF96" s="69" t="s">
        <v>160</v>
      </c>
      <c r="DG96" s="69" t="s">
        <v>160</v>
      </c>
      <c r="DH96" s="69" t="s">
        <v>160</v>
      </c>
      <c r="DI96" s="69" t="s">
        <v>160</v>
      </c>
      <c r="DJ96" s="69" t="s">
        <v>160</v>
      </c>
      <c r="DK96" s="69" t="s">
        <v>160</v>
      </c>
      <c r="DL96" s="69" t="s">
        <v>160</v>
      </c>
      <c r="DM96" s="69" t="s">
        <v>160</v>
      </c>
      <c r="DN96" s="69" t="s">
        <v>160</v>
      </c>
      <c r="DO96" s="69" t="s">
        <v>160</v>
      </c>
      <c r="DP96" s="69" t="s">
        <v>160</v>
      </c>
      <c r="DQ96" s="69" t="s">
        <v>160</v>
      </c>
      <c r="DR96" s="69" t="s">
        <v>160</v>
      </c>
      <c r="DS96" s="69" t="s">
        <v>160</v>
      </c>
      <c r="DT96" s="69" t="s">
        <v>160</v>
      </c>
      <c r="DU96" s="69" t="s">
        <v>160</v>
      </c>
      <c r="DV96" s="69" t="s">
        <v>160</v>
      </c>
      <c r="DW96" s="69" t="s">
        <v>160</v>
      </c>
      <c r="DX96" s="69" t="s">
        <v>160</v>
      </c>
      <c r="DY96" s="69" t="s">
        <v>160</v>
      </c>
      <c r="DZ96" s="69" t="s">
        <v>160</v>
      </c>
      <c r="EA96" s="69" t="s">
        <v>160</v>
      </c>
      <c r="EB96" s="69" t="s">
        <v>160</v>
      </c>
      <c r="EC96" s="69" t="s">
        <v>160</v>
      </c>
      <c r="ED96" s="69" t="s">
        <v>160</v>
      </c>
      <c r="EE96" s="69" t="s">
        <v>160</v>
      </c>
      <c r="EF96" s="69" t="s">
        <v>160</v>
      </c>
      <c r="EG96" s="69" t="s">
        <v>160</v>
      </c>
      <c r="EH96" s="69" t="s">
        <v>160</v>
      </c>
      <c r="EI96" s="69" t="s">
        <v>160</v>
      </c>
      <c r="EJ96" s="69" t="s">
        <v>160</v>
      </c>
      <c r="EK96" s="69" t="s">
        <v>160</v>
      </c>
      <c r="EL96" s="69" t="s">
        <v>160</v>
      </c>
      <c r="EM96" s="69" t="s">
        <v>160</v>
      </c>
      <c r="EN96" s="69" t="s">
        <v>160</v>
      </c>
      <c r="EO96" s="69" t="s">
        <v>160</v>
      </c>
      <c r="EP96" s="69" t="s">
        <v>160</v>
      </c>
      <c r="EQ96" s="69" t="s">
        <v>160</v>
      </c>
      <c r="ER96" s="69" t="s">
        <v>160</v>
      </c>
      <c r="ES96" s="69" t="s">
        <v>160</v>
      </c>
      <c r="ET96" s="69" t="s">
        <v>160</v>
      </c>
      <c r="EU96" s="69" t="s">
        <v>160</v>
      </c>
      <c r="EV96" s="69" t="s">
        <v>160</v>
      </c>
      <c r="EW96" s="69" t="s">
        <v>160</v>
      </c>
      <c r="EX96" s="69" t="s">
        <v>160</v>
      </c>
      <c r="EY96" s="69" t="s">
        <v>160</v>
      </c>
      <c r="EZ96" s="69" t="s">
        <v>160</v>
      </c>
      <c r="FA96" s="69" t="s">
        <v>160</v>
      </c>
      <c r="FB96" s="69" t="s">
        <v>160</v>
      </c>
      <c r="FC96" s="69" t="s">
        <v>160</v>
      </c>
      <c r="FD96" s="69" t="s">
        <v>160</v>
      </c>
    </row>
    <row r="97" spans="1:160">
      <c r="A97" s="103" t="s">
        <v>498</v>
      </c>
      <c r="C97" s="50" t="s">
        <v>212</v>
      </c>
      <c r="G97" s="51" t="str">
        <f t="shared" si="10"/>
        <v>Note : Use datafusion platform to find faults in the assets</v>
      </c>
      <c r="H97" s="51" t="s">
        <v>2</v>
      </c>
      <c r="I97" s="64"/>
      <c r="J97" s="64"/>
      <c r="K97" s="64"/>
      <c r="L97" s="64"/>
      <c r="M97" s="64"/>
      <c r="N97" s="64" t="b">
        <f>ISNUMBER(SEARCH("*Waiting*",M97))</f>
        <v>0</v>
      </c>
      <c r="O97" s="64"/>
      <c r="R97" s="51" t="s">
        <v>2</v>
      </c>
      <c r="S97" s="68" t="s">
        <v>160</v>
      </c>
      <c r="T97" s="69" t="s">
        <v>160</v>
      </c>
      <c r="U97" s="69" t="s">
        <v>160</v>
      </c>
      <c r="V97" s="69" t="s">
        <v>160</v>
      </c>
      <c r="W97" s="69" t="s">
        <v>160</v>
      </c>
      <c r="X97" s="69" t="s">
        <v>160</v>
      </c>
      <c r="Y97" s="69" t="s">
        <v>160</v>
      </c>
      <c r="Z97" s="69" t="s">
        <v>160</v>
      </c>
      <c r="AA97" s="69" t="s">
        <v>160</v>
      </c>
      <c r="AB97" s="69" t="s">
        <v>160</v>
      </c>
      <c r="AC97" s="69" t="s">
        <v>160</v>
      </c>
      <c r="AD97" s="69" t="s">
        <v>160</v>
      </c>
      <c r="AE97" s="69" t="s">
        <v>160</v>
      </c>
      <c r="AF97" s="69" t="s">
        <v>160</v>
      </c>
      <c r="AG97" s="69" t="s">
        <v>160</v>
      </c>
      <c r="AH97" s="69" t="s">
        <v>160</v>
      </c>
      <c r="AI97" s="69" t="s">
        <v>160</v>
      </c>
      <c r="AJ97" s="69" t="s">
        <v>160</v>
      </c>
      <c r="AK97" s="69" t="s">
        <v>160</v>
      </c>
      <c r="AL97" s="69" t="s">
        <v>160</v>
      </c>
      <c r="AM97" s="69" t="s">
        <v>160</v>
      </c>
      <c r="AN97" s="69" t="s">
        <v>160</v>
      </c>
      <c r="AO97" s="69" t="s">
        <v>160</v>
      </c>
      <c r="AP97" s="69" t="s">
        <v>160</v>
      </c>
      <c r="AQ97" s="69" t="s">
        <v>160</v>
      </c>
      <c r="AR97" s="69" t="s">
        <v>160</v>
      </c>
      <c r="AS97" s="69" t="s">
        <v>160</v>
      </c>
      <c r="AT97" s="69" t="s">
        <v>160</v>
      </c>
      <c r="AU97" s="69" t="s">
        <v>160</v>
      </c>
      <c r="AV97" s="69" t="s">
        <v>160</v>
      </c>
      <c r="AW97" s="69" t="s">
        <v>160</v>
      </c>
      <c r="AX97" s="69" t="s">
        <v>160</v>
      </c>
      <c r="AY97" s="69" t="s">
        <v>160</v>
      </c>
      <c r="AZ97" s="69" t="s">
        <v>160</v>
      </c>
      <c r="BA97" s="69" t="s">
        <v>160</v>
      </c>
      <c r="BB97" s="69" t="s">
        <v>160</v>
      </c>
      <c r="BC97" s="69" t="s">
        <v>160</v>
      </c>
      <c r="BD97" s="69" t="s">
        <v>160</v>
      </c>
      <c r="BE97" s="69" t="s">
        <v>160</v>
      </c>
      <c r="BF97" s="69" t="s">
        <v>160</v>
      </c>
      <c r="BG97" s="69" t="s">
        <v>160</v>
      </c>
      <c r="BH97" s="69" t="s">
        <v>160</v>
      </c>
      <c r="BI97" s="69" t="s">
        <v>160</v>
      </c>
      <c r="BJ97" s="69" t="s">
        <v>160</v>
      </c>
      <c r="BK97" s="69" t="s">
        <v>160</v>
      </c>
      <c r="BL97" s="69" t="s">
        <v>160</v>
      </c>
      <c r="BM97" s="69" t="s">
        <v>160</v>
      </c>
      <c r="BN97" s="69" t="s">
        <v>160</v>
      </c>
      <c r="BO97" s="69" t="s">
        <v>160</v>
      </c>
      <c r="BP97" s="69" t="s">
        <v>160</v>
      </c>
      <c r="BQ97" s="69" t="s">
        <v>160</v>
      </c>
      <c r="BR97" s="69" t="s">
        <v>160</v>
      </c>
      <c r="BS97" s="69" t="s">
        <v>160</v>
      </c>
      <c r="BT97" s="69" t="s">
        <v>160</v>
      </c>
      <c r="BU97" s="69" t="s">
        <v>160</v>
      </c>
      <c r="BV97" s="69" t="s">
        <v>160</v>
      </c>
      <c r="BW97" s="69" t="s">
        <v>160</v>
      </c>
      <c r="BX97" s="69" t="s">
        <v>160</v>
      </c>
      <c r="BY97" s="69" t="s">
        <v>160</v>
      </c>
      <c r="BZ97" s="69" t="s">
        <v>160</v>
      </c>
      <c r="CA97" s="69" t="s">
        <v>160</v>
      </c>
      <c r="CB97" s="69" t="s">
        <v>160</v>
      </c>
      <c r="CC97" s="69" t="s">
        <v>160</v>
      </c>
      <c r="CD97" s="69" t="s">
        <v>160</v>
      </c>
      <c r="CE97" s="69" t="s">
        <v>160</v>
      </c>
      <c r="CF97" s="69" t="s">
        <v>160</v>
      </c>
      <c r="CG97" s="69" t="s">
        <v>160</v>
      </c>
      <c r="CH97" s="69" t="s">
        <v>160</v>
      </c>
      <c r="CI97" s="69" t="s">
        <v>160</v>
      </c>
      <c r="CJ97" s="69" t="s">
        <v>160</v>
      </c>
      <c r="CK97" s="69" t="s">
        <v>160</v>
      </c>
      <c r="CL97" s="69" t="s">
        <v>160</v>
      </c>
      <c r="CM97" s="69" t="s">
        <v>160</v>
      </c>
      <c r="CN97" s="69" t="s">
        <v>160</v>
      </c>
      <c r="CO97" s="69" t="s">
        <v>160</v>
      </c>
      <c r="CP97" s="69" t="s">
        <v>160</v>
      </c>
      <c r="CQ97" s="69" t="s">
        <v>160</v>
      </c>
      <c r="CR97" s="69" t="s">
        <v>160</v>
      </c>
      <c r="CS97" s="69" t="s">
        <v>160</v>
      </c>
      <c r="CT97" s="69" t="s">
        <v>160</v>
      </c>
      <c r="CU97" s="69" t="s">
        <v>160</v>
      </c>
      <c r="CV97" s="69" t="s">
        <v>160</v>
      </c>
      <c r="CW97" s="69" t="s">
        <v>160</v>
      </c>
      <c r="CX97" s="69" t="s">
        <v>160</v>
      </c>
      <c r="CY97" s="69" t="s">
        <v>160</v>
      </c>
      <c r="CZ97" s="69" t="s">
        <v>160</v>
      </c>
      <c r="DA97" s="69" t="s">
        <v>160</v>
      </c>
      <c r="DB97" s="69" t="s">
        <v>160</v>
      </c>
      <c r="DC97" s="69" t="s">
        <v>160</v>
      </c>
      <c r="DD97" s="69" t="s">
        <v>160</v>
      </c>
      <c r="DE97" s="69" t="s">
        <v>160</v>
      </c>
      <c r="DF97" s="69" t="s">
        <v>160</v>
      </c>
      <c r="DG97" s="69" t="s">
        <v>160</v>
      </c>
      <c r="DH97" s="69" t="s">
        <v>160</v>
      </c>
      <c r="DI97" s="69" t="s">
        <v>160</v>
      </c>
      <c r="DJ97" s="69" t="s">
        <v>160</v>
      </c>
      <c r="DK97" s="69" t="s">
        <v>160</v>
      </c>
      <c r="DL97" s="69" t="s">
        <v>160</v>
      </c>
      <c r="DM97" s="69" t="s">
        <v>160</v>
      </c>
      <c r="DN97" s="69" t="s">
        <v>160</v>
      </c>
      <c r="DO97" s="69" t="s">
        <v>160</v>
      </c>
      <c r="DP97" s="69" t="s">
        <v>160</v>
      </c>
      <c r="DQ97" s="69" t="s">
        <v>160</v>
      </c>
      <c r="DR97" s="69" t="s">
        <v>160</v>
      </c>
      <c r="DS97" s="69" t="s">
        <v>160</v>
      </c>
      <c r="DT97" s="69" t="s">
        <v>160</v>
      </c>
      <c r="DU97" s="69" t="s">
        <v>160</v>
      </c>
      <c r="DV97" s="69" t="s">
        <v>160</v>
      </c>
      <c r="DW97" s="69" t="s">
        <v>160</v>
      </c>
      <c r="DX97" s="69" t="s">
        <v>160</v>
      </c>
      <c r="DY97" s="69" t="s">
        <v>160</v>
      </c>
      <c r="DZ97" s="69" t="s">
        <v>160</v>
      </c>
      <c r="EA97" s="69" t="s">
        <v>160</v>
      </c>
      <c r="EB97" s="69" t="s">
        <v>160</v>
      </c>
      <c r="EC97" s="69" t="s">
        <v>160</v>
      </c>
      <c r="ED97" s="69" t="s">
        <v>160</v>
      </c>
      <c r="EE97" s="69" t="s">
        <v>160</v>
      </c>
      <c r="EF97" s="69" t="s">
        <v>160</v>
      </c>
      <c r="EG97" s="69" t="s">
        <v>160</v>
      </c>
      <c r="EH97" s="69" t="s">
        <v>160</v>
      </c>
      <c r="EI97" s="69" t="s">
        <v>160</v>
      </c>
      <c r="EJ97" s="69" t="s">
        <v>160</v>
      </c>
      <c r="EK97" s="69" t="s">
        <v>160</v>
      </c>
      <c r="EL97" s="69" t="s">
        <v>160</v>
      </c>
      <c r="EM97" s="69" t="s">
        <v>160</v>
      </c>
      <c r="EN97" s="69" t="s">
        <v>160</v>
      </c>
      <c r="EO97" s="69" t="s">
        <v>160</v>
      </c>
      <c r="EP97" s="69" t="s">
        <v>160</v>
      </c>
      <c r="EQ97" s="69" t="s">
        <v>160</v>
      </c>
      <c r="ER97" s="69" t="s">
        <v>160</v>
      </c>
      <c r="ES97" s="69" t="s">
        <v>160</v>
      </c>
      <c r="ET97" s="69" t="s">
        <v>160</v>
      </c>
      <c r="EU97" s="69" t="s">
        <v>160</v>
      </c>
      <c r="EV97" s="69" t="s">
        <v>160</v>
      </c>
      <c r="EW97" s="69" t="s">
        <v>160</v>
      </c>
      <c r="EX97" s="69" t="s">
        <v>160</v>
      </c>
      <c r="EY97" s="69" t="s">
        <v>160</v>
      </c>
      <c r="EZ97" s="69" t="s">
        <v>160</v>
      </c>
      <c r="FA97" s="69" t="s">
        <v>160</v>
      </c>
      <c r="FB97" s="69" t="s">
        <v>160</v>
      </c>
      <c r="FC97" s="69" t="s">
        <v>160</v>
      </c>
      <c r="FD97" s="69" t="s">
        <v>160</v>
      </c>
    </row>
    <row r="98" spans="1:160">
      <c r="A98" s="103" t="s">
        <v>499</v>
      </c>
      <c r="B98" s="20" t="s">
        <v>163</v>
      </c>
      <c r="C98" s="91" t="s">
        <v>171</v>
      </c>
      <c r="G98" s="51" t="str">
        <f t="shared" si="10"/>
        <v>Technical design document explaining the data schema and algorithm</v>
      </c>
      <c r="H98" s="51" t="s">
        <v>2</v>
      </c>
      <c r="I98" s="64">
        <v>45383</v>
      </c>
      <c r="J98" s="64">
        <v>45473</v>
      </c>
      <c r="K98" s="64"/>
      <c r="L98" s="64"/>
      <c r="M98" s="64"/>
      <c r="N98" s="64" t="b">
        <f t="shared" ref="N98:N102" si="14">ISNUMBER(SEARCH("*Waiting*",M98))</f>
        <v>0</v>
      </c>
      <c r="O98" s="64"/>
      <c r="P98" s="24">
        <v>0</v>
      </c>
      <c r="R98" s="51" t="s">
        <v>2</v>
      </c>
      <c r="S98" s="68" t="s">
        <v>160</v>
      </c>
      <c r="T98" s="69" t="s">
        <v>160</v>
      </c>
      <c r="U98" s="69" t="s">
        <v>160</v>
      </c>
      <c r="V98" s="69" t="s">
        <v>160</v>
      </c>
      <c r="W98" s="69" t="s">
        <v>160</v>
      </c>
      <c r="X98" s="69" t="s">
        <v>160</v>
      </c>
      <c r="Y98" s="69" t="s">
        <v>160</v>
      </c>
      <c r="Z98" s="69" t="s">
        <v>160</v>
      </c>
      <c r="AA98" s="69" t="s">
        <v>160</v>
      </c>
      <c r="AB98" s="69" t="s">
        <v>160</v>
      </c>
      <c r="AC98" s="69" t="s">
        <v>160</v>
      </c>
      <c r="AD98" s="69" t="s">
        <v>160</v>
      </c>
      <c r="AE98" s="69" t="s">
        <v>160</v>
      </c>
      <c r="AF98" s="69" t="s">
        <v>160</v>
      </c>
      <c r="AG98" s="69" t="s">
        <v>160</v>
      </c>
      <c r="AH98" s="69" t="s">
        <v>160</v>
      </c>
      <c r="AI98" s="69" t="s">
        <v>160</v>
      </c>
      <c r="AJ98" s="69" t="s">
        <v>160</v>
      </c>
      <c r="AK98" s="69" t="s">
        <v>160</v>
      </c>
      <c r="AL98" s="69" t="s">
        <v>160</v>
      </c>
      <c r="AM98" s="69" t="s">
        <v>160</v>
      </c>
      <c r="AN98" s="69" t="s">
        <v>160</v>
      </c>
      <c r="AO98" s="69" t="s">
        <v>160</v>
      </c>
      <c r="AP98" s="69" t="s">
        <v>160</v>
      </c>
      <c r="AQ98" s="69" t="s">
        <v>160</v>
      </c>
      <c r="AR98" s="69" t="s">
        <v>160</v>
      </c>
      <c r="AS98" s="69" t="s">
        <v>160</v>
      </c>
      <c r="AT98" s="69" t="s">
        <v>160</v>
      </c>
      <c r="AU98" s="69" t="s">
        <v>160</v>
      </c>
      <c r="AV98" s="69" t="s">
        <v>160</v>
      </c>
      <c r="AW98" s="69" t="s">
        <v>160</v>
      </c>
      <c r="AX98" s="69" t="s">
        <v>160</v>
      </c>
      <c r="AY98" s="69" t="s">
        <v>160</v>
      </c>
      <c r="AZ98" s="69" t="s">
        <v>160</v>
      </c>
      <c r="BA98" s="69" t="s">
        <v>160</v>
      </c>
      <c r="BB98" s="69" t="s">
        <v>160</v>
      </c>
      <c r="BC98" s="69" t="s">
        <v>160</v>
      </c>
      <c r="BD98" s="69" t="s">
        <v>160</v>
      </c>
      <c r="BE98" s="69" t="s">
        <v>160</v>
      </c>
      <c r="BF98" s="69" t="s">
        <v>160</v>
      </c>
      <c r="BG98" s="69" t="s">
        <v>160</v>
      </c>
      <c r="BH98" s="69" t="s">
        <v>160</v>
      </c>
      <c r="BI98" s="69" t="s">
        <v>160</v>
      </c>
      <c r="BJ98" s="69" t="s">
        <v>160</v>
      </c>
      <c r="BK98" s="69" t="s">
        <v>160</v>
      </c>
      <c r="BL98" s="69" t="s">
        <v>160</v>
      </c>
      <c r="BM98" s="69" t="s">
        <v>160</v>
      </c>
      <c r="BN98" s="69" t="s">
        <v>160</v>
      </c>
      <c r="BO98" s="69" t="s">
        <v>160</v>
      </c>
      <c r="BP98" s="69" t="s">
        <v>160</v>
      </c>
      <c r="BQ98" s="69" t="s">
        <v>160</v>
      </c>
      <c r="BR98" s="69" t="s">
        <v>160</v>
      </c>
      <c r="BS98" s="69" t="s">
        <v>160</v>
      </c>
      <c r="BT98" s="69" t="s">
        <v>160</v>
      </c>
      <c r="BU98" s="69" t="s">
        <v>160</v>
      </c>
      <c r="BV98" s="69" t="s">
        <v>160</v>
      </c>
      <c r="BW98" s="69" t="s">
        <v>160</v>
      </c>
      <c r="BX98" s="69" t="s">
        <v>160</v>
      </c>
      <c r="BY98" s="69" t="s">
        <v>160</v>
      </c>
      <c r="BZ98" s="69" t="s">
        <v>160</v>
      </c>
      <c r="CA98" s="69" t="s">
        <v>160</v>
      </c>
      <c r="CB98" s="69" t="s">
        <v>160</v>
      </c>
      <c r="CC98" s="69" t="s">
        <v>160</v>
      </c>
      <c r="CD98" s="69" t="s">
        <v>160</v>
      </c>
      <c r="CE98" s="69" t="s">
        <v>160</v>
      </c>
      <c r="CF98" s="69" t="s">
        <v>160</v>
      </c>
      <c r="CG98" s="69" t="s">
        <v>160</v>
      </c>
      <c r="CH98" s="69" t="s">
        <v>160</v>
      </c>
      <c r="CI98" s="69" t="s">
        <v>160</v>
      </c>
      <c r="CJ98" s="69" t="s">
        <v>160</v>
      </c>
      <c r="CK98" s="69" t="s">
        <v>160</v>
      </c>
      <c r="CL98" s="69" t="s">
        <v>160</v>
      </c>
      <c r="CM98" s="69" t="s">
        <v>160</v>
      </c>
      <c r="CN98" s="69" t="s">
        <v>160</v>
      </c>
      <c r="CO98" s="69" t="s">
        <v>160</v>
      </c>
      <c r="CP98" s="69" t="s">
        <v>160</v>
      </c>
      <c r="CQ98" s="69" t="s">
        <v>160</v>
      </c>
      <c r="CR98" s="69" t="s">
        <v>160</v>
      </c>
      <c r="CS98" s="69" t="s">
        <v>160</v>
      </c>
      <c r="CT98" s="69" t="s">
        <v>160</v>
      </c>
      <c r="CU98" s="69" t="s">
        <v>160</v>
      </c>
      <c r="CV98" s="69" t="s">
        <v>160</v>
      </c>
      <c r="CW98" s="69" t="s">
        <v>160</v>
      </c>
      <c r="CX98" s="69" t="s">
        <v>160</v>
      </c>
      <c r="CY98" s="69" t="s">
        <v>160</v>
      </c>
      <c r="CZ98" s="69" t="s">
        <v>160</v>
      </c>
      <c r="DA98" s="69" t="s">
        <v>160</v>
      </c>
      <c r="DB98" s="69" t="s">
        <v>160</v>
      </c>
      <c r="DC98" s="69" t="s">
        <v>160</v>
      </c>
      <c r="DD98" s="69" t="s">
        <v>160</v>
      </c>
      <c r="DE98" s="69" t="s">
        <v>160</v>
      </c>
      <c r="DF98" s="69" t="s">
        <v>160</v>
      </c>
      <c r="DG98" s="69" t="s">
        <v>160</v>
      </c>
      <c r="DH98" s="69" t="s">
        <v>160</v>
      </c>
      <c r="DI98" s="69" t="s">
        <v>160</v>
      </c>
      <c r="DJ98" s="69" t="s">
        <v>160</v>
      </c>
      <c r="DK98" s="69" t="s">
        <v>160</v>
      </c>
      <c r="DL98" s="69" t="s">
        <v>160</v>
      </c>
      <c r="DM98" s="69" t="s">
        <v>160</v>
      </c>
      <c r="DN98" s="69" t="s">
        <v>160</v>
      </c>
      <c r="DO98" s="69" t="s">
        <v>160</v>
      </c>
      <c r="DP98" s="69" t="s">
        <v>160</v>
      </c>
      <c r="DQ98" s="69" t="s">
        <v>160</v>
      </c>
      <c r="DR98" s="69" t="s">
        <v>160</v>
      </c>
      <c r="DS98" s="69" t="s">
        <v>160</v>
      </c>
      <c r="DT98" s="69" t="s">
        <v>160</v>
      </c>
      <c r="DU98" s="69" t="s">
        <v>160</v>
      </c>
      <c r="DV98" s="69" t="s">
        <v>160</v>
      </c>
      <c r="DW98" s="69" t="s">
        <v>160</v>
      </c>
      <c r="DX98" s="69" t="s">
        <v>160</v>
      </c>
      <c r="DY98" s="69" t="s">
        <v>160</v>
      </c>
      <c r="DZ98" s="69" t="s">
        <v>160</v>
      </c>
      <c r="EA98" s="69" t="s">
        <v>160</v>
      </c>
      <c r="EB98" s="69" t="s">
        <v>160</v>
      </c>
      <c r="EC98" s="69" t="s">
        <v>160</v>
      </c>
      <c r="ED98" s="69" t="s">
        <v>160</v>
      </c>
      <c r="EE98" s="69" t="s">
        <v>160</v>
      </c>
      <c r="EF98" s="69" t="s">
        <v>160</v>
      </c>
      <c r="EG98" s="69" t="s">
        <v>160</v>
      </c>
      <c r="EH98" s="69" t="s">
        <v>160</v>
      </c>
      <c r="EI98" s="69" t="s">
        <v>160</v>
      </c>
      <c r="EJ98" s="69" t="s">
        <v>160</v>
      </c>
      <c r="EK98" s="69" t="s">
        <v>160</v>
      </c>
      <c r="EL98" s="69" t="s">
        <v>160</v>
      </c>
      <c r="EM98" s="69" t="s">
        <v>160</v>
      </c>
      <c r="EN98" s="69" t="s">
        <v>160</v>
      </c>
      <c r="EO98" s="69" t="s">
        <v>160</v>
      </c>
      <c r="EP98" s="69" t="s">
        <v>160</v>
      </c>
      <c r="EQ98" s="69" t="s">
        <v>160</v>
      </c>
      <c r="ER98" s="69" t="s">
        <v>160</v>
      </c>
      <c r="ES98" s="69" t="s">
        <v>160</v>
      </c>
      <c r="ET98" s="69" t="s">
        <v>160</v>
      </c>
      <c r="EU98" s="69" t="s">
        <v>160</v>
      </c>
      <c r="EV98" s="69" t="s">
        <v>160</v>
      </c>
      <c r="EW98" s="69" t="s">
        <v>160</v>
      </c>
      <c r="EX98" s="69" t="s">
        <v>160</v>
      </c>
      <c r="EY98" s="69" t="s">
        <v>160</v>
      </c>
      <c r="EZ98" s="69" t="s">
        <v>160</v>
      </c>
      <c r="FA98" s="69" t="s">
        <v>160</v>
      </c>
      <c r="FB98" s="69" t="s">
        <v>160</v>
      </c>
      <c r="FC98" s="69" t="s">
        <v>160</v>
      </c>
      <c r="FD98" s="69" t="s">
        <v>160</v>
      </c>
    </row>
    <row r="99" spans="1:160">
      <c r="A99" s="103" t="s">
        <v>500</v>
      </c>
      <c r="B99" s="20" t="s">
        <v>163</v>
      </c>
      <c r="C99" s="91" t="s">
        <v>172</v>
      </c>
      <c r="G99" s="51" t="str">
        <f t="shared" si="10"/>
        <v>Software Code</v>
      </c>
      <c r="H99" s="51" t="s">
        <v>2</v>
      </c>
      <c r="I99" s="64">
        <v>45383</v>
      </c>
      <c r="J99" s="64">
        <v>45473</v>
      </c>
      <c r="K99" s="64"/>
      <c r="L99" s="64"/>
      <c r="M99" s="64"/>
      <c r="N99" s="64" t="b">
        <f t="shared" si="14"/>
        <v>0</v>
      </c>
      <c r="O99" s="64"/>
      <c r="P99" s="24">
        <v>0</v>
      </c>
      <c r="R99" s="51" t="s">
        <v>2</v>
      </c>
      <c r="S99" s="68" t="s">
        <v>160</v>
      </c>
      <c r="T99" s="69" t="s">
        <v>160</v>
      </c>
      <c r="U99" s="69" t="s">
        <v>160</v>
      </c>
      <c r="V99" s="69" t="s">
        <v>160</v>
      </c>
      <c r="W99" s="69" t="s">
        <v>160</v>
      </c>
      <c r="X99" s="69" t="s">
        <v>160</v>
      </c>
      <c r="Y99" s="69" t="s">
        <v>160</v>
      </c>
      <c r="Z99" s="69" t="s">
        <v>160</v>
      </c>
      <c r="AA99" s="69" t="s">
        <v>160</v>
      </c>
      <c r="AB99" s="69" t="s">
        <v>160</v>
      </c>
      <c r="AC99" s="69" t="s">
        <v>160</v>
      </c>
      <c r="AD99" s="69" t="s">
        <v>160</v>
      </c>
      <c r="AE99" s="69" t="s">
        <v>160</v>
      </c>
      <c r="AF99" s="69" t="s">
        <v>160</v>
      </c>
      <c r="AG99" s="69" t="s">
        <v>160</v>
      </c>
      <c r="AH99" s="69" t="s">
        <v>160</v>
      </c>
      <c r="AI99" s="69" t="s">
        <v>160</v>
      </c>
      <c r="AJ99" s="69" t="s">
        <v>160</v>
      </c>
      <c r="AK99" s="69" t="s">
        <v>160</v>
      </c>
      <c r="AL99" s="69" t="s">
        <v>160</v>
      </c>
      <c r="AM99" s="69" t="s">
        <v>160</v>
      </c>
      <c r="AN99" s="69" t="s">
        <v>160</v>
      </c>
      <c r="AO99" s="69" t="s">
        <v>160</v>
      </c>
      <c r="AP99" s="69" t="s">
        <v>160</v>
      </c>
      <c r="AQ99" s="69" t="s">
        <v>160</v>
      </c>
      <c r="AR99" s="69" t="s">
        <v>160</v>
      </c>
      <c r="AS99" s="69" t="s">
        <v>160</v>
      </c>
      <c r="AT99" s="69" t="s">
        <v>160</v>
      </c>
      <c r="AU99" s="69" t="s">
        <v>160</v>
      </c>
      <c r="AV99" s="69" t="s">
        <v>160</v>
      </c>
      <c r="AW99" s="69" t="s">
        <v>160</v>
      </c>
      <c r="AX99" s="69" t="s">
        <v>160</v>
      </c>
      <c r="AY99" s="69" t="s">
        <v>160</v>
      </c>
      <c r="AZ99" s="69" t="s">
        <v>160</v>
      </c>
      <c r="BA99" s="69" t="s">
        <v>160</v>
      </c>
      <c r="BB99" s="69" t="s">
        <v>160</v>
      </c>
      <c r="BC99" s="69" t="s">
        <v>160</v>
      </c>
      <c r="BD99" s="69" t="s">
        <v>160</v>
      </c>
      <c r="BE99" s="69" t="s">
        <v>160</v>
      </c>
      <c r="BF99" s="69" t="s">
        <v>160</v>
      </c>
      <c r="BG99" s="69" t="s">
        <v>160</v>
      </c>
      <c r="BH99" s="69" t="s">
        <v>160</v>
      </c>
      <c r="BI99" s="69" t="s">
        <v>160</v>
      </c>
      <c r="BJ99" s="69" t="s">
        <v>160</v>
      </c>
      <c r="BK99" s="69" t="s">
        <v>160</v>
      </c>
      <c r="BL99" s="69" t="s">
        <v>160</v>
      </c>
      <c r="BM99" s="69" t="s">
        <v>160</v>
      </c>
      <c r="BN99" s="69" t="s">
        <v>160</v>
      </c>
      <c r="BO99" s="69" t="s">
        <v>160</v>
      </c>
      <c r="BP99" s="69" t="s">
        <v>160</v>
      </c>
      <c r="BQ99" s="69" t="s">
        <v>160</v>
      </c>
      <c r="BR99" s="69" t="s">
        <v>160</v>
      </c>
      <c r="BS99" s="69" t="s">
        <v>160</v>
      </c>
      <c r="BT99" s="69" t="s">
        <v>160</v>
      </c>
      <c r="BU99" s="69" t="s">
        <v>160</v>
      </c>
      <c r="BV99" s="69" t="s">
        <v>160</v>
      </c>
      <c r="BW99" s="69" t="s">
        <v>160</v>
      </c>
      <c r="BX99" s="69" t="s">
        <v>160</v>
      </c>
      <c r="BY99" s="69" t="s">
        <v>160</v>
      </c>
      <c r="BZ99" s="69" t="s">
        <v>160</v>
      </c>
      <c r="CA99" s="69" t="s">
        <v>160</v>
      </c>
      <c r="CB99" s="69" t="s">
        <v>160</v>
      </c>
      <c r="CC99" s="69" t="s">
        <v>160</v>
      </c>
      <c r="CD99" s="69" t="s">
        <v>160</v>
      </c>
      <c r="CE99" s="69" t="s">
        <v>160</v>
      </c>
      <c r="CF99" s="69" t="s">
        <v>160</v>
      </c>
      <c r="CG99" s="69" t="s">
        <v>160</v>
      </c>
      <c r="CH99" s="69" t="s">
        <v>160</v>
      </c>
      <c r="CI99" s="69" t="s">
        <v>160</v>
      </c>
      <c r="CJ99" s="69" t="s">
        <v>160</v>
      </c>
      <c r="CK99" s="69" t="s">
        <v>160</v>
      </c>
      <c r="CL99" s="69" t="s">
        <v>160</v>
      </c>
      <c r="CM99" s="69" t="s">
        <v>160</v>
      </c>
      <c r="CN99" s="69" t="s">
        <v>160</v>
      </c>
      <c r="CO99" s="69" t="s">
        <v>160</v>
      </c>
      <c r="CP99" s="69" t="s">
        <v>160</v>
      </c>
      <c r="CQ99" s="69" t="s">
        <v>160</v>
      </c>
      <c r="CR99" s="69" t="s">
        <v>160</v>
      </c>
      <c r="CS99" s="69" t="s">
        <v>160</v>
      </c>
      <c r="CT99" s="69" t="s">
        <v>160</v>
      </c>
      <c r="CU99" s="69" t="s">
        <v>160</v>
      </c>
      <c r="CV99" s="69" t="s">
        <v>160</v>
      </c>
      <c r="CW99" s="69" t="s">
        <v>160</v>
      </c>
      <c r="CX99" s="69" t="s">
        <v>160</v>
      </c>
      <c r="CY99" s="69" t="s">
        <v>160</v>
      </c>
      <c r="CZ99" s="69" t="s">
        <v>160</v>
      </c>
      <c r="DA99" s="69" t="s">
        <v>160</v>
      </c>
      <c r="DB99" s="69" t="s">
        <v>160</v>
      </c>
      <c r="DC99" s="69" t="s">
        <v>160</v>
      </c>
      <c r="DD99" s="69" t="s">
        <v>160</v>
      </c>
      <c r="DE99" s="69" t="s">
        <v>160</v>
      </c>
      <c r="DF99" s="69" t="s">
        <v>160</v>
      </c>
      <c r="DG99" s="69" t="s">
        <v>160</v>
      </c>
      <c r="DH99" s="69" t="s">
        <v>160</v>
      </c>
      <c r="DI99" s="69" t="s">
        <v>160</v>
      </c>
      <c r="DJ99" s="69" t="s">
        <v>160</v>
      </c>
      <c r="DK99" s="69" t="s">
        <v>160</v>
      </c>
      <c r="DL99" s="69" t="s">
        <v>160</v>
      </c>
      <c r="DM99" s="69" t="s">
        <v>160</v>
      </c>
      <c r="DN99" s="69" t="s">
        <v>160</v>
      </c>
      <c r="DO99" s="69" t="s">
        <v>160</v>
      </c>
      <c r="DP99" s="69" t="s">
        <v>160</v>
      </c>
      <c r="DQ99" s="69" t="s">
        <v>160</v>
      </c>
      <c r="DR99" s="69" t="s">
        <v>160</v>
      </c>
      <c r="DS99" s="69" t="s">
        <v>160</v>
      </c>
      <c r="DT99" s="69" t="s">
        <v>160</v>
      </c>
      <c r="DU99" s="69" t="s">
        <v>160</v>
      </c>
      <c r="DV99" s="69" t="s">
        <v>160</v>
      </c>
      <c r="DW99" s="69" t="s">
        <v>160</v>
      </c>
      <c r="DX99" s="69" t="s">
        <v>160</v>
      </c>
      <c r="DY99" s="69" t="s">
        <v>160</v>
      </c>
      <c r="DZ99" s="69" t="s">
        <v>160</v>
      </c>
      <c r="EA99" s="69" t="s">
        <v>160</v>
      </c>
      <c r="EB99" s="69" t="s">
        <v>160</v>
      </c>
      <c r="EC99" s="69" t="s">
        <v>160</v>
      </c>
      <c r="ED99" s="69" t="s">
        <v>160</v>
      </c>
      <c r="EE99" s="69" t="s">
        <v>160</v>
      </c>
      <c r="EF99" s="69" t="s">
        <v>160</v>
      </c>
      <c r="EG99" s="69" t="s">
        <v>160</v>
      </c>
      <c r="EH99" s="69" t="s">
        <v>160</v>
      </c>
      <c r="EI99" s="69" t="s">
        <v>160</v>
      </c>
      <c r="EJ99" s="69" t="s">
        <v>160</v>
      </c>
      <c r="EK99" s="69" t="s">
        <v>160</v>
      </c>
      <c r="EL99" s="69" t="s">
        <v>160</v>
      </c>
      <c r="EM99" s="69" t="s">
        <v>160</v>
      </c>
      <c r="EN99" s="69" t="s">
        <v>160</v>
      </c>
      <c r="EO99" s="69" t="s">
        <v>160</v>
      </c>
      <c r="EP99" s="69" t="s">
        <v>160</v>
      </c>
      <c r="EQ99" s="69" t="s">
        <v>160</v>
      </c>
      <c r="ER99" s="69" t="s">
        <v>160</v>
      </c>
      <c r="ES99" s="69" t="s">
        <v>160</v>
      </c>
      <c r="ET99" s="69" t="s">
        <v>160</v>
      </c>
      <c r="EU99" s="69" t="s">
        <v>160</v>
      </c>
      <c r="EV99" s="69" t="s">
        <v>160</v>
      </c>
      <c r="EW99" s="69" t="s">
        <v>160</v>
      </c>
      <c r="EX99" s="69" t="s">
        <v>160</v>
      </c>
      <c r="EY99" s="69" t="s">
        <v>160</v>
      </c>
      <c r="EZ99" s="69" t="s">
        <v>160</v>
      </c>
      <c r="FA99" s="69" t="s">
        <v>160</v>
      </c>
      <c r="FB99" s="69" t="s">
        <v>160</v>
      </c>
      <c r="FC99" s="69" t="s">
        <v>160</v>
      </c>
      <c r="FD99" s="69" t="s">
        <v>160</v>
      </c>
    </row>
    <row r="100" spans="1:160">
      <c r="A100" s="103" t="s">
        <v>501</v>
      </c>
      <c r="B100" s="20" t="s">
        <v>163</v>
      </c>
      <c r="C100" s="91" t="s">
        <v>173</v>
      </c>
      <c r="G100" s="51" t="str">
        <f t="shared" si="10"/>
        <v>Deployment Procedure of the code</v>
      </c>
      <c r="H100" s="51" t="s">
        <v>2</v>
      </c>
      <c r="I100" s="64">
        <v>45383</v>
      </c>
      <c r="J100" s="64">
        <v>45473</v>
      </c>
      <c r="K100" s="64"/>
      <c r="L100" s="64"/>
      <c r="M100" s="64"/>
      <c r="N100" s="64" t="b">
        <f t="shared" si="14"/>
        <v>0</v>
      </c>
      <c r="O100" s="64"/>
      <c r="P100" s="24">
        <v>0</v>
      </c>
      <c r="R100" s="51" t="s">
        <v>2</v>
      </c>
      <c r="S100" s="68" t="s">
        <v>160</v>
      </c>
      <c r="T100" s="69" t="s">
        <v>160</v>
      </c>
      <c r="U100" s="69" t="s">
        <v>160</v>
      </c>
      <c r="V100" s="69" t="s">
        <v>160</v>
      </c>
      <c r="W100" s="69" t="s">
        <v>160</v>
      </c>
      <c r="X100" s="69" t="s">
        <v>160</v>
      </c>
      <c r="Y100" s="69" t="s">
        <v>160</v>
      </c>
      <c r="Z100" s="69" t="s">
        <v>160</v>
      </c>
      <c r="AA100" s="69" t="s">
        <v>160</v>
      </c>
      <c r="AB100" s="69" t="s">
        <v>160</v>
      </c>
      <c r="AC100" s="69" t="s">
        <v>160</v>
      </c>
      <c r="AD100" s="69" t="s">
        <v>160</v>
      </c>
      <c r="AE100" s="69" t="s">
        <v>160</v>
      </c>
      <c r="AF100" s="69" t="s">
        <v>160</v>
      </c>
      <c r="AG100" s="69" t="s">
        <v>160</v>
      </c>
      <c r="AH100" s="69" t="s">
        <v>160</v>
      </c>
      <c r="AI100" s="69" t="s">
        <v>160</v>
      </c>
      <c r="AJ100" s="69" t="s">
        <v>160</v>
      </c>
      <c r="AK100" s="69" t="s">
        <v>160</v>
      </c>
      <c r="AL100" s="69" t="s">
        <v>160</v>
      </c>
      <c r="AM100" s="69" t="s">
        <v>160</v>
      </c>
      <c r="AN100" s="69" t="s">
        <v>160</v>
      </c>
      <c r="AO100" s="69" t="s">
        <v>160</v>
      </c>
      <c r="AP100" s="69" t="s">
        <v>160</v>
      </c>
      <c r="AQ100" s="69" t="s">
        <v>160</v>
      </c>
      <c r="AR100" s="69" t="s">
        <v>160</v>
      </c>
      <c r="AS100" s="69" t="s">
        <v>160</v>
      </c>
      <c r="AT100" s="69" t="s">
        <v>160</v>
      </c>
      <c r="AU100" s="69" t="s">
        <v>160</v>
      </c>
      <c r="AV100" s="69" t="s">
        <v>160</v>
      </c>
      <c r="AW100" s="69" t="s">
        <v>160</v>
      </c>
      <c r="AX100" s="69" t="s">
        <v>160</v>
      </c>
      <c r="AY100" s="69" t="s">
        <v>160</v>
      </c>
      <c r="AZ100" s="69" t="s">
        <v>160</v>
      </c>
      <c r="BA100" s="69" t="s">
        <v>160</v>
      </c>
      <c r="BB100" s="69" t="s">
        <v>160</v>
      </c>
      <c r="BC100" s="69" t="s">
        <v>160</v>
      </c>
      <c r="BD100" s="69" t="s">
        <v>160</v>
      </c>
      <c r="BE100" s="69" t="s">
        <v>160</v>
      </c>
      <c r="BF100" s="69" t="s">
        <v>160</v>
      </c>
      <c r="BG100" s="69" t="s">
        <v>160</v>
      </c>
      <c r="BH100" s="69" t="s">
        <v>160</v>
      </c>
      <c r="BI100" s="69" t="s">
        <v>160</v>
      </c>
      <c r="BJ100" s="69" t="s">
        <v>160</v>
      </c>
      <c r="BK100" s="69" t="s">
        <v>160</v>
      </c>
      <c r="BL100" s="69" t="s">
        <v>160</v>
      </c>
      <c r="BM100" s="69" t="s">
        <v>160</v>
      </c>
      <c r="BN100" s="69" t="s">
        <v>160</v>
      </c>
      <c r="BO100" s="69" t="s">
        <v>160</v>
      </c>
      <c r="BP100" s="69" t="s">
        <v>160</v>
      </c>
      <c r="BQ100" s="69" t="s">
        <v>160</v>
      </c>
      <c r="BR100" s="69" t="s">
        <v>160</v>
      </c>
      <c r="BS100" s="69" t="s">
        <v>160</v>
      </c>
      <c r="BT100" s="69" t="s">
        <v>160</v>
      </c>
      <c r="BU100" s="69" t="s">
        <v>160</v>
      </c>
      <c r="BV100" s="69" t="s">
        <v>160</v>
      </c>
      <c r="BW100" s="69" t="s">
        <v>160</v>
      </c>
      <c r="BX100" s="69" t="s">
        <v>160</v>
      </c>
      <c r="BY100" s="69" t="s">
        <v>160</v>
      </c>
      <c r="BZ100" s="69" t="s">
        <v>160</v>
      </c>
      <c r="CA100" s="69" t="s">
        <v>160</v>
      </c>
      <c r="CB100" s="69" t="s">
        <v>160</v>
      </c>
      <c r="CC100" s="69" t="s">
        <v>160</v>
      </c>
      <c r="CD100" s="69" t="s">
        <v>160</v>
      </c>
      <c r="CE100" s="69" t="s">
        <v>160</v>
      </c>
      <c r="CF100" s="69" t="s">
        <v>160</v>
      </c>
      <c r="CG100" s="69" t="s">
        <v>160</v>
      </c>
      <c r="CH100" s="69" t="s">
        <v>160</v>
      </c>
      <c r="CI100" s="69" t="s">
        <v>160</v>
      </c>
      <c r="CJ100" s="69" t="s">
        <v>160</v>
      </c>
      <c r="CK100" s="69" t="s">
        <v>160</v>
      </c>
      <c r="CL100" s="69" t="s">
        <v>160</v>
      </c>
      <c r="CM100" s="69" t="s">
        <v>160</v>
      </c>
      <c r="CN100" s="69" t="s">
        <v>160</v>
      </c>
      <c r="CO100" s="69" t="s">
        <v>160</v>
      </c>
      <c r="CP100" s="69" t="s">
        <v>160</v>
      </c>
      <c r="CQ100" s="69" t="s">
        <v>160</v>
      </c>
      <c r="CR100" s="69" t="s">
        <v>160</v>
      </c>
      <c r="CS100" s="69" t="s">
        <v>160</v>
      </c>
      <c r="CT100" s="69" t="s">
        <v>160</v>
      </c>
      <c r="CU100" s="69" t="s">
        <v>160</v>
      </c>
      <c r="CV100" s="69" t="s">
        <v>160</v>
      </c>
      <c r="CW100" s="69" t="s">
        <v>160</v>
      </c>
      <c r="CX100" s="69" t="s">
        <v>160</v>
      </c>
      <c r="CY100" s="69" t="s">
        <v>160</v>
      </c>
      <c r="CZ100" s="69" t="s">
        <v>160</v>
      </c>
      <c r="DA100" s="69" t="s">
        <v>160</v>
      </c>
      <c r="DB100" s="69" t="s">
        <v>160</v>
      </c>
      <c r="DC100" s="69" t="s">
        <v>160</v>
      </c>
      <c r="DD100" s="69" t="s">
        <v>160</v>
      </c>
      <c r="DE100" s="69" t="s">
        <v>160</v>
      </c>
      <c r="DF100" s="69" t="s">
        <v>160</v>
      </c>
      <c r="DG100" s="69" t="s">
        <v>160</v>
      </c>
      <c r="DH100" s="69" t="s">
        <v>160</v>
      </c>
      <c r="DI100" s="69" t="s">
        <v>160</v>
      </c>
      <c r="DJ100" s="69" t="s">
        <v>160</v>
      </c>
      <c r="DK100" s="69" t="s">
        <v>160</v>
      </c>
      <c r="DL100" s="69" t="s">
        <v>160</v>
      </c>
      <c r="DM100" s="69" t="s">
        <v>160</v>
      </c>
      <c r="DN100" s="69" t="s">
        <v>160</v>
      </c>
      <c r="DO100" s="69" t="s">
        <v>160</v>
      </c>
      <c r="DP100" s="69" t="s">
        <v>160</v>
      </c>
      <c r="DQ100" s="69" t="s">
        <v>160</v>
      </c>
      <c r="DR100" s="69" t="s">
        <v>160</v>
      </c>
      <c r="DS100" s="69" t="s">
        <v>160</v>
      </c>
      <c r="DT100" s="69" t="s">
        <v>160</v>
      </c>
      <c r="DU100" s="69" t="s">
        <v>160</v>
      </c>
      <c r="DV100" s="69" t="s">
        <v>160</v>
      </c>
      <c r="DW100" s="69" t="s">
        <v>160</v>
      </c>
      <c r="DX100" s="69" t="s">
        <v>160</v>
      </c>
      <c r="DY100" s="69" t="s">
        <v>160</v>
      </c>
      <c r="DZ100" s="69" t="s">
        <v>160</v>
      </c>
      <c r="EA100" s="69" t="s">
        <v>160</v>
      </c>
      <c r="EB100" s="69" t="s">
        <v>160</v>
      </c>
      <c r="EC100" s="69" t="s">
        <v>160</v>
      </c>
      <c r="ED100" s="69" t="s">
        <v>160</v>
      </c>
      <c r="EE100" s="69" t="s">
        <v>160</v>
      </c>
      <c r="EF100" s="69" t="s">
        <v>160</v>
      </c>
      <c r="EG100" s="69" t="s">
        <v>160</v>
      </c>
      <c r="EH100" s="69" t="s">
        <v>160</v>
      </c>
      <c r="EI100" s="69" t="s">
        <v>160</v>
      </c>
      <c r="EJ100" s="69" t="s">
        <v>160</v>
      </c>
      <c r="EK100" s="69" t="s">
        <v>160</v>
      </c>
      <c r="EL100" s="69" t="s">
        <v>160</v>
      </c>
      <c r="EM100" s="69" t="s">
        <v>160</v>
      </c>
      <c r="EN100" s="69" t="s">
        <v>160</v>
      </c>
      <c r="EO100" s="69" t="s">
        <v>160</v>
      </c>
      <c r="EP100" s="69" t="s">
        <v>160</v>
      </c>
      <c r="EQ100" s="69" t="s">
        <v>160</v>
      </c>
      <c r="ER100" s="69" t="s">
        <v>160</v>
      </c>
      <c r="ES100" s="69" t="s">
        <v>160</v>
      </c>
      <c r="ET100" s="69" t="s">
        <v>160</v>
      </c>
      <c r="EU100" s="69" t="s">
        <v>160</v>
      </c>
      <c r="EV100" s="69" t="s">
        <v>160</v>
      </c>
      <c r="EW100" s="69" t="s">
        <v>160</v>
      </c>
      <c r="EX100" s="69" t="s">
        <v>160</v>
      </c>
      <c r="EY100" s="69" t="s">
        <v>160</v>
      </c>
      <c r="EZ100" s="69" t="s">
        <v>160</v>
      </c>
      <c r="FA100" s="69" t="s">
        <v>160</v>
      </c>
      <c r="FB100" s="69" t="s">
        <v>160</v>
      </c>
      <c r="FC100" s="69" t="s">
        <v>160</v>
      </c>
      <c r="FD100" s="69" t="s">
        <v>160</v>
      </c>
    </row>
    <row r="101" spans="1:160">
      <c r="A101" s="103" t="s">
        <v>502</v>
      </c>
      <c r="B101" s="20" t="s">
        <v>163</v>
      </c>
      <c r="C101" s="91" t="s">
        <v>175</v>
      </c>
      <c r="G101" s="51" t="str">
        <f t="shared" si="10"/>
        <v>Product usage guide with examples for all the functional usecases</v>
      </c>
      <c r="H101" s="51" t="s">
        <v>2</v>
      </c>
      <c r="I101" s="64">
        <v>45383</v>
      </c>
      <c r="J101" s="64">
        <v>45473</v>
      </c>
      <c r="K101" s="64"/>
      <c r="L101" s="64"/>
      <c r="M101" s="64"/>
      <c r="N101" s="64" t="b">
        <f t="shared" si="14"/>
        <v>0</v>
      </c>
      <c r="O101" s="64"/>
      <c r="P101" s="24">
        <v>0</v>
      </c>
      <c r="R101" s="51" t="s">
        <v>2</v>
      </c>
      <c r="S101" s="68" t="s">
        <v>160</v>
      </c>
      <c r="T101" s="69" t="s">
        <v>160</v>
      </c>
      <c r="U101" s="69" t="s">
        <v>160</v>
      </c>
      <c r="V101" s="69" t="s">
        <v>160</v>
      </c>
      <c r="W101" s="69" t="s">
        <v>160</v>
      </c>
      <c r="X101" s="69" t="s">
        <v>160</v>
      </c>
      <c r="Y101" s="69" t="s">
        <v>160</v>
      </c>
      <c r="Z101" s="69" t="s">
        <v>160</v>
      </c>
      <c r="AA101" s="69" t="s">
        <v>160</v>
      </c>
      <c r="AB101" s="69" t="s">
        <v>160</v>
      </c>
      <c r="AC101" s="69" t="s">
        <v>160</v>
      </c>
      <c r="AD101" s="69" t="s">
        <v>160</v>
      </c>
      <c r="AE101" s="69" t="s">
        <v>160</v>
      </c>
      <c r="AF101" s="69" t="s">
        <v>160</v>
      </c>
      <c r="AG101" s="69" t="s">
        <v>160</v>
      </c>
      <c r="AH101" s="69" t="s">
        <v>160</v>
      </c>
      <c r="AI101" s="69" t="s">
        <v>160</v>
      </c>
      <c r="AJ101" s="69" t="s">
        <v>160</v>
      </c>
      <c r="AK101" s="69" t="s">
        <v>160</v>
      </c>
      <c r="AL101" s="69" t="s">
        <v>160</v>
      </c>
      <c r="AM101" s="69" t="s">
        <v>160</v>
      </c>
      <c r="AN101" s="69" t="s">
        <v>160</v>
      </c>
      <c r="AO101" s="69" t="s">
        <v>160</v>
      </c>
      <c r="AP101" s="69" t="s">
        <v>160</v>
      </c>
      <c r="AQ101" s="69" t="s">
        <v>160</v>
      </c>
      <c r="AR101" s="69" t="s">
        <v>160</v>
      </c>
      <c r="AS101" s="69" t="s">
        <v>160</v>
      </c>
      <c r="AT101" s="69" t="s">
        <v>160</v>
      </c>
      <c r="AU101" s="69" t="s">
        <v>160</v>
      </c>
      <c r="AV101" s="69" t="s">
        <v>160</v>
      </c>
      <c r="AW101" s="69" t="s">
        <v>160</v>
      </c>
      <c r="AX101" s="69" t="s">
        <v>160</v>
      </c>
      <c r="AY101" s="69" t="s">
        <v>160</v>
      </c>
      <c r="AZ101" s="69" t="s">
        <v>160</v>
      </c>
      <c r="BA101" s="69" t="s">
        <v>160</v>
      </c>
      <c r="BB101" s="69" t="s">
        <v>160</v>
      </c>
      <c r="BC101" s="69" t="s">
        <v>160</v>
      </c>
      <c r="BD101" s="69" t="s">
        <v>160</v>
      </c>
      <c r="BE101" s="69" t="s">
        <v>160</v>
      </c>
      <c r="BF101" s="69" t="s">
        <v>160</v>
      </c>
      <c r="BG101" s="69" t="s">
        <v>160</v>
      </c>
      <c r="BH101" s="69" t="s">
        <v>160</v>
      </c>
      <c r="BI101" s="69" t="s">
        <v>160</v>
      </c>
      <c r="BJ101" s="69" t="s">
        <v>160</v>
      </c>
      <c r="BK101" s="69" t="s">
        <v>160</v>
      </c>
      <c r="BL101" s="69" t="s">
        <v>160</v>
      </c>
      <c r="BM101" s="69" t="s">
        <v>160</v>
      </c>
      <c r="BN101" s="69" t="s">
        <v>160</v>
      </c>
      <c r="BO101" s="69" t="s">
        <v>160</v>
      </c>
      <c r="BP101" s="69" t="s">
        <v>160</v>
      </c>
      <c r="BQ101" s="69" t="s">
        <v>160</v>
      </c>
      <c r="BR101" s="69" t="s">
        <v>160</v>
      </c>
      <c r="BS101" s="69" t="s">
        <v>160</v>
      </c>
      <c r="BT101" s="69" t="s">
        <v>160</v>
      </c>
      <c r="BU101" s="69" t="s">
        <v>160</v>
      </c>
      <c r="BV101" s="69" t="s">
        <v>160</v>
      </c>
      <c r="BW101" s="69" t="s">
        <v>160</v>
      </c>
      <c r="BX101" s="69" t="s">
        <v>160</v>
      </c>
      <c r="BY101" s="69" t="s">
        <v>160</v>
      </c>
      <c r="BZ101" s="69" t="s">
        <v>160</v>
      </c>
      <c r="CA101" s="69" t="s">
        <v>160</v>
      </c>
      <c r="CB101" s="69" t="s">
        <v>160</v>
      </c>
      <c r="CC101" s="69" t="s">
        <v>160</v>
      </c>
      <c r="CD101" s="69" t="s">
        <v>160</v>
      </c>
      <c r="CE101" s="69" t="s">
        <v>160</v>
      </c>
      <c r="CF101" s="69" t="s">
        <v>160</v>
      </c>
      <c r="CG101" s="69" t="s">
        <v>160</v>
      </c>
      <c r="CH101" s="69" t="s">
        <v>160</v>
      </c>
      <c r="CI101" s="69" t="s">
        <v>160</v>
      </c>
      <c r="CJ101" s="69" t="s">
        <v>160</v>
      </c>
      <c r="CK101" s="69" t="s">
        <v>160</v>
      </c>
      <c r="CL101" s="69" t="s">
        <v>160</v>
      </c>
      <c r="CM101" s="69" t="s">
        <v>160</v>
      </c>
      <c r="CN101" s="69" t="s">
        <v>160</v>
      </c>
      <c r="CO101" s="69" t="s">
        <v>160</v>
      </c>
      <c r="CP101" s="69" t="s">
        <v>160</v>
      </c>
      <c r="CQ101" s="69" t="s">
        <v>160</v>
      </c>
      <c r="CR101" s="69" t="s">
        <v>160</v>
      </c>
      <c r="CS101" s="69" t="s">
        <v>160</v>
      </c>
      <c r="CT101" s="69" t="s">
        <v>160</v>
      </c>
      <c r="CU101" s="69" t="s">
        <v>160</v>
      </c>
      <c r="CV101" s="69" t="s">
        <v>160</v>
      </c>
      <c r="CW101" s="69" t="s">
        <v>160</v>
      </c>
      <c r="CX101" s="69" t="s">
        <v>160</v>
      </c>
      <c r="CY101" s="69" t="s">
        <v>160</v>
      </c>
      <c r="CZ101" s="69" t="s">
        <v>160</v>
      </c>
      <c r="DA101" s="69" t="s">
        <v>160</v>
      </c>
      <c r="DB101" s="69" t="s">
        <v>160</v>
      </c>
      <c r="DC101" s="69" t="s">
        <v>160</v>
      </c>
      <c r="DD101" s="69" t="s">
        <v>160</v>
      </c>
      <c r="DE101" s="69" t="s">
        <v>160</v>
      </c>
      <c r="DF101" s="69" t="s">
        <v>160</v>
      </c>
      <c r="DG101" s="69" t="s">
        <v>160</v>
      </c>
      <c r="DH101" s="69" t="s">
        <v>160</v>
      </c>
      <c r="DI101" s="69" t="s">
        <v>160</v>
      </c>
      <c r="DJ101" s="69" t="s">
        <v>160</v>
      </c>
      <c r="DK101" s="69" t="s">
        <v>160</v>
      </c>
      <c r="DL101" s="69" t="s">
        <v>160</v>
      </c>
      <c r="DM101" s="69" t="s">
        <v>160</v>
      </c>
      <c r="DN101" s="69" t="s">
        <v>160</v>
      </c>
      <c r="DO101" s="69" t="s">
        <v>160</v>
      </c>
      <c r="DP101" s="69" t="s">
        <v>160</v>
      </c>
      <c r="DQ101" s="69" t="s">
        <v>160</v>
      </c>
      <c r="DR101" s="69" t="s">
        <v>160</v>
      </c>
      <c r="DS101" s="69" t="s">
        <v>160</v>
      </c>
      <c r="DT101" s="69" t="s">
        <v>160</v>
      </c>
      <c r="DU101" s="69" t="s">
        <v>160</v>
      </c>
      <c r="DV101" s="69" t="s">
        <v>160</v>
      </c>
      <c r="DW101" s="69" t="s">
        <v>160</v>
      </c>
      <c r="DX101" s="69" t="s">
        <v>160</v>
      </c>
      <c r="DY101" s="69" t="s">
        <v>160</v>
      </c>
      <c r="DZ101" s="69" t="s">
        <v>160</v>
      </c>
      <c r="EA101" s="69" t="s">
        <v>160</v>
      </c>
      <c r="EB101" s="69" t="s">
        <v>160</v>
      </c>
      <c r="EC101" s="69" t="s">
        <v>160</v>
      </c>
      <c r="ED101" s="69" t="s">
        <v>160</v>
      </c>
      <c r="EE101" s="69" t="s">
        <v>160</v>
      </c>
      <c r="EF101" s="69" t="s">
        <v>160</v>
      </c>
      <c r="EG101" s="69" t="s">
        <v>160</v>
      </c>
      <c r="EH101" s="69" t="s">
        <v>160</v>
      </c>
      <c r="EI101" s="69" t="s">
        <v>160</v>
      </c>
      <c r="EJ101" s="69" t="s">
        <v>160</v>
      </c>
      <c r="EK101" s="69" t="s">
        <v>160</v>
      </c>
      <c r="EL101" s="69" t="s">
        <v>160</v>
      </c>
      <c r="EM101" s="69" t="s">
        <v>160</v>
      </c>
      <c r="EN101" s="69" t="s">
        <v>160</v>
      </c>
      <c r="EO101" s="69" t="s">
        <v>160</v>
      </c>
      <c r="EP101" s="69" t="s">
        <v>160</v>
      </c>
      <c r="EQ101" s="69" t="s">
        <v>160</v>
      </c>
      <c r="ER101" s="69" t="s">
        <v>160</v>
      </c>
      <c r="ES101" s="69" t="s">
        <v>160</v>
      </c>
      <c r="ET101" s="69" t="s">
        <v>160</v>
      </c>
      <c r="EU101" s="69" t="s">
        <v>160</v>
      </c>
      <c r="EV101" s="69" t="s">
        <v>160</v>
      </c>
      <c r="EW101" s="69" t="s">
        <v>160</v>
      </c>
      <c r="EX101" s="69" t="s">
        <v>160</v>
      </c>
      <c r="EY101" s="69" t="s">
        <v>160</v>
      </c>
      <c r="EZ101" s="69" t="s">
        <v>160</v>
      </c>
      <c r="FA101" s="69" t="s">
        <v>160</v>
      </c>
      <c r="FB101" s="69" t="s">
        <v>160</v>
      </c>
      <c r="FC101" s="69" t="s">
        <v>160</v>
      </c>
      <c r="FD101" s="69" t="s">
        <v>160</v>
      </c>
    </row>
    <row r="102" spans="1:160" s="71" customFormat="1" ht="18.5" thickBot="1">
      <c r="A102" s="104" t="s">
        <v>496</v>
      </c>
      <c r="B102" s="105" t="s">
        <v>163</v>
      </c>
      <c r="C102" s="92" t="s">
        <v>176</v>
      </c>
      <c r="G102" s="71" t="str">
        <f t="shared" si="10"/>
        <v xml:space="preserve">Test report </v>
      </c>
      <c r="H102" s="71" t="s">
        <v>2</v>
      </c>
      <c r="I102" s="72">
        <v>45383</v>
      </c>
      <c r="J102" s="72">
        <v>45473</v>
      </c>
      <c r="K102" s="72"/>
      <c r="L102" s="72"/>
      <c r="M102" s="72"/>
      <c r="N102" s="72" t="b">
        <f t="shared" si="14"/>
        <v>0</v>
      </c>
      <c r="O102" s="72"/>
      <c r="P102" s="89">
        <v>0</v>
      </c>
      <c r="Q102" s="89"/>
      <c r="R102" s="71" t="s">
        <v>2</v>
      </c>
      <c r="S102" s="74" t="s">
        <v>160</v>
      </c>
      <c r="T102" s="75" t="s">
        <v>160</v>
      </c>
      <c r="U102" s="75" t="s">
        <v>160</v>
      </c>
      <c r="V102" s="75" t="s">
        <v>160</v>
      </c>
      <c r="W102" s="75" t="s">
        <v>160</v>
      </c>
      <c r="X102" s="75" t="s">
        <v>160</v>
      </c>
      <c r="Y102" s="75" t="s">
        <v>160</v>
      </c>
      <c r="Z102" s="75" t="s">
        <v>160</v>
      </c>
      <c r="AA102" s="75" t="s">
        <v>160</v>
      </c>
      <c r="AB102" s="75" t="s">
        <v>160</v>
      </c>
      <c r="AC102" s="75" t="s">
        <v>160</v>
      </c>
      <c r="AD102" s="75" t="s">
        <v>160</v>
      </c>
      <c r="AE102" s="75" t="s">
        <v>160</v>
      </c>
      <c r="AF102" s="75" t="s">
        <v>160</v>
      </c>
      <c r="AG102" s="75" t="s">
        <v>160</v>
      </c>
      <c r="AH102" s="75" t="s">
        <v>160</v>
      </c>
      <c r="AI102" s="75" t="s">
        <v>160</v>
      </c>
      <c r="AJ102" s="75" t="s">
        <v>160</v>
      </c>
      <c r="AK102" s="75" t="s">
        <v>160</v>
      </c>
      <c r="AL102" s="75" t="s">
        <v>160</v>
      </c>
      <c r="AM102" s="75" t="s">
        <v>160</v>
      </c>
      <c r="AN102" s="75" t="s">
        <v>160</v>
      </c>
      <c r="AO102" s="75" t="s">
        <v>160</v>
      </c>
      <c r="AP102" s="75" t="s">
        <v>160</v>
      </c>
      <c r="AQ102" s="75" t="s">
        <v>160</v>
      </c>
      <c r="AR102" s="75" t="s">
        <v>160</v>
      </c>
      <c r="AS102" s="75" t="s">
        <v>160</v>
      </c>
      <c r="AT102" s="75" t="s">
        <v>160</v>
      </c>
      <c r="AU102" s="75" t="s">
        <v>160</v>
      </c>
      <c r="AV102" s="75" t="s">
        <v>160</v>
      </c>
      <c r="AW102" s="75" t="s">
        <v>160</v>
      </c>
      <c r="AX102" s="75" t="s">
        <v>160</v>
      </c>
      <c r="AY102" s="75" t="s">
        <v>160</v>
      </c>
      <c r="AZ102" s="75" t="s">
        <v>160</v>
      </c>
      <c r="BA102" s="75" t="s">
        <v>160</v>
      </c>
      <c r="BB102" s="75" t="s">
        <v>160</v>
      </c>
      <c r="BC102" s="75" t="s">
        <v>160</v>
      </c>
      <c r="BD102" s="75" t="s">
        <v>160</v>
      </c>
      <c r="BE102" s="75" t="s">
        <v>160</v>
      </c>
      <c r="BF102" s="75" t="s">
        <v>160</v>
      </c>
      <c r="BG102" s="75" t="s">
        <v>160</v>
      </c>
      <c r="BH102" s="75" t="s">
        <v>160</v>
      </c>
      <c r="BI102" s="75" t="s">
        <v>160</v>
      </c>
      <c r="BJ102" s="75" t="s">
        <v>160</v>
      </c>
      <c r="BK102" s="75" t="s">
        <v>160</v>
      </c>
      <c r="BL102" s="75" t="s">
        <v>160</v>
      </c>
      <c r="BM102" s="75" t="s">
        <v>160</v>
      </c>
      <c r="BN102" s="75" t="s">
        <v>160</v>
      </c>
      <c r="BO102" s="75" t="s">
        <v>160</v>
      </c>
      <c r="BP102" s="75" t="s">
        <v>160</v>
      </c>
      <c r="BQ102" s="75" t="s">
        <v>160</v>
      </c>
      <c r="BR102" s="75" t="s">
        <v>160</v>
      </c>
      <c r="BS102" s="75" t="s">
        <v>160</v>
      </c>
      <c r="BT102" s="75" t="s">
        <v>160</v>
      </c>
      <c r="BU102" s="75" t="s">
        <v>160</v>
      </c>
      <c r="BV102" s="75" t="s">
        <v>160</v>
      </c>
      <c r="BW102" s="75" t="s">
        <v>160</v>
      </c>
      <c r="BX102" s="75" t="s">
        <v>160</v>
      </c>
      <c r="BY102" s="75" t="s">
        <v>160</v>
      </c>
      <c r="BZ102" s="75" t="s">
        <v>160</v>
      </c>
      <c r="CA102" s="75" t="s">
        <v>160</v>
      </c>
      <c r="CB102" s="75" t="s">
        <v>160</v>
      </c>
      <c r="CC102" s="75" t="s">
        <v>160</v>
      </c>
      <c r="CD102" s="75" t="s">
        <v>160</v>
      </c>
      <c r="CE102" s="75" t="s">
        <v>160</v>
      </c>
      <c r="CF102" s="75" t="s">
        <v>160</v>
      </c>
      <c r="CG102" s="75" t="s">
        <v>160</v>
      </c>
      <c r="CH102" s="75" t="s">
        <v>160</v>
      </c>
      <c r="CI102" s="75" t="s">
        <v>160</v>
      </c>
      <c r="CJ102" s="75" t="s">
        <v>160</v>
      </c>
      <c r="CK102" s="75" t="s">
        <v>160</v>
      </c>
      <c r="CL102" s="75" t="s">
        <v>160</v>
      </c>
      <c r="CM102" s="75" t="s">
        <v>160</v>
      </c>
      <c r="CN102" s="75" t="s">
        <v>160</v>
      </c>
      <c r="CO102" s="75" t="s">
        <v>160</v>
      </c>
      <c r="CP102" s="75" t="s">
        <v>160</v>
      </c>
      <c r="CQ102" s="75" t="s">
        <v>160</v>
      </c>
      <c r="CR102" s="75" t="s">
        <v>160</v>
      </c>
      <c r="CS102" s="75" t="s">
        <v>160</v>
      </c>
      <c r="CT102" s="75" t="s">
        <v>160</v>
      </c>
      <c r="CU102" s="75" t="s">
        <v>160</v>
      </c>
      <c r="CV102" s="75" t="s">
        <v>160</v>
      </c>
      <c r="CW102" s="75" t="s">
        <v>160</v>
      </c>
      <c r="CX102" s="75" t="s">
        <v>160</v>
      </c>
      <c r="CY102" s="75" t="s">
        <v>160</v>
      </c>
      <c r="CZ102" s="75" t="s">
        <v>160</v>
      </c>
      <c r="DA102" s="75" t="s">
        <v>160</v>
      </c>
      <c r="DB102" s="75" t="s">
        <v>160</v>
      </c>
      <c r="DC102" s="75" t="s">
        <v>160</v>
      </c>
      <c r="DD102" s="75" t="s">
        <v>160</v>
      </c>
      <c r="DE102" s="75" t="s">
        <v>160</v>
      </c>
      <c r="DF102" s="75" t="s">
        <v>160</v>
      </c>
      <c r="DG102" s="75" t="s">
        <v>160</v>
      </c>
      <c r="DH102" s="75" t="s">
        <v>160</v>
      </c>
      <c r="DI102" s="75" t="s">
        <v>160</v>
      </c>
      <c r="DJ102" s="75" t="s">
        <v>160</v>
      </c>
      <c r="DK102" s="75" t="s">
        <v>160</v>
      </c>
      <c r="DL102" s="75" t="s">
        <v>160</v>
      </c>
      <c r="DM102" s="75" t="s">
        <v>160</v>
      </c>
      <c r="DN102" s="75" t="s">
        <v>160</v>
      </c>
      <c r="DO102" s="75" t="s">
        <v>160</v>
      </c>
      <c r="DP102" s="75" t="s">
        <v>160</v>
      </c>
      <c r="DQ102" s="75" t="s">
        <v>160</v>
      </c>
      <c r="DR102" s="75" t="s">
        <v>160</v>
      </c>
      <c r="DS102" s="75" t="s">
        <v>160</v>
      </c>
      <c r="DT102" s="75" t="s">
        <v>160</v>
      </c>
      <c r="DU102" s="75" t="s">
        <v>160</v>
      </c>
      <c r="DV102" s="75" t="s">
        <v>160</v>
      </c>
      <c r="DW102" s="75" t="s">
        <v>160</v>
      </c>
      <c r="DX102" s="75" t="s">
        <v>160</v>
      </c>
      <c r="DY102" s="75" t="s">
        <v>160</v>
      </c>
      <c r="DZ102" s="75" t="s">
        <v>160</v>
      </c>
      <c r="EA102" s="75" t="s">
        <v>160</v>
      </c>
      <c r="EB102" s="75" t="s">
        <v>160</v>
      </c>
      <c r="EC102" s="75" t="s">
        <v>160</v>
      </c>
      <c r="ED102" s="75" t="s">
        <v>160</v>
      </c>
      <c r="EE102" s="75" t="s">
        <v>160</v>
      </c>
      <c r="EF102" s="75" t="s">
        <v>160</v>
      </c>
      <c r="EG102" s="75" t="s">
        <v>160</v>
      </c>
      <c r="EH102" s="75" t="s">
        <v>160</v>
      </c>
      <c r="EI102" s="75" t="s">
        <v>160</v>
      </c>
      <c r="EJ102" s="75" t="s">
        <v>160</v>
      </c>
      <c r="EK102" s="75" t="s">
        <v>160</v>
      </c>
      <c r="EL102" s="75" t="s">
        <v>160</v>
      </c>
      <c r="EM102" s="75" t="s">
        <v>160</v>
      </c>
      <c r="EN102" s="75" t="s">
        <v>160</v>
      </c>
      <c r="EO102" s="75" t="s">
        <v>160</v>
      </c>
      <c r="EP102" s="75" t="s">
        <v>160</v>
      </c>
      <c r="EQ102" s="75" t="s">
        <v>160</v>
      </c>
      <c r="ER102" s="75" t="s">
        <v>160</v>
      </c>
      <c r="ES102" s="75" t="s">
        <v>160</v>
      </c>
      <c r="ET102" s="75" t="s">
        <v>160</v>
      </c>
      <c r="EU102" s="75" t="s">
        <v>160</v>
      </c>
      <c r="EV102" s="75" t="s">
        <v>160</v>
      </c>
      <c r="EW102" s="75" t="s">
        <v>160</v>
      </c>
      <c r="EX102" s="75" t="s">
        <v>160</v>
      </c>
      <c r="EY102" s="75" t="s">
        <v>160</v>
      </c>
      <c r="EZ102" s="75" t="s">
        <v>160</v>
      </c>
      <c r="FA102" s="75" t="s">
        <v>160</v>
      </c>
      <c r="FB102" s="75" t="s">
        <v>160</v>
      </c>
      <c r="FC102" s="75" t="s">
        <v>160</v>
      </c>
      <c r="FD102" s="75" t="s">
        <v>160</v>
      </c>
    </row>
    <row r="103" spans="1:160">
      <c r="A103" s="103" t="s">
        <v>504</v>
      </c>
      <c r="B103" s="20" t="s">
        <v>213</v>
      </c>
      <c r="G103" s="51" t="str">
        <f t="shared" si="10"/>
        <v>M13. Decision Engine AI/ML models - Preventive maintenance of Asset type 3 (e.g. Rotating machines like motors &amp; generators to be researched)</v>
      </c>
      <c r="H103" s="51" t="s">
        <v>2</v>
      </c>
      <c r="I103" s="64">
        <f ca="1">IF(SUM(I104:INDIRECT("I"&amp;$O103))=0,"",MIN(I104:INDIRECT("I"&amp;$O103)))</f>
        <v>45444</v>
      </c>
      <c r="J103" s="64">
        <f ca="1">IF(SUM(J104:INDIRECT("J"&amp;$O103))=0,"",MAX(J104:INDIRECT("J"&amp;$O103)))</f>
        <v>45565</v>
      </c>
      <c r="K103" s="64" t="str">
        <f ca="1">IF(SUM(K104:INDIRECT("K"&amp;$O103))=0,"",MIN(K104:INDIRECT("K"&amp;$O103)))</f>
        <v/>
      </c>
      <c r="L103" s="64" t="str">
        <f ca="1">IF(SUM(L104:INDIRECT("L"&amp;$O103))=0,"",MAX(L104:INDIRECT("L"&amp;$O103)))</f>
        <v/>
      </c>
      <c r="M103" s="64" t="str">
        <f ca="1">IF(N103,TODAY(),IF(SUM(M104:INDIRECT("M"&amp;$O103))=0,"",MAX(M104:INDIRECT("M"&amp;$O103))))</f>
        <v/>
      </c>
      <c r="N103" s="64" t="b">
        <f ca="1">OR(N104:INDIRECT("N"&amp;O103))</f>
        <v>0</v>
      </c>
      <c r="O103" s="65">
        <f>ROW()+COUNTA(N104:N109)</f>
        <v>109</v>
      </c>
      <c r="P103" s="66">
        <f>AVERAGE(P104:P109)</f>
        <v>0</v>
      </c>
      <c r="R103" s="51" t="s">
        <v>2</v>
      </c>
      <c r="S103" s="68" t="s">
        <v>160</v>
      </c>
      <c r="T103" s="69" t="s">
        <v>160</v>
      </c>
      <c r="U103" s="69" t="s">
        <v>160</v>
      </c>
      <c r="V103" s="69" t="s">
        <v>160</v>
      </c>
      <c r="W103" s="69" t="s">
        <v>160</v>
      </c>
      <c r="X103" s="69" t="s">
        <v>160</v>
      </c>
      <c r="Y103" s="69" t="s">
        <v>160</v>
      </c>
      <c r="Z103" s="69" t="s">
        <v>160</v>
      </c>
      <c r="AA103" s="69" t="s">
        <v>160</v>
      </c>
      <c r="AB103" s="69" t="s">
        <v>160</v>
      </c>
      <c r="AC103" s="69" t="s">
        <v>160</v>
      </c>
      <c r="AD103" s="69" t="s">
        <v>160</v>
      </c>
      <c r="AE103" s="69" t="s">
        <v>160</v>
      </c>
      <c r="AF103" s="69" t="s">
        <v>160</v>
      </c>
      <c r="AG103" s="69" t="s">
        <v>160</v>
      </c>
      <c r="AH103" s="69" t="s">
        <v>160</v>
      </c>
      <c r="AI103" s="69" t="s">
        <v>160</v>
      </c>
      <c r="AJ103" s="69" t="s">
        <v>160</v>
      </c>
      <c r="AK103" s="69" t="s">
        <v>160</v>
      </c>
      <c r="AL103" s="69" t="s">
        <v>160</v>
      </c>
      <c r="AM103" s="69" t="s">
        <v>160</v>
      </c>
      <c r="AN103" s="69" t="s">
        <v>160</v>
      </c>
      <c r="AO103" s="69" t="s">
        <v>160</v>
      </c>
      <c r="AP103" s="69" t="s">
        <v>160</v>
      </c>
      <c r="AQ103" s="69" t="s">
        <v>160</v>
      </c>
      <c r="AR103" s="69" t="s">
        <v>160</v>
      </c>
      <c r="AS103" s="69" t="s">
        <v>160</v>
      </c>
      <c r="AT103" s="69" t="s">
        <v>160</v>
      </c>
      <c r="AU103" s="69" t="s">
        <v>160</v>
      </c>
      <c r="AV103" s="69" t="s">
        <v>160</v>
      </c>
      <c r="AW103" s="69" t="s">
        <v>160</v>
      </c>
      <c r="AX103" s="69" t="s">
        <v>160</v>
      </c>
      <c r="AY103" s="69" t="s">
        <v>160</v>
      </c>
      <c r="AZ103" s="69" t="s">
        <v>160</v>
      </c>
      <c r="BA103" s="69" t="s">
        <v>160</v>
      </c>
      <c r="BB103" s="69" t="s">
        <v>160</v>
      </c>
      <c r="BC103" s="69" t="s">
        <v>160</v>
      </c>
      <c r="BD103" s="69" t="s">
        <v>160</v>
      </c>
      <c r="BE103" s="69" t="s">
        <v>160</v>
      </c>
      <c r="BF103" s="69" t="s">
        <v>160</v>
      </c>
      <c r="BG103" s="69" t="s">
        <v>160</v>
      </c>
      <c r="BH103" s="69" t="s">
        <v>160</v>
      </c>
      <c r="BI103" s="69" t="s">
        <v>160</v>
      </c>
      <c r="BJ103" s="69" t="s">
        <v>160</v>
      </c>
      <c r="BK103" s="69" t="s">
        <v>160</v>
      </c>
      <c r="BL103" s="69" t="s">
        <v>160</v>
      </c>
      <c r="BM103" s="69" t="s">
        <v>160</v>
      </c>
      <c r="BN103" s="69" t="s">
        <v>160</v>
      </c>
      <c r="BO103" s="69" t="s">
        <v>160</v>
      </c>
      <c r="BP103" s="69" t="s">
        <v>160</v>
      </c>
      <c r="BQ103" s="69" t="s">
        <v>160</v>
      </c>
      <c r="BR103" s="69" t="s">
        <v>160</v>
      </c>
      <c r="BS103" s="69" t="s">
        <v>160</v>
      </c>
      <c r="BT103" s="69" t="s">
        <v>160</v>
      </c>
      <c r="BU103" s="69" t="s">
        <v>160</v>
      </c>
      <c r="BV103" s="69" t="s">
        <v>160</v>
      </c>
      <c r="BW103" s="69" t="s">
        <v>160</v>
      </c>
      <c r="BX103" s="69" t="s">
        <v>160</v>
      </c>
      <c r="BY103" s="69" t="s">
        <v>160</v>
      </c>
      <c r="BZ103" s="69" t="s">
        <v>160</v>
      </c>
      <c r="CA103" s="69" t="s">
        <v>160</v>
      </c>
      <c r="CB103" s="69" t="s">
        <v>160</v>
      </c>
      <c r="CC103" s="69" t="s">
        <v>160</v>
      </c>
      <c r="CD103" s="69" t="s">
        <v>160</v>
      </c>
      <c r="CE103" s="69" t="s">
        <v>160</v>
      </c>
      <c r="CF103" s="69" t="s">
        <v>160</v>
      </c>
      <c r="CG103" s="69" t="s">
        <v>160</v>
      </c>
      <c r="CH103" s="69" t="s">
        <v>160</v>
      </c>
      <c r="CI103" s="69" t="s">
        <v>160</v>
      </c>
      <c r="CJ103" s="69" t="s">
        <v>160</v>
      </c>
      <c r="CK103" s="69" t="s">
        <v>160</v>
      </c>
      <c r="CL103" s="69" t="s">
        <v>160</v>
      </c>
      <c r="CM103" s="69" t="s">
        <v>160</v>
      </c>
      <c r="CN103" s="69" t="s">
        <v>160</v>
      </c>
      <c r="CO103" s="69" t="s">
        <v>160</v>
      </c>
      <c r="CP103" s="69" t="s">
        <v>160</v>
      </c>
      <c r="CQ103" s="69" t="s">
        <v>160</v>
      </c>
      <c r="CR103" s="69" t="s">
        <v>160</v>
      </c>
      <c r="CS103" s="69" t="s">
        <v>160</v>
      </c>
      <c r="CT103" s="69" t="s">
        <v>160</v>
      </c>
      <c r="CU103" s="69" t="s">
        <v>160</v>
      </c>
      <c r="CV103" s="69" t="s">
        <v>160</v>
      </c>
      <c r="CW103" s="69" t="s">
        <v>160</v>
      </c>
      <c r="CX103" s="69" t="s">
        <v>160</v>
      </c>
      <c r="CY103" s="69" t="s">
        <v>160</v>
      </c>
      <c r="CZ103" s="69" t="s">
        <v>160</v>
      </c>
      <c r="DA103" s="69" t="s">
        <v>160</v>
      </c>
      <c r="DB103" s="69" t="s">
        <v>160</v>
      </c>
      <c r="DC103" s="69" t="s">
        <v>160</v>
      </c>
      <c r="DD103" s="69" t="s">
        <v>160</v>
      </c>
      <c r="DE103" s="69" t="s">
        <v>160</v>
      </c>
      <c r="DF103" s="69" t="s">
        <v>160</v>
      </c>
      <c r="DG103" s="69" t="s">
        <v>160</v>
      </c>
      <c r="DH103" s="69" t="s">
        <v>160</v>
      </c>
      <c r="DI103" s="69" t="s">
        <v>160</v>
      </c>
      <c r="DJ103" s="69" t="s">
        <v>160</v>
      </c>
      <c r="DK103" s="69" t="s">
        <v>160</v>
      </c>
      <c r="DL103" s="69" t="s">
        <v>160</v>
      </c>
      <c r="DM103" s="69" t="s">
        <v>160</v>
      </c>
      <c r="DN103" s="69" t="s">
        <v>160</v>
      </c>
      <c r="DO103" s="69" t="s">
        <v>160</v>
      </c>
      <c r="DP103" s="69" t="s">
        <v>160</v>
      </c>
      <c r="DQ103" s="69" t="s">
        <v>160</v>
      </c>
      <c r="DR103" s="69" t="s">
        <v>160</v>
      </c>
      <c r="DS103" s="69" t="s">
        <v>160</v>
      </c>
      <c r="DT103" s="69" t="s">
        <v>160</v>
      </c>
      <c r="DU103" s="69" t="s">
        <v>160</v>
      </c>
      <c r="DV103" s="69" t="s">
        <v>160</v>
      </c>
      <c r="DW103" s="69" t="s">
        <v>160</v>
      </c>
      <c r="DX103" s="69" t="s">
        <v>160</v>
      </c>
      <c r="DY103" s="69" t="s">
        <v>160</v>
      </c>
      <c r="DZ103" s="69" t="s">
        <v>160</v>
      </c>
      <c r="EA103" s="69" t="s">
        <v>160</v>
      </c>
      <c r="EB103" s="69" t="s">
        <v>160</v>
      </c>
      <c r="EC103" s="69" t="s">
        <v>160</v>
      </c>
      <c r="ED103" s="69" t="s">
        <v>160</v>
      </c>
      <c r="EE103" s="69" t="s">
        <v>160</v>
      </c>
      <c r="EF103" s="69" t="s">
        <v>160</v>
      </c>
      <c r="EG103" s="69" t="s">
        <v>160</v>
      </c>
      <c r="EH103" s="69" t="s">
        <v>160</v>
      </c>
      <c r="EI103" s="69" t="s">
        <v>160</v>
      </c>
      <c r="EJ103" s="69" t="s">
        <v>160</v>
      </c>
      <c r="EK103" s="69" t="s">
        <v>160</v>
      </c>
      <c r="EL103" s="69" t="s">
        <v>160</v>
      </c>
      <c r="EM103" s="69" t="s">
        <v>160</v>
      </c>
      <c r="EN103" s="69" t="s">
        <v>160</v>
      </c>
      <c r="EO103" s="69" t="s">
        <v>160</v>
      </c>
      <c r="EP103" s="69" t="s">
        <v>160</v>
      </c>
      <c r="EQ103" s="69" t="s">
        <v>160</v>
      </c>
      <c r="ER103" s="69" t="s">
        <v>160</v>
      </c>
      <c r="ES103" s="69" t="s">
        <v>160</v>
      </c>
      <c r="ET103" s="69" t="s">
        <v>160</v>
      </c>
      <c r="EU103" s="69" t="s">
        <v>160</v>
      </c>
      <c r="EV103" s="69" t="s">
        <v>160</v>
      </c>
      <c r="EW103" s="69" t="s">
        <v>160</v>
      </c>
      <c r="EX103" s="69" t="s">
        <v>160</v>
      </c>
      <c r="EY103" s="69" t="s">
        <v>160</v>
      </c>
      <c r="EZ103" s="69" t="s">
        <v>160</v>
      </c>
      <c r="FA103" s="69" t="s">
        <v>160</v>
      </c>
      <c r="FB103" s="69" t="s">
        <v>160</v>
      </c>
      <c r="FC103" s="69" t="s">
        <v>160</v>
      </c>
      <c r="FD103" s="69" t="s">
        <v>160</v>
      </c>
    </row>
    <row r="104" spans="1:160">
      <c r="A104" s="103" t="s">
        <v>505</v>
      </c>
      <c r="C104" s="50" t="s">
        <v>212</v>
      </c>
      <c r="G104" s="51" t="str">
        <f t="shared" si="10"/>
        <v>Note : Use datafusion platform to find faults in the assets</v>
      </c>
      <c r="H104" s="51" t="s">
        <v>2</v>
      </c>
      <c r="I104" s="64"/>
      <c r="J104" s="64"/>
      <c r="K104" s="64"/>
      <c r="L104" s="64"/>
      <c r="M104" s="64"/>
      <c r="N104" s="64" t="b">
        <f>ISNUMBER(SEARCH("*Waiting*",M104))</f>
        <v>0</v>
      </c>
      <c r="O104" s="64"/>
      <c r="R104" s="51" t="s">
        <v>2</v>
      </c>
      <c r="S104" s="68" t="s">
        <v>160</v>
      </c>
      <c r="T104" s="69" t="s">
        <v>160</v>
      </c>
      <c r="U104" s="69" t="s">
        <v>160</v>
      </c>
      <c r="V104" s="69" t="s">
        <v>160</v>
      </c>
      <c r="W104" s="69" t="s">
        <v>160</v>
      </c>
      <c r="X104" s="69" t="s">
        <v>160</v>
      </c>
      <c r="Y104" s="69" t="s">
        <v>160</v>
      </c>
      <c r="Z104" s="69" t="s">
        <v>160</v>
      </c>
      <c r="AA104" s="69" t="s">
        <v>160</v>
      </c>
      <c r="AB104" s="69" t="s">
        <v>160</v>
      </c>
      <c r="AC104" s="69" t="s">
        <v>160</v>
      </c>
      <c r="AD104" s="69" t="s">
        <v>160</v>
      </c>
      <c r="AE104" s="69" t="s">
        <v>160</v>
      </c>
      <c r="AF104" s="69" t="s">
        <v>160</v>
      </c>
      <c r="AG104" s="69" t="s">
        <v>160</v>
      </c>
      <c r="AH104" s="69" t="s">
        <v>160</v>
      </c>
      <c r="AI104" s="69" t="s">
        <v>160</v>
      </c>
      <c r="AJ104" s="69" t="s">
        <v>160</v>
      </c>
      <c r="AK104" s="69" t="s">
        <v>160</v>
      </c>
      <c r="AL104" s="69" t="s">
        <v>160</v>
      </c>
      <c r="AM104" s="69" t="s">
        <v>160</v>
      </c>
      <c r="AN104" s="69" t="s">
        <v>160</v>
      </c>
      <c r="AO104" s="69" t="s">
        <v>160</v>
      </c>
      <c r="AP104" s="69" t="s">
        <v>160</v>
      </c>
      <c r="AQ104" s="69" t="s">
        <v>160</v>
      </c>
      <c r="AR104" s="69" t="s">
        <v>160</v>
      </c>
      <c r="AS104" s="69" t="s">
        <v>160</v>
      </c>
      <c r="AT104" s="69" t="s">
        <v>160</v>
      </c>
      <c r="AU104" s="69" t="s">
        <v>160</v>
      </c>
      <c r="AV104" s="69" t="s">
        <v>160</v>
      </c>
      <c r="AW104" s="69" t="s">
        <v>160</v>
      </c>
      <c r="AX104" s="69" t="s">
        <v>160</v>
      </c>
      <c r="AY104" s="69" t="s">
        <v>160</v>
      </c>
      <c r="AZ104" s="69" t="s">
        <v>160</v>
      </c>
      <c r="BA104" s="69" t="s">
        <v>160</v>
      </c>
      <c r="BB104" s="69" t="s">
        <v>160</v>
      </c>
      <c r="BC104" s="69" t="s">
        <v>160</v>
      </c>
      <c r="BD104" s="69" t="s">
        <v>160</v>
      </c>
      <c r="BE104" s="69" t="s">
        <v>160</v>
      </c>
      <c r="BF104" s="69" t="s">
        <v>160</v>
      </c>
      <c r="BG104" s="69" t="s">
        <v>160</v>
      </c>
      <c r="BH104" s="69" t="s">
        <v>160</v>
      </c>
      <c r="BI104" s="69" t="s">
        <v>160</v>
      </c>
      <c r="BJ104" s="69" t="s">
        <v>160</v>
      </c>
      <c r="BK104" s="69" t="s">
        <v>160</v>
      </c>
      <c r="BL104" s="69" t="s">
        <v>160</v>
      </c>
      <c r="BM104" s="69" t="s">
        <v>160</v>
      </c>
      <c r="BN104" s="69" t="s">
        <v>160</v>
      </c>
      <c r="BO104" s="69" t="s">
        <v>160</v>
      </c>
      <c r="BP104" s="69" t="s">
        <v>160</v>
      </c>
      <c r="BQ104" s="69" t="s">
        <v>160</v>
      </c>
      <c r="BR104" s="69" t="s">
        <v>160</v>
      </c>
      <c r="BS104" s="69" t="s">
        <v>160</v>
      </c>
      <c r="BT104" s="69" t="s">
        <v>160</v>
      </c>
      <c r="BU104" s="69" t="s">
        <v>160</v>
      </c>
      <c r="BV104" s="69" t="s">
        <v>160</v>
      </c>
      <c r="BW104" s="69" t="s">
        <v>160</v>
      </c>
      <c r="BX104" s="69" t="s">
        <v>160</v>
      </c>
      <c r="BY104" s="69" t="s">
        <v>160</v>
      </c>
      <c r="BZ104" s="69" t="s">
        <v>160</v>
      </c>
      <c r="CA104" s="69" t="s">
        <v>160</v>
      </c>
      <c r="CB104" s="69" t="s">
        <v>160</v>
      </c>
      <c r="CC104" s="69" t="s">
        <v>160</v>
      </c>
      <c r="CD104" s="69" t="s">
        <v>160</v>
      </c>
      <c r="CE104" s="69" t="s">
        <v>160</v>
      </c>
      <c r="CF104" s="69" t="s">
        <v>160</v>
      </c>
      <c r="CG104" s="69" t="s">
        <v>160</v>
      </c>
      <c r="CH104" s="69" t="s">
        <v>160</v>
      </c>
      <c r="CI104" s="69" t="s">
        <v>160</v>
      </c>
      <c r="CJ104" s="69" t="s">
        <v>160</v>
      </c>
      <c r="CK104" s="69" t="s">
        <v>160</v>
      </c>
      <c r="CL104" s="69" t="s">
        <v>160</v>
      </c>
      <c r="CM104" s="69" t="s">
        <v>160</v>
      </c>
      <c r="CN104" s="69" t="s">
        <v>160</v>
      </c>
      <c r="CO104" s="69" t="s">
        <v>160</v>
      </c>
      <c r="CP104" s="69" t="s">
        <v>160</v>
      </c>
      <c r="CQ104" s="69" t="s">
        <v>160</v>
      </c>
      <c r="CR104" s="69" t="s">
        <v>160</v>
      </c>
      <c r="CS104" s="69" t="s">
        <v>160</v>
      </c>
      <c r="CT104" s="69" t="s">
        <v>160</v>
      </c>
      <c r="CU104" s="69" t="s">
        <v>160</v>
      </c>
      <c r="CV104" s="69" t="s">
        <v>160</v>
      </c>
      <c r="CW104" s="69" t="s">
        <v>160</v>
      </c>
      <c r="CX104" s="69" t="s">
        <v>160</v>
      </c>
      <c r="CY104" s="69" t="s">
        <v>160</v>
      </c>
      <c r="CZ104" s="69" t="s">
        <v>160</v>
      </c>
      <c r="DA104" s="69" t="s">
        <v>160</v>
      </c>
      <c r="DB104" s="69" t="s">
        <v>160</v>
      </c>
      <c r="DC104" s="69" t="s">
        <v>160</v>
      </c>
      <c r="DD104" s="69" t="s">
        <v>160</v>
      </c>
      <c r="DE104" s="69" t="s">
        <v>160</v>
      </c>
      <c r="DF104" s="69" t="s">
        <v>160</v>
      </c>
      <c r="DG104" s="69" t="s">
        <v>160</v>
      </c>
      <c r="DH104" s="69" t="s">
        <v>160</v>
      </c>
      <c r="DI104" s="69" t="s">
        <v>160</v>
      </c>
      <c r="DJ104" s="69" t="s">
        <v>160</v>
      </c>
      <c r="DK104" s="69" t="s">
        <v>160</v>
      </c>
      <c r="DL104" s="69" t="s">
        <v>160</v>
      </c>
      <c r="DM104" s="69" t="s">
        <v>160</v>
      </c>
      <c r="DN104" s="69" t="s">
        <v>160</v>
      </c>
      <c r="DO104" s="69" t="s">
        <v>160</v>
      </c>
      <c r="DP104" s="69" t="s">
        <v>160</v>
      </c>
      <c r="DQ104" s="69" t="s">
        <v>160</v>
      </c>
      <c r="DR104" s="69" t="s">
        <v>160</v>
      </c>
      <c r="DS104" s="69" t="s">
        <v>160</v>
      </c>
      <c r="DT104" s="69" t="s">
        <v>160</v>
      </c>
      <c r="DU104" s="69" t="s">
        <v>160</v>
      </c>
      <c r="DV104" s="69" t="s">
        <v>160</v>
      </c>
      <c r="DW104" s="69" t="s">
        <v>160</v>
      </c>
      <c r="DX104" s="69" t="s">
        <v>160</v>
      </c>
      <c r="DY104" s="69" t="s">
        <v>160</v>
      </c>
      <c r="DZ104" s="69" t="s">
        <v>160</v>
      </c>
      <c r="EA104" s="69" t="s">
        <v>160</v>
      </c>
      <c r="EB104" s="69" t="s">
        <v>160</v>
      </c>
      <c r="EC104" s="69" t="s">
        <v>160</v>
      </c>
      <c r="ED104" s="69" t="s">
        <v>160</v>
      </c>
      <c r="EE104" s="69" t="s">
        <v>160</v>
      </c>
      <c r="EF104" s="69" t="s">
        <v>160</v>
      </c>
      <c r="EG104" s="69" t="s">
        <v>160</v>
      </c>
      <c r="EH104" s="69" t="s">
        <v>160</v>
      </c>
      <c r="EI104" s="69" t="s">
        <v>160</v>
      </c>
      <c r="EJ104" s="69" t="s">
        <v>160</v>
      </c>
      <c r="EK104" s="69" t="s">
        <v>160</v>
      </c>
      <c r="EL104" s="69" t="s">
        <v>160</v>
      </c>
      <c r="EM104" s="69" t="s">
        <v>160</v>
      </c>
      <c r="EN104" s="69" t="s">
        <v>160</v>
      </c>
      <c r="EO104" s="69" t="s">
        <v>160</v>
      </c>
      <c r="EP104" s="69" t="s">
        <v>160</v>
      </c>
      <c r="EQ104" s="69" t="s">
        <v>160</v>
      </c>
      <c r="ER104" s="69" t="s">
        <v>160</v>
      </c>
      <c r="ES104" s="69" t="s">
        <v>160</v>
      </c>
      <c r="ET104" s="69" t="s">
        <v>160</v>
      </c>
      <c r="EU104" s="69" t="s">
        <v>160</v>
      </c>
      <c r="EV104" s="69" t="s">
        <v>160</v>
      </c>
      <c r="EW104" s="69" t="s">
        <v>160</v>
      </c>
      <c r="EX104" s="69" t="s">
        <v>160</v>
      </c>
      <c r="EY104" s="69" t="s">
        <v>160</v>
      </c>
      <c r="EZ104" s="69" t="s">
        <v>160</v>
      </c>
      <c r="FA104" s="69" t="s">
        <v>160</v>
      </c>
      <c r="FB104" s="69" t="s">
        <v>160</v>
      </c>
      <c r="FC104" s="69" t="s">
        <v>160</v>
      </c>
      <c r="FD104" s="69" t="s">
        <v>160</v>
      </c>
    </row>
    <row r="105" spans="1:160">
      <c r="A105" s="103" t="s">
        <v>506</v>
      </c>
      <c r="B105" s="20" t="s">
        <v>163</v>
      </c>
      <c r="C105" s="91" t="s">
        <v>171</v>
      </c>
      <c r="G105" s="51" t="str">
        <f t="shared" si="10"/>
        <v>Technical design document explaining the data schema and algorithm</v>
      </c>
      <c r="H105" s="51" t="s">
        <v>2</v>
      </c>
      <c r="I105" s="64">
        <v>45444</v>
      </c>
      <c r="J105" s="64">
        <v>45565</v>
      </c>
      <c r="K105" s="64"/>
      <c r="L105" s="64"/>
      <c r="M105" s="64"/>
      <c r="N105" s="64" t="b">
        <f t="shared" ref="N105:N109" si="15">ISNUMBER(SEARCH("*Waiting*",M105))</f>
        <v>0</v>
      </c>
      <c r="O105" s="64"/>
      <c r="P105" s="24">
        <v>0</v>
      </c>
      <c r="R105" s="51" t="s">
        <v>2</v>
      </c>
      <c r="S105" s="68" t="s">
        <v>160</v>
      </c>
      <c r="T105" s="69" t="s">
        <v>160</v>
      </c>
      <c r="U105" s="69" t="s">
        <v>160</v>
      </c>
      <c r="V105" s="69" t="s">
        <v>160</v>
      </c>
      <c r="W105" s="69" t="s">
        <v>160</v>
      </c>
      <c r="X105" s="69" t="s">
        <v>160</v>
      </c>
      <c r="Y105" s="69" t="s">
        <v>160</v>
      </c>
      <c r="Z105" s="69" t="s">
        <v>160</v>
      </c>
      <c r="AA105" s="69" t="s">
        <v>160</v>
      </c>
      <c r="AB105" s="69" t="s">
        <v>160</v>
      </c>
      <c r="AC105" s="69" t="s">
        <v>160</v>
      </c>
      <c r="AD105" s="69" t="s">
        <v>160</v>
      </c>
      <c r="AE105" s="69" t="s">
        <v>160</v>
      </c>
      <c r="AF105" s="69" t="s">
        <v>160</v>
      </c>
      <c r="AG105" s="69" t="s">
        <v>160</v>
      </c>
      <c r="AH105" s="69" t="s">
        <v>160</v>
      </c>
      <c r="AI105" s="69" t="s">
        <v>160</v>
      </c>
      <c r="AJ105" s="69" t="s">
        <v>160</v>
      </c>
      <c r="AK105" s="69" t="s">
        <v>160</v>
      </c>
      <c r="AL105" s="69" t="s">
        <v>160</v>
      </c>
      <c r="AM105" s="69" t="s">
        <v>160</v>
      </c>
      <c r="AN105" s="69" t="s">
        <v>160</v>
      </c>
      <c r="AO105" s="69" t="s">
        <v>160</v>
      </c>
      <c r="AP105" s="69" t="s">
        <v>160</v>
      </c>
      <c r="AQ105" s="69" t="s">
        <v>160</v>
      </c>
      <c r="AR105" s="69" t="s">
        <v>160</v>
      </c>
      <c r="AS105" s="69" t="s">
        <v>160</v>
      </c>
      <c r="AT105" s="69" t="s">
        <v>160</v>
      </c>
      <c r="AU105" s="69" t="s">
        <v>160</v>
      </c>
      <c r="AV105" s="69" t="s">
        <v>160</v>
      </c>
      <c r="AW105" s="69" t="s">
        <v>160</v>
      </c>
      <c r="AX105" s="69" t="s">
        <v>160</v>
      </c>
      <c r="AY105" s="69" t="s">
        <v>160</v>
      </c>
      <c r="AZ105" s="69" t="s">
        <v>160</v>
      </c>
      <c r="BA105" s="69" t="s">
        <v>160</v>
      </c>
      <c r="BB105" s="69" t="s">
        <v>160</v>
      </c>
      <c r="BC105" s="69" t="s">
        <v>160</v>
      </c>
      <c r="BD105" s="69" t="s">
        <v>160</v>
      </c>
      <c r="BE105" s="69" t="s">
        <v>160</v>
      </c>
      <c r="BF105" s="69" t="s">
        <v>160</v>
      </c>
      <c r="BG105" s="69" t="s">
        <v>160</v>
      </c>
      <c r="BH105" s="69" t="s">
        <v>160</v>
      </c>
      <c r="BI105" s="69" t="s">
        <v>160</v>
      </c>
      <c r="BJ105" s="69" t="s">
        <v>160</v>
      </c>
      <c r="BK105" s="69" t="s">
        <v>160</v>
      </c>
      <c r="BL105" s="69" t="s">
        <v>160</v>
      </c>
      <c r="BM105" s="69" t="s">
        <v>160</v>
      </c>
      <c r="BN105" s="69" t="s">
        <v>160</v>
      </c>
      <c r="BO105" s="69" t="s">
        <v>160</v>
      </c>
      <c r="BP105" s="69" t="s">
        <v>160</v>
      </c>
      <c r="BQ105" s="69" t="s">
        <v>160</v>
      </c>
      <c r="BR105" s="69" t="s">
        <v>160</v>
      </c>
      <c r="BS105" s="69" t="s">
        <v>160</v>
      </c>
      <c r="BT105" s="69" t="s">
        <v>160</v>
      </c>
      <c r="BU105" s="69" t="s">
        <v>160</v>
      </c>
      <c r="BV105" s="69" t="s">
        <v>160</v>
      </c>
      <c r="BW105" s="69" t="s">
        <v>160</v>
      </c>
      <c r="BX105" s="69" t="s">
        <v>160</v>
      </c>
      <c r="BY105" s="69" t="s">
        <v>160</v>
      </c>
      <c r="BZ105" s="69" t="s">
        <v>160</v>
      </c>
      <c r="CA105" s="69" t="s">
        <v>160</v>
      </c>
      <c r="CB105" s="69" t="s">
        <v>160</v>
      </c>
      <c r="CC105" s="69" t="s">
        <v>160</v>
      </c>
      <c r="CD105" s="69" t="s">
        <v>160</v>
      </c>
      <c r="CE105" s="69" t="s">
        <v>160</v>
      </c>
      <c r="CF105" s="69" t="s">
        <v>160</v>
      </c>
      <c r="CG105" s="69" t="s">
        <v>160</v>
      </c>
      <c r="CH105" s="69" t="s">
        <v>160</v>
      </c>
      <c r="CI105" s="69" t="s">
        <v>160</v>
      </c>
      <c r="CJ105" s="69" t="s">
        <v>160</v>
      </c>
      <c r="CK105" s="69" t="s">
        <v>160</v>
      </c>
      <c r="CL105" s="69" t="s">
        <v>160</v>
      </c>
      <c r="CM105" s="69" t="s">
        <v>160</v>
      </c>
      <c r="CN105" s="69" t="s">
        <v>160</v>
      </c>
      <c r="CO105" s="69" t="s">
        <v>160</v>
      </c>
      <c r="CP105" s="69" t="s">
        <v>160</v>
      </c>
      <c r="CQ105" s="69" t="s">
        <v>160</v>
      </c>
      <c r="CR105" s="69" t="s">
        <v>160</v>
      </c>
      <c r="CS105" s="69" t="s">
        <v>160</v>
      </c>
      <c r="CT105" s="69" t="s">
        <v>160</v>
      </c>
      <c r="CU105" s="69" t="s">
        <v>160</v>
      </c>
      <c r="CV105" s="69" t="s">
        <v>160</v>
      </c>
      <c r="CW105" s="69" t="s">
        <v>160</v>
      </c>
      <c r="CX105" s="69" t="s">
        <v>160</v>
      </c>
      <c r="CY105" s="69" t="s">
        <v>160</v>
      </c>
      <c r="CZ105" s="69" t="s">
        <v>160</v>
      </c>
      <c r="DA105" s="69" t="s">
        <v>160</v>
      </c>
      <c r="DB105" s="69" t="s">
        <v>160</v>
      </c>
      <c r="DC105" s="69" t="s">
        <v>160</v>
      </c>
      <c r="DD105" s="69" t="s">
        <v>160</v>
      </c>
      <c r="DE105" s="69" t="s">
        <v>160</v>
      </c>
      <c r="DF105" s="69" t="s">
        <v>160</v>
      </c>
      <c r="DG105" s="69" t="s">
        <v>160</v>
      </c>
      <c r="DH105" s="69" t="s">
        <v>160</v>
      </c>
      <c r="DI105" s="69" t="s">
        <v>160</v>
      </c>
      <c r="DJ105" s="69" t="s">
        <v>160</v>
      </c>
      <c r="DK105" s="69" t="s">
        <v>160</v>
      </c>
      <c r="DL105" s="69" t="s">
        <v>160</v>
      </c>
      <c r="DM105" s="69" t="s">
        <v>160</v>
      </c>
      <c r="DN105" s="69" t="s">
        <v>160</v>
      </c>
      <c r="DO105" s="69" t="s">
        <v>160</v>
      </c>
      <c r="DP105" s="69" t="s">
        <v>160</v>
      </c>
      <c r="DQ105" s="69" t="s">
        <v>160</v>
      </c>
      <c r="DR105" s="69" t="s">
        <v>160</v>
      </c>
      <c r="DS105" s="69" t="s">
        <v>160</v>
      </c>
      <c r="DT105" s="69" t="s">
        <v>160</v>
      </c>
      <c r="DU105" s="69" t="s">
        <v>160</v>
      </c>
      <c r="DV105" s="69" t="s">
        <v>160</v>
      </c>
      <c r="DW105" s="69" t="s">
        <v>160</v>
      </c>
      <c r="DX105" s="69" t="s">
        <v>160</v>
      </c>
      <c r="DY105" s="69" t="s">
        <v>160</v>
      </c>
      <c r="DZ105" s="69" t="s">
        <v>160</v>
      </c>
      <c r="EA105" s="69" t="s">
        <v>160</v>
      </c>
      <c r="EB105" s="69" t="s">
        <v>160</v>
      </c>
      <c r="EC105" s="69" t="s">
        <v>160</v>
      </c>
      <c r="ED105" s="69" t="s">
        <v>160</v>
      </c>
      <c r="EE105" s="69" t="s">
        <v>160</v>
      </c>
      <c r="EF105" s="69" t="s">
        <v>160</v>
      </c>
      <c r="EG105" s="69" t="s">
        <v>160</v>
      </c>
      <c r="EH105" s="69" t="s">
        <v>160</v>
      </c>
      <c r="EI105" s="69" t="s">
        <v>160</v>
      </c>
      <c r="EJ105" s="69" t="s">
        <v>160</v>
      </c>
      <c r="EK105" s="69" t="s">
        <v>160</v>
      </c>
      <c r="EL105" s="69" t="s">
        <v>160</v>
      </c>
      <c r="EM105" s="69" t="s">
        <v>160</v>
      </c>
      <c r="EN105" s="69" t="s">
        <v>160</v>
      </c>
      <c r="EO105" s="69" t="s">
        <v>160</v>
      </c>
      <c r="EP105" s="69" t="s">
        <v>160</v>
      </c>
      <c r="EQ105" s="69" t="s">
        <v>160</v>
      </c>
      <c r="ER105" s="69" t="s">
        <v>160</v>
      </c>
      <c r="ES105" s="69" t="s">
        <v>160</v>
      </c>
      <c r="ET105" s="69" t="s">
        <v>160</v>
      </c>
      <c r="EU105" s="69" t="s">
        <v>160</v>
      </c>
      <c r="EV105" s="69" t="s">
        <v>160</v>
      </c>
      <c r="EW105" s="69" t="s">
        <v>160</v>
      </c>
      <c r="EX105" s="69" t="s">
        <v>160</v>
      </c>
      <c r="EY105" s="69" t="s">
        <v>160</v>
      </c>
      <c r="EZ105" s="69" t="s">
        <v>160</v>
      </c>
      <c r="FA105" s="69" t="s">
        <v>160</v>
      </c>
      <c r="FB105" s="69" t="s">
        <v>160</v>
      </c>
      <c r="FC105" s="69" t="s">
        <v>160</v>
      </c>
      <c r="FD105" s="69" t="s">
        <v>160</v>
      </c>
    </row>
    <row r="106" spans="1:160">
      <c r="A106" s="103" t="s">
        <v>507</v>
      </c>
      <c r="B106" s="20" t="s">
        <v>163</v>
      </c>
      <c r="C106" s="91" t="s">
        <v>172</v>
      </c>
      <c r="G106" s="51" t="str">
        <f t="shared" si="10"/>
        <v>Software Code</v>
      </c>
      <c r="H106" s="51" t="s">
        <v>2</v>
      </c>
      <c r="I106" s="64">
        <v>45444</v>
      </c>
      <c r="J106" s="64">
        <v>45565</v>
      </c>
      <c r="K106" s="64"/>
      <c r="L106" s="64"/>
      <c r="M106" s="64"/>
      <c r="N106" s="64" t="b">
        <f t="shared" si="15"/>
        <v>0</v>
      </c>
      <c r="O106" s="64"/>
      <c r="P106" s="24">
        <v>0</v>
      </c>
      <c r="R106" s="51" t="s">
        <v>2</v>
      </c>
      <c r="S106" s="68" t="s">
        <v>160</v>
      </c>
      <c r="T106" s="69" t="s">
        <v>160</v>
      </c>
      <c r="U106" s="69" t="s">
        <v>160</v>
      </c>
      <c r="V106" s="69" t="s">
        <v>160</v>
      </c>
      <c r="W106" s="69" t="s">
        <v>160</v>
      </c>
      <c r="X106" s="69" t="s">
        <v>160</v>
      </c>
      <c r="Y106" s="69" t="s">
        <v>160</v>
      </c>
      <c r="Z106" s="69" t="s">
        <v>160</v>
      </c>
      <c r="AA106" s="69" t="s">
        <v>160</v>
      </c>
      <c r="AB106" s="69" t="s">
        <v>160</v>
      </c>
      <c r="AC106" s="69" t="s">
        <v>160</v>
      </c>
      <c r="AD106" s="69" t="s">
        <v>160</v>
      </c>
      <c r="AE106" s="69" t="s">
        <v>160</v>
      </c>
      <c r="AF106" s="69" t="s">
        <v>160</v>
      </c>
      <c r="AG106" s="69" t="s">
        <v>160</v>
      </c>
      <c r="AH106" s="69" t="s">
        <v>160</v>
      </c>
      <c r="AI106" s="69" t="s">
        <v>160</v>
      </c>
      <c r="AJ106" s="69" t="s">
        <v>160</v>
      </c>
      <c r="AK106" s="69" t="s">
        <v>160</v>
      </c>
      <c r="AL106" s="69" t="s">
        <v>160</v>
      </c>
      <c r="AM106" s="69" t="s">
        <v>160</v>
      </c>
      <c r="AN106" s="69" t="s">
        <v>160</v>
      </c>
      <c r="AO106" s="69" t="s">
        <v>160</v>
      </c>
      <c r="AP106" s="69" t="s">
        <v>160</v>
      </c>
      <c r="AQ106" s="69" t="s">
        <v>160</v>
      </c>
      <c r="AR106" s="69" t="s">
        <v>160</v>
      </c>
      <c r="AS106" s="69" t="s">
        <v>160</v>
      </c>
      <c r="AT106" s="69" t="s">
        <v>160</v>
      </c>
      <c r="AU106" s="69" t="s">
        <v>160</v>
      </c>
      <c r="AV106" s="69" t="s">
        <v>160</v>
      </c>
      <c r="AW106" s="69" t="s">
        <v>160</v>
      </c>
      <c r="AX106" s="69" t="s">
        <v>160</v>
      </c>
      <c r="AY106" s="69" t="s">
        <v>160</v>
      </c>
      <c r="AZ106" s="69" t="s">
        <v>160</v>
      </c>
      <c r="BA106" s="69" t="s">
        <v>160</v>
      </c>
      <c r="BB106" s="69" t="s">
        <v>160</v>
      </c>
      <c r="BC106" s="69" t="s">
        <v>160</v>
      </c>
      <c r="BD106" s="69" t="s">
        <v>160</v>
      </c>
      <c r="BE106" s="69" t="s">
        <v>160</v>
      </c>
      <c r="BF106" s="69" t="s">
        <v>160</v>
      </c>
      <c r="BG106" s="69" t="s">
        <v>160</v>
      </c>
      <c r="BH106" s="69" t="s">
        <v>160</v>
      </c>
      <c r="BI106" s="69" t="s">
        <v>160</v>
      </c>
      <c r="BJ106" s="69" t="s">
        <v>160</v>
      </c>
      <c r="BK106" s="69" t="s">
        <v>160</v>
      </c>
      <c r="BL106" s="69" t="s">
        <v>160</v>
      </c>
      <c r="BM106" s="69" t="s">
        <v>160</v>
      </c>
      <c r="BN106" s="69" t="s">
        <v>160</v>
      </c>
      <c r="BO106" s="69" t="s">
        <v>160</v>
      </c>
      <c r="BP106" s="69" t="s">
        <v>160</v>
      </c>
      <c r="BQ106" s="69" t="s">
        <v>160</v>
      </c>
      <c r="BR106" s="69" t="s">
        <v>160</v>
      </c>
      <c r="BS106" s="69" t="s">
        <v>160</v>
      </c>
      <c r="BT106" s="69" t="s">
        <v>160</v>
      </c>
      <c r="BU106" s="69" t="s">
        <v>160</v>
      </c>
      <c r="BV106" s="69" t="s">
        <v>160</v>
      </c>
      <c r="BW106" s="69" t="s">
        <v>160</v>
      </c>
      <c r="BX106" s="69" t="s">
        <v>160</v>
      </c>
      <c r="BY106" s="69" t="s">
        <v>160</v>
      </c>
      <c r="BZ106" s="69" t="s">
        <v>160</v>
      </c>
      <c r="CA106" s="69" t="s">
        <v>160</v>
      </c>
      <c r="CB106" s="69" t="s">
        <v>160</v>
      </c>
      <c r="CC106" s="69" t="s">
        <v>160</v>
      </c>
      <c r="CD106" s="69" t="s">
        <v>160</v>
      </c>
      <c r="CE106" s="69" t="s">
        <v>160</v>
      </c>
      <c r="CF106" s="69" t="s">
        <v>160</v>
      </c>
      <c r="CG106" s="69" t="s">
        <v>160</v>
      </c>
      <c r="CH106" s="69" t="s">
        <v>160</v>
      </c>
      <c r="CI106" s="69" t="s">
        <v>160</v>
      </c>
      <c r="CJ106" s="69" t="s">
        <v>160</v>
      </c>
      <c r="CK106" s="69" t="s">
        <v>160</v>
      </c>
      <c r="CL106" s="69" t="s">
        <v>160</v>
      </c>
      <c r="CM106" s="69" t="s">
        <v>160</v>
      </c>
      <c r="CN106" s="69" t="s">
        <v>160</v>
      </c>
      <c r="CO106" s="69" t="s">
        <v>160</v>
      </c>
      <c r="CP106" s="69" t="s">
        <v>160</v>
      </c>
      <c r="CQ106" s="69" t="s">
        <v>160</v>
      </c>
      <c r="CR106" s="69" t="s">
        <v>160</v>
      </c>
      <c r="CS106" s="69" t="s">
        <v>160</v>
      </c>
      <c r="CT106" s="69" t="s">
        <v>160</v>
      </c>
      <c r="CU106" s="69" t="s">
        <v>160</v>
      </c>
      <c r="CV106" s="69" t="s">
        <v>160</v>
      </c>
      <c r="CW106" s="69" t="s">
        <v>160</v>
      </c>
      <c r="CX106" s="69" t="s">
        <v>160</v>
      </c>
      <c r="CY106" s="69" t="s">
        <v>160</v>
      </c>
      <c r="CZ106" s="69" t="s">
        <v>160</v>
      </c>
      <c r="DA106" s="69" t="s">
        <v>160</v>
      </c>
      <c r="DB106" s="69" t="s">
        <v>160</v>
      </c>
      <c r="DC106" s="69" t="s">
        <v>160</v>
      </c>
      <c r="DD106" s="69" t="s">
        <v>160</v>
      </c>
      <c r="DE106" s="69" t="s">
        <v>160</v>
      </c>
      <c r="DF106" s="69" t="s">
        <v>160</v>
      </c>
      <c r="DG106" s="69" t="s">
        <v>160</v>
      </c>
      <c r="DH106" s="69" t="s">
        <v>160</v>
      </c>
      <c r="DI106" s="69" t="s">
        <v>160</v>
      </c>
      <c r="DJ106" s="69" t="s">
        <v>160</v>
      </c>
      <c r="DK106" s="69" t="s">
        <v>160</v>
      </c>
      <c r="DL106" s="69" t="s">
        <v>160</v>
      </c>
      <c r="DM106" s="69" t="s">
        <v>160</v>
      </c>
      <c r="DN106" s="69" t="s">
        <v>160</v>
      </c>
      <c r="DO106" s="69" t="s">
        <v>160</v>
      </c>
      <c r="DP106" s="69" t="s">
        <v>160</v>
      </c>
      <c r="DQ106" s="69" t="s">
        <v>160</v>
      </c>
      <c r="DR106" s="69" t="s">
        <v>160</v>
      </c>
      <c r="DS106" s="69" t="s">
        <v>160</v>
      </c>
      <c r="DT106" s="69" t="s">
        <v>160</v>
      </c>
      <c r="DU106" s="69" t="s">
        <v>160</v>
      </c>
      <c r="DV106" s="69" t="s">
        <v>160</v>
      </c>
      <c r="DW106" s="69" t="s">
        <v>160</v>
      </c>
      <c r="DX106" s="69" t="s">
        <v>160</v>
      </c>
      <c r="DY106" s="69" t="s">
        <v>160</v>
      </c>
      <c r="DZ106" s="69" t="s">
        <v>160</v>
      </c>
      <c r="EA106" s="69" t="s">
        <v>160</v>
      </c>
      <c r="EB106" s="69" t="s">
        <v>160</v>
      </c>
      <c r="EC106" s="69" t="s">
        <v>160</v>
      </c>
      <c r="ED106" s="69" t="s">
        <v>160</v>
      </c>
      <c r="EE106" s="69" t="s">
        <v>160</v>
      </c>
      <c r="EF106" s="69" t="s">
        <v>160</v>
      </c>
      <c r="EG106" s="69" t="s">
        <v>160</v>
      </c>
      <c r="EH106" s="69" t="s">
        <v>160</v>
      </c>
      <c r="EI106" s="69" t="s">
        <v>160</v>
      </c>
      <c r="EJ106" s="69" t="s">
        <v>160</v>
      </c>
      <c r="EK106" s="69" t="s">
        <v>160</v>
      </c>
      <c r="EL106" s="69" t="s">
        <v>160</v>
      </c>
      <c r="EM106" s="69" t="s">
        <v>160</v>
      </c>
      <c r="EN106" s="69" t="s">
        <v>160</v>
      </c>
      <c r="EO106" s="69" t="s">
        <v>160</v>
      </c>
      <c r="EP106" s="69" t="s">
        <v>160</v>
      </c>
      <c r="EQ106" s="69" t="s">
        <v>160</v>
      </c>
      <c r="ER106" s="69" t="s">
        <v>160</v>
      </c>
      <c r="ES106" s="69" t="s">
        <v>160</v>
      </c>
      <c r="ET106" s="69" t="s">
        <v>160</v>
      </c>
      <c r="EU106" s="69" t="s">
        <v>160</v>
      </c>
      <c r="EV106" s="69" t="s">
        <v>160</v>
      </c>
      <c r="EW106" s="69" t="s">
        <v>160</v>
      </c>
      <c r="EX106" s="69" t="s">
        <v>160</v>
      </c>
      <c r="EY106" s="69" t="s">
        <v>160</v>
      </c>
      <c r="EZ106" s="69" t="s">
        <v>160</v>
      </c>
      <c r="FA106" s="69" t="s">
        <v>160</v>
      </c>
      <c r="FB106" s="69" t="s">
        <v>160</v>
      </c>
      <c r="FC106" s="69" t="s">
        <v>160</v>
      </c>
      <c r="FD106" s="69" t="s">
        <v>160</v>
      </c>
    </row>
    <row r="107" spans="1:160">
      <c r="A107" s="103" t="s">
        <v>508</v>
      </c>
      <c r="B107" s="20" t="s">
        <v>163</v>
      </c>
      <c r="C107" s="91" t="s">
        <v>173</v>
      </c>
      <c r="G107" s="51" t="str">
        <f t="shared" si="10"/>
        <v>Deployment Procedure of the code</v>
      </c>
      <c r="H107" s="51" t="s">
        <v>2</v>
      </c>
      <c r="I107" s="64">
        <v>45444</v>
      </c>
      <c r="J107" s="64">
        <v>45565</v>
      </c>
      <c r="K107" s="64"/>
      <c r="L107" s="64"/>
      <c r="M107" s="64"/>
      <c r="N107" s="64" t="b">
        <f t="shared" si="15"/>
        <v>0</v>
      </c>
      <c r="O107" s="64"/>
      <c r="P107" s="24">
        <v>0</v>
      </c>
      <c r="R107" s="51" t="s">
        <v>2</v>
      </c>
      <c r="S107" s="68" t="s">
        <v>160</v>
      </c>
      <c r="T107" s="69" t="s">
        <v>160</v>
      </c>
      <c r="U107" s="69" t="s">
        <v>160</v>
      </c>
      <c r="V107" s="69" t="s">
        <v>160</v>
      </c>
      <c r="W107" s="69" t="s">
        <v>160</v>
      </c>
      <c r="X107" s="69" t="s">
        <v>160</v>
      </c>
      <c r="Y107" s="69" t="s">
        <v>160</v>
      </c>
      <c r="Z107" s="69" t="s">
        <v>160</v>
      </c>
      <c r="AA107" s="69" t="s">
        <v>160</v>
      </c>
      <c r="AB107" s="69" t="s">
        <v>160</v>
      </c>
      <c r="AC107" s="69" t="s">
        <v>160</v>
      </c>
      <c r="AD107" s="69" t="s">
        <v>160</v>
      </c>
      <c r="AE107" s="69" t="s">
        <v>160</v>
      </c>
      <c r="AF107" s="69" t="s">
        <v>160</v>
      </c>
      <c r="AG107" s="69" t="s">
        <v>160</v>
      </c>
      <c r="AH107" s="69" t="s">
        <v>160</v>
      </c>
      <c r="AI107" s="69" t="s">
        <v>160</v>
      </c>
      <c r="AJ107" s="69" t="s">
        <v>160</v>
      </c>
      <c r="AK107" s="69" t="s">
        <v>160</v>
      </c>
      <c r="AL107" s="69" t="s">
        <v>160</v>
      </c>
      <c r="AM107" s="69" t="s">
        <v>160</v>
      </c>
      <c r="AN107" s="69" t="s">
        <v>160</v>
      </c>
      <c r="AO107" s="69" t="s">
        <v>160</v>
      </c>
      <c r="AP107" s="69" t="s">
        <v>160</v>
      </c>
      <c r="AQ107" s="69" t="s">
        <v>160</v>
      </c>
      <c r="AR107" s="69" t="s">
        <v>160</v>
      </c>
      <c r="AS107" s="69" t="s">
        <v>160</v>
      </c>
      <c r="AT107" s="69" t="s">
        <v>160</v>
      </c>
      <c r="AU107" s="69" t="s">
        <v>160</v>
      </c>
      <c r="AV107" s="69" t="s">
        <v>160</v>
      </c>
      <c r="AW107" s="69" t="s">
        <v>160</v>
      </c>
      <c r="AX107" s="69" t="s">
        <v>160</v>
      </c>
      <c r="AY107" s="69" t="s">
        <v>160</v>
      </c>
      <c r="AZ107" s="69" t="s">
        <v>160</v>
      </c>
      <c r="BA107" s="69" t="s">
        <v>160</v>
      </c>
      <c r="BB107" s="69" t="s">
        <v>160</v>
      </c>
      <c r="BC107" s="69" t="s">
        <v>160</v>
      </c>
      <c r="BD107" s="69" t="s">
        <v>160</v>
      </c>
      <c r="BE107" s="69" t="s">
        <v>160</v>
      </c>
      <c r="BF107" s="69" t="s">
        <v>160</v>
      </c>
      <c r="BG107" s="69" t="s">
        <v>160</v>
      </c>
      <c r="BH107" s="69" t="s">
        <v>160</v>
      </c>
      <c r="BI107" s="69" t="s">
        <v>160</v>
      </c>
      <c r="BJ107" s="69" t="s">
        <v>160</v>
      </c>
      <c r="BK107" s="69" t="s">
        <v>160</v>
      </c>
      <c r="BL107" s="69" t="s">
        <v>160</v>
      </c>
      <c r="BM107" s="69" t="s">
        <v>160</v>
      </c>
      <c r="BN107" s="69" t="s">
        <v>160</v>
      </c>
      <c r="BO107" s="69" t="s">
        <v>160</v>
      </c>
      <c r="BP107" s="69" t="s">
        <v>160</v>
      </c>
      <c r="BQ107" s="69" t="s">
        <v>160</v>
      </c>
      <c r="BR107" s="69" t="s">
        <v>160</v>
      </c>
      <c r="BS107" s="69" t="s">
        <v>160</v>
      </c>
      <c r="BT107" s="69" t="s">
        <v>160</v>
      </c>
      <c r="BU107" s="69" t="s">
        <v>160</v>
      </c>
      <c r="BV107" s="69" t="s">
        <v>160</v>
      </c>
      <c r="BW107" s="69" t="s">
        <v>160</v>
      </c>
      <c r="BX107" s="69" t="s">
        <v>160</v>
      </c>
      <c r="BY107" s="69" t="s">
        <v>160</v>
      </c>
      <c r="BZ107" s="69" t="s">
        <v>160</v>
      </c>
      <c r="CA107" s="69" t="s">
        <v>160</v>
      </c>
      <c r="CB107" s="69" t="s">
        <v>160</v>
      </c>
      <c r="CC107" s="69" t="s">
        <v>160</v>
      </c>
      <c r="CD107" s="69" t="s">
        <v>160</v>
      </c>
      <c r="CE107" s="69" t="s">
        <v>160</v>
      </c>
      <c r="CF107" s="69" t="s">
        <v>160</v>
      </c>
      <c r="CG107" s="69" t="s">
        <v>160</v>
      </c>
      <c r="CH107" s="69" t="s">
        <v>160</v>
      </c>
      <c r="CI107" s="69" t="s">
        <v>160</v>
      </c>
      <c r="CJ107" s="69" t="s">
        <v>160</v>
      </c>
      <c r="CK107" s="69" t="s">
        <v>160</v>
      </c>
      <c r="CL107" s="69" t="s">
        <v>160</v>
      </c>
      <c r="CM107" s="69" t="s">
        <v>160</v>
      </c>
      <c r="CN107" s="69" t="s">
        <v>160</v>
      </c>
      <c r="CO107" s="69" t="s">
        <v>160</v>
      </c>
      <c r="CP107" s="69" t="s">
        <v>160</v>
      </c>
      <c r="CQ107" s="69" t="s">
        <v>160</v>
      </c>
      <c r="CR107" s="69" t="s">
        <v>160</v>
      </c>
      <c r="CS107" s="69" t="s">
        <v>160</v>
      </c>
      <c r="CT107" s="69" t="s">
        <v>160</v>
      </c>
      <c r="CU107" s="69" t="s">
        <v>160</v>
      </c>
      <c r="CV107" s="69" t="s">
        <v>160</v>
      </c>
      <c r="CW107" s="69" t="s">
        <v>160</v>
      </c>
      <c r="CX107" s="69" t="s">
        <v>160</v>
      </c>
      <c r="CY107" s="69" t="s">
        <v>160</v>
      </c>
      <c r="CZ107" s="69" t="s">
        <v>160</v>
      </c>
      <c r="DA107" s="69" t="s">
        <v>160</v>
      </c>
      <c r="DB107" s="69" t="s">
        <v>160</v>
      </c>
      <c r="DC107" s="69" t="s">
        <v>160</v>
      </c>
      <c r="DD107" s="69" t="s">
        <v>160</v>
      </c>
      <c r="DE107" s="69" t="s">
        <v>160</v>
      </c>
      <c r="DF107" s="69" t="s">
        <v>160</v>
      </c>
      <c r="DG107" s="69" t="s">
        <v>160</v>
      </c>
      <c r="DH107" s="69" t="s">
        <v>160</v>
      </c>
      <c r="DI107" s="69" t="s">
        <v>160</v>
      </c>
      <c r="DJ107" s="69" t="s">
        <v>160</v>
      </c>
      <c r="DK107" s="69" t="s">
        <v>160</v>
      </c>
      <c r="DL107" s="69" t="s">
        <v>160</v>
      </c>
      <c r="DM107" s="69" t="s">
        <v>160</v>
      </c>
      <c r="DN107" s="69" t="s">
        <v>160</v>
      </c>
      <c r="DO107" s="69" t="s">
        <v>160</v>
      </c>
      <c r="DP107" s="69" t="s">
        <v>160</v>
      </c>
      <c r="DQ107" s="69" t="s">
        <v>160</v>
      </c>
      <c r="DR107" s="69" t="s">
        <v>160</v>
      </c>
      <c r="DS107" s="69" t="s">
        <v>160</v>
      </c>
      <c r="DT107" s="69" t="s">
        <v>160</v>
      </c>
      <c r="DU107" s="69" t="s">
        <v>160</v>
      </c>
      <c r="DV107" s="69" t="s">
        <v>160</v>
      </c>
      <c r="DW107" s="69" t="s">
        <v>160</v>
      </c>
      <c r="DX107" s="69" t="s">
        <v>160</v>
      </c>
      <c r="DY107" s="69" t="s">
        <v>160</v>
      </c>
      <c r="DZ107" s="69" t="s">
        <v>160</v>
      </c>
      <c r="EA107" s="69" t="s">
        <v>160</v>
      </c>
      <c r="EB107" s="69" t="s">
        <v>160</v>
      </c>
      <c r="EC107" s="69" t="s">
        <v>160</v>
      </c>
      <c r="ED107" s="69" t="s">
        <v>160</v>
      </c>
      <c r="EE107" s="69" t="s">
        <v>160</v>
      </c>
      <c r="EF107" s="69" t="s">
        <v>160</v>
      </c>
      <c r="EG107" s="69" t="s">
        <v>160</v>
      </c>
      <c r="EH107" s="69" t="s">
        <v>160</v>
      </c>
      <c r="EI107" s="69" t="s">
        <v>160</v>
      </c>
      <c r="EJ107" s="69" t="s">
        <v>160</v>
      </c>
      <c r="EK107" s="69" t="s">
        <v>160</v>
      </c>
      <c r="EL107" s="69" t="s">
        <v>160</v>
      </c>
      <c r="EM107" s="69" t="s">
        <v>160</v>
      </c>
      <c r="EN107" s="69" t="s">
        <v>160</v>
      </c>
      <c r="EO107" s="69" t="s">
        <v>160</v>
      </c>
      <c r="EP107" s="69" t="s">
        <v>160</v>
      </c>
      <c r="EQ107" s="69" t="s">
        <v>160</v>
      </c>
      <c r="ER107" s="69" t="s">
        <v>160</v>
      </c>
      <c r="ES107" s="69" t="s">
        <v>160</v>
      </c>
      <c r="ET107" s="69" t="s">
        <v>160</v>
      </c>
      <c r="EU107" s="69" t="s">
        <v>160</v>
      </c>
      <c r="EV107" s="69" t="s">
        <v>160</v>
      </c>
      <c r="EW107" s="69" t="s">
        <v>160</v>
      </c>
      <c r="EX107" s="69" t="s">
        <v>160</v>
      </c>
      <c r="EY107" s="69" t="s">
        <v>160</v>
      </c>
      <c r="EZ107" s="69" t="s">
        <v>160</v>
      </c>
      <c r="FA107" s="69" t="s">
        <v>160</v>
      </c>
      <c r="FB107" s="69" t="s">
        <v>160</v>
      </c>
      <c r="FC107" s="69" t="s">
        <v>160</v>
      </c>
      <c r="FD107" s="69" t="s">
        <v>160</v>
      </c>
    </row>
    <row r="108" spans="1:160">
      <c r="A108" s="103" t="s">
        <v>509</v>
      </c>
      <c r="B108" s="20" t="s">
        <v>163</v>
      </c>
      <c r="C108" s="91" t="s">
        <v>175</v>
      </c>
      <c r="G108" s="51" t="str">
        <f t="shared" si="10"/>
        <v>Product usage guide with examples for all the functional usecases</v>
      </c>
      <c r="H108" s="51" t="s">
        <v>2</v>
      </c>
      <c r="I108" s="64">
        <v>45444</v>
      </c>
      <c r="J108" s="64">
        <v>45565</v>
      </c>
      <c r="K108" s="64"/>
      <c r="L108" s="64"/>
      <c r="M108" s="64"/>
      <c r="N108" s="64" t="b">
        <f t="shared" si="15"/>
        <v>0</v>
      </c>
      <c r="O108" s="64"/>
      <c r="P108" s="24">
        <v>0</v>
      </c>
      <c r="R108" s="51" t="s">
        <v>2</v>
      </c>
      <c r="S108" s="68" t="s">
        <v>160</v>
      </c>
      <c r="T108" s="69" t="s">
        <v>160</v>
      </c>
      <c r="U108" s="69" t="s">
        <v>160</v>
      </c>
      <c r="V108" s="69" t="s">
        <v>160</v>
      </c>
      <c r="W108" s="69" t="s">
        <v>160</v>
      </c>
      <c r="X108" s="69" t="s">
        <v>160</v>
      </c>
      <c r="Y108" s="69" t="s">
        <v>160</v>
      </c>
      <c r="Z108" s="69" t="s">
        <v>160</v>
      </c>
      <c r="AA108" s="69" t="s">
        <v>160</v>
      </c>
      <c r="AB108" s="69" t="s">
        <v>160</v>
      </c>
      <c r="AC108" s="69" t="s">
        <v>160</v>
      </c>
      <c r="AD108" s="69" t="s">
        <v>160</v>
      </c>
      <c r="AE108" s="69" t="s">
        <v>160</v>
      </c>
      <c r="AF108" s="69" t="s">
        <v>160</v>
      </c>
      <c r="AG108" s="69" t="s">
        <v>160</v>
      </c>
      <c r="AH108" s="69" t="s">
        <v>160</v>
      </c>
      <c r="AI108" s="69" t="s">
        <v>160</v>
      </c>
      <c r="AJ108" s="69" t="s">
        <v>160</v>
      </c>
      <c r="AK108" s="69" t="s">
        <v>160</v>
      </c>
      <c r="AL108" s="69" t="s">
        <v>160</v>
      </c>
      <c r="AM108" s="69" t="s">
        <v>160</v>
      </c>
      <c r="AN108" s="69" t="s">
        <v>160</v>
      </c>
      <c r="AO108" s="69" t="s">
        <v>160</v>
      </c>
      <c r="AP108" s="69" t="s">
        <v>160</v>
      </c>
      <c r="AQ108" s="69" t="s">
        <v>160</v>
      </c>
      <c r="AR108" s="69" t="s">
        <v>160</v>
      </c>
      <c r="AS108" s="69" t="s">
        <v>160</v>
      </c>
      <c r="AT108" s="69" t="s">
        <v>160</v>
      </c>
      <c r="AU108" s="69" t="s">
        <v>160</v>
      </c>
      <c r="AV108" s="69" t="s">
        <v>160</v>
      </c>
      <c r="AW108" s="69" t="s">
        <v>160</v>
      </c>
      <c r="AX108" s="69" t="s">
        <v>160</v>
      </c>
      <c r="AY108" s="69" t="s">
        <v>160</v>
      </c>
      <c r="AZ108" s="69" t="s">
        <v>160</v>
      </c>
      <c r="BA108" s="69" t="s">
        <v>160</v>
      </c>
      <c r="BB108" s="69" t="s">
        <v>160</v>
      </c>
      <c r="BC108" s="69" t="s">
        <v>160</v>
      </c>
      <c r="BD108" s="69" t="s">
        <v>160</v>
      </c>
      <c r="BE108" s="69" t="s">
        <v>160</v>
      </c>
      <c r="BF108" s="69" t="s">
        <v>160</v>
      </c>
      <c r="BG108" s="69" t="s">
        <v>160</v>
      </c>
      <c r="BH108" s="69" t="s">
        <v>160</v>
      </c>
      <c r="BI108" s="69" t="s">
        <v>160</v>
      </c>
      <c r="BJ108" s="69" t="s">
        <v>160</v>
      </c>
      <c r="BK108" s="69" t="s">
        <v>160</v>
      </c>
      <c r="BL108" s="69" t="s">
        <v>160</v>
      </c>
      <c r="BM108" s="69" t="s">
        <v>160</v>
      </c>
      <c r="BN108" s="69" t="s">
        <v>160</v>
      </c>
      <c r="BO108" s="69" t="s">
        <v>160</v>
      </c>
      <c r="BP108" s="69" t="s">
        <v>160</v>
      </c>
      <c r="BQ108" s="69" t="s">
        <v>160</v>
      </c>
      <c r="BR108" s="69" t="s">
        <v>160</v>
      </c>
      <c r="BS108" s="69" t="s">
        <v>160</v>
      </c>
      <c r="BT108" s="69" t="s">
        <v>160</v>
      </c>
      <c r="BU108" s="69" t="s">
        <v>160</v>
      </c>
      <c r="BV108" s="69" t="s">
        <v>160</v>
      </c>
      <c r="BW108" s="69" t="s">
        <v>160</v>
      </c>
      <c r="BX108" s="69" t="s">
        <v>160</v>
      </c>
      <c r="BY108" s="69" t="s">
        <v>160</v>
      </c>
      <c r="BZ108" s="69" t="s">
        <v>160</v>
      </c>
      <c r="CA108" s="69" t="s">
        <v>160</v>
      </c>
      <c r="CB108" s="69" t="s">
        <v>160</v>
      </c>
      <c r="CC108" s="69" t="s">
        <v>160</v>
      </c>
      <c r="CD108" s="69" t="s">
        <v>160</v>
      </c>
      <c r="CE108" s="69" t="s">
        <v>160</v>
      </c>
      <c r="CF108" s="69" t="s">
        <v>160</v>
      </c>
      <c r="CG108" s="69" t="s">
        <v>160</v>
      </c>
      <c r="CH108" s="69" t="s">
        <v>160</v>
      </c>
      <c r="CI108" s="69" t="s">
        <v>160</v>
      </c>
      <c r="CJ108" s="69" t="s">
        <v>160</v>
      </c>
      <c r="CK108" s="69" t="s">
        <v>160</v>
      </c>
      <c r="CL108" s="69" t="s">
        <v>160</v>
      </c>
      <c r="CM108" s="69" t="s">
        <v>160</v>
      </c>
      <c r="CN108" s="69" t="s">
        <v>160</v>
      </c>
      <c r="CO108" s="69" t="s">
        <v>160</v>
      </c>
      <c r="CP108" s="69" t="s">
        <v>160</v>
      </c>
      <c r="CQ108" s="69" t="s">
        <v>160</v>
      </c>
      <c r="CR108" s="69" t="s">
        <v>160</v>
      </c>
      <c r="CS108" s="69" t="s">
        <v>160</v>
      </c>
      <c r="CT108" s="69" t="s">
        <v>160</v>
      </c>
      <c r="CU108" s="69" t="s">
        <v>160</v>
      </c>
      <c r="CV108" s="69" t="s">
        <v>160</v>
      </c>
      <c r="CW108" s="69" t="s">
        <v>160</v>
      </c>
      <c r="CX108" s="69" t="s">
        <v>160</v>
      </c>
      <c r="CY108" s="69" t="s">
        <v>160</v>
      </c>
      <c r="CZ108" s="69" t="s">
        <v>160</v>
      </c>
      <c r="DA108" s="69" t="s">
        <v>160</v>
      </c>
      <c r="DB108" s="69" t="s">
        <v>160</v>
      </c>
      <c r="DC108" s="69" t="s">
        <v>160</v>
      </c>
      <c r="DD108" s="69" t="s">
        <v>160</v>
      </c>
      <c r="DE108" s="69" t="s">
        <v>160</v>
      </c>
      <c r="DF108" s="69" t="s">
        <v>160</v>
      </c>
      <c r="DG108" s="69" t="s">
        <v>160</v>
      </c>
      <c r="DH108" s="69" t="s">
        <v>160</v>
      </c>
      <c r="DI108" s="69" t="s">
        <v>160</v>
      </c>
      <c r="DJ108" s="69" t="s">
        <v>160</v>
      </c>
      <c r="DK108" s="69" t="s">
        <v>160</v>
      </c>
      <c r="DL108" s="69" t="s">
        <v>160</v>
      </c>
      <c r="DM108" s="69" t="s">
        <v>160</v>
      </c>
      <c r="DN108" s="69" t="s">
        <v>160</v>
      </c>
      <c r="DO108" s="69" t="s">
        <v>160</v>
      </c>
      <c r="DP108" s="69" t="s">
        <v>160</v>
      </c>
      <c r="DQ108" s="69" t="s">
        <v>160</v>
      </c>
      <c r="DR108" s="69" t="s">
        <v>160</v>
      </c>
      <c r="DS108" s="69" t="s">
        <v>160</v>
      </c>
      <c r="DT108" s="69" t="s">
        <v>160</v>
      </c>
      <c r="DU108" s="69" t="s">
        <v>160</v>
      </c>
      <c r="DV108" s="69" t="s">
        <v>160</v>
      </c>
      <c r="DW108" s="69" t="s">
        <v>160</v>
      </c>
      <c r="DX108" s="69" t="s">
        <v>160</v>
      </c>
      <c r="DY108" s="69" t="s">
        <v>160</v>
      </c>
      <c r="DZ108" s="69" t="s">
        <v>160</v>
      </c>
      <c r="EA108" s="69" t="s">
        <v>160</v>
      </c>
      <c r="EB108" s="69" t="s">
        <v>160</v>
      </c>
      <c r="EC108" s="69" t="s">
        <v>160</v>
      </c>
      <c r="ED108" s="69" t="s">
        <v>160</v>
      </c>
      <c r="EE108" s="69" t="s">
        <v>160</v>
      </c>
      <c r="EF108" s="69" t="s">
        <v>160</v>
      </c>
      <c r="EG108" s="69" t="s">
        <v>160</v>
      </c>
      <c r="EH108" s="69" t="s">
        <v>160</v>
      </c>
      <c r="EI108" s="69" t="s">
        <v>160</v>
      </c>
      <c r="EJ108" s="69" t="s">
        <v>160</v>
      </c>
      <c r="EK108" s="69" t="s">
        <v>160</v>
      </c>
      <c r="EL108" s="69" t="s">
        <v>160</v>
      </c>
      <c r="EM108" s="69" t="s">
        <v>160</v>
      </c>
      <c r="EN108" s="69" t="s">
        <v>160</v>
      </c>
      <c r="EO108" s="69" t="s">
        <v>160</v>
      </c>
      <c r="EP108" s="69" t="s">
        <v>160</v>
      </c>
      <c r="EQ108" s="69" t="s">
        <v>160</v>
      </c>
      <c r="ER108" s="69" t="s">
        <v>160</v>
      </c>
      <c r="ES108" s="69" t="s">
        <v>160</v>
      </c>
      <c r="ET108" s="69" t="s">
        <v>160</v>
      </c>
      <c r="EU108" s="69" t="s">
        <v>160</v>
      </c>
      <c r="EV108" s="69" t="s">
        <v>160</v>
      </c>
      <c r="EW108" s="69" t="s">
        <v>160</v>
      </c>
      <c r="EX108" s="69" t="s">
        <v>160</v>
      </c>
      <c r="EY108" s="69" t="s">
        <v>160</v>
      </c>
      <c r="EZ108" s="69" t="s">
        <v>160</v>
      </c>
      <c r="FA108" s="69" t="s">
        <v>160</v>
      </c>
      <c r="FB108" s="69" t="s">
        <v>160</v>
      </c>
      <c r="FC108" s="69" t="s">
        <v>160</v>
      </c>
      <c r="FD108" s="69" t="s">
        <v>160</v>
      </c>
    </row>
    <row r="109" spans="1:160" s="71" customFormat="1" ht="18.5" thickBot="1">
      <c r="A109" s="104" t="s">
        <v>503</v>
      </c>
      <c r="B109" s="105" t="s">
        <v>163</v>
      </c>
      <c r="C109" s="92" t="s">
        <v>176</v>
      </c>
      <c r="G109" s="71" t="str">
        <f t="shared" si="10"/>
        <v xml:space="preserve">Test report </v>
      </c>
      <c r="H109" s="71" t="s">
        <v>2</v>
      </c>
      <c r="I109" s="72">
        <v>45444</v>
      </c>
      <c r="J109" s="72">
        <v>45565</v>
      </c>
      <c r="K109" s="72"/>
      <c r="L109" s="72"/>
      <c r="M109" s="72"/>
      <c r="N109" s="72" t="b">
        <f t="shared" si="15"/>
        <v>0</v>
      </c>
      <c r="O109" s="72"/>
      <c r="P109" s="89">
        <v>0</v>
      </c>
      <c r="Q109" s="89"/>
      <c r="R109" s="71" t="s">
        <v>2</v>
      </c>
      <c r="S109" s="74" t="s">
        <v>160</v>
      </c>
      <c r="T109" s="75" t="s">
        <v>160</v>
      </c>
      <c r="U109" s="75" t="s">
        <v>160</v>
      </c>
      <c r="V109" s="75" t="s">
        <v>160</v>
      </c>
      <c r="W109" s="75" t="s">
        <v>160</v>
      </c>
      <c r="X109" s="75" t="s">
        <v>160</v>
      </c>
      <c r="Y109" s="75" t="s">
        <v>160</v>
      </c>
      <c r="Z109" s="75" t="s">
        <v>160</v>
      </c>
      <c r="AA109" s="75" t="s">
        <v>160</v>
      </c>
      <c r="AB109" s="75" t="s">
        <v>160</v>
      </c>
      <c r="AC109" s="75" t="s">
        <v>160</v>
      </c>
      <c r="AD109" s="75" t="s">
        <v>160</v>
      </c>
      <c r="AE109" s="75" t="s">
        <v>160</v>
      </c>
      <c r="AF109" s="75" t="s">
        <v>160</v>
      </c>
      <c r="AG109" s="75" t="s">
        <v>160</v>
      </c>
      <c r="AH109" s="75" t="s">
        <v>160</v>
      </c>
      <c r="AI109" s="75" t="s">
        <v>160</v>
      </c>
      <c r="AJ109" s="75" t="s">
        <v>160</v>
      </c>
      <c r="AK109" s="75" t="s">
        <v>160</v>
      </c>
      <c r="AL109" s="75" t="s">
        <v>160</v>
      </c>
      <c r="AM109" s="75" t="s">
        <v>160</v>
      </c>
      <c r="AN109" s="75" t="s">
        <v>160</v>
      </c>
      <c r="AO109" s="75" t="s">
        <v>160</v>
      </c>
      <c r="AP109" s="75" t="s">
        <v>160</v>
      </c>
      <c r="AQ109" s="75" t="s">
        <v>160</v>
      </c>
      <c r="AR109" s="75" t="s">
        <v>160</v>
      </c>
      <c r="AS109" s="75" t="s">
        <v>160</v>
      </c>
      <c r="AT109" s="75" t="s">
        <v>160</v>
      </c>
      <c r="AU109" s="75" t="s">
        <v>160</v>
      </c>
      <c r="AV109" s="75" t="s">
        <v>160</v>
      </c>
      <c r="AW109" s="75" t="s">
        <v>160</v>
      </c>
      <c r="AX109" s="75" t="s">
        <v>160</v>
      </c>
      <c r="AY109" s="75" t="s">
        <v>160</v>
      </c>
      <c r="AZ109" s="75" t="s">
        <v>160</v>
      </c>
      <c r="BA109" s="75" t="s">
        <v>160</v>
      </c>
      <c r="BB109" s="75" t="s">
        <v>160</v>
      </c>
      <c r="BC109" s="75" t="s">
        <v>160</v>
      </c>
      <c r="BD109" s="75" t="s">
        <v>160</v>
      </c>
      <c r="BE109" s="75" t="s">
        <v>160</v>
      </c>
      <c r="BF109" s="75" t="s">
        <v>160</v>
      </c>
      <c r="BG109" s="75" t="s">
        <v>160</v>
      </c>
      <c r="BH109" s="75" t="s">
        <v>160</v>
      </c>
      <c r="BI109" s="75" t="s">
        <v>160</v>
      </c>
      <c r="BJ109" s="75" t="s">
        <v>160</v>
      </c>
      <c r="BK109" s="75" t="s">
        <v>160</v>
      </c>
      <c r="BL109" s="75" t="s">
        <v>160</v>
      </c>
      <c r="BM109" s="75" t="s">
        <v>160</v>
      </c>
      <c r="BN109" s="75" t="s">
        <v>160</v>
      </c>
      <c r="BO109" s="75" t="s">
        <v>160</v>
      </c>
      <c r="BP109" s="75" t="s">
        <v>160</v>
      </c>
      <c r="BQ109" s="75" t="s">
        <v>160</v>
      </c>
      <c r="BR109" s="75" t="s">
        <v>160</v>
      </c>
      <c r="BS109" s="75" t="s">
        <v>160</v>
      </c>
      <c r="BT109" s="75" t="s">
        <v>160</v>
      </c>
      <c r="BU109" s="75" t="s">
        <v>160</v>
      </c>
      <c r="BV109" s="75" t="s">
        <v>160</v>
      </c>
      <c r="BW109" s="75" t="s">
        <v>160</v>
      </c>
      <c r="BX109" s="75" t="s">
        <v>160</v>
      </c>
      <c r="BY109" s="75" t="s">
        <v>160</v>
      </c>
      <c r="BZ109" s="75" t="s">
        <v>160</v>
      </c>
      <c r="CA109" s="75" t="s">
        <v>160</v>
      </c>
      <c r="CB109" s="75" t="s">
        <v>160</v>
      </c>
      <c r="CC109" s="75" t="s">
        <v>160</v>
      </c>
      <c r="CD109" s="75" t="s">
        <v>160</v>
      </c>
      <c r="CE109" s="75" t="s">
        <v>160</v>
      </c>
      <c r="CF109" s="75" t="s">
        <v>160</v>
      </c>
      <c r="CG109" s="75" t="s">
        <v>160</v>
      </c>
      <c r="CH109" s="75" t="s">
        <v>160</v>
      </c>
      <c r="CI109" s="75" t="s">
        <v>160</v>
      </c>
      <c r="CJ109" s="75" t="s">
        <v>160</v>
      </c>
      <c r="CK109" s="75" t="s">
        <v>160</v>
      </c>
      <c r="CL109" s="75" t="s">
        <v>160</v>
      </c>
      <c r="CM109" s="75" t="s">
        <v>160</v>
      </c>
      <c r="CN109" s="75" t="s">
        <v>160</v>
      </c>
      <c r="CO109" s="75" t="s">
        <v>160</v>
      </c>
      <c r="CP109" s="75" t="s">
        <v>160</v>
      </c>
      <c r="CQ109" s="75" t="s">
        <v>160</v>
      </c>
      <c r="CR109" s="75" t="s">
        <v>160</v>
      </c>
      <c r="CS109" s="75" t="s">
        <v>160</v>
      </c>
      <c r="CT109" s="75" t="s">
        <v>160</v>
      </c>
      <c r="CU109" s="75" t="s">
        <v>160</v>
      </c>
      <c r="CV109" s="75" t="s">
        <v>160</v>
      </c>
      <c r="CW109" s="75" t="s">
        <v>160</v>
      </c>
      <c r="CX109" s="75" t="s">
        <v>160</v>
      </c>
      <c r="CY109" s="75" t="s">
        <v>160</v>
      </c>
      <c r="CZ109" s="75" t="s">
        <v>160</v>
      </c>
      <c r="DA109" s="75" t="s">
        <v>160</v>
      </c>
      <c r="DB109" s="75" t="s">
        <v>160</v>
      </c>
      <c r="DC109" s="75" t="s">
        <v>160</v>
      </c>
      <c r="DD109" s="75" t="s">
        <v>160</v>
      </c>
      <c r="DE109" s="75" t="s">
        <v>160</v>
      </c>
      <c r="DF109" s="75" t="s">
        <v>160</v>
      </c>
      <c r="DG109" s="75" t="s">
        <v>160</v>
      </c>
      <c r="DH109" s="75" t="s">
        <v>160</v>
      </c>
      <c r="DI109" s="75" t="s">
        <v>160</v>
      </c>
      <c r="DJ109" s="75" t="s">
        <v>160</v>
      </c>
      <c r="DK109" s="75" t="s">
        <v>160</v>
      </c>
      <c r="DL109" s="75" t="s">
        <v>160</v>
      </c>
      <c r="DM109" s="75" t="s">
        <v>160</v>
      </c>
      <c r="DN109" s="75" t="s">
        <v>160</v>
      </c>
      <c r="DO109" s="75" t="s">
        <v>160</v>
      </c>
      <c r="DP109" s="75" t="s">
        <v>160</v>
      </c>
      <c r="DQ109" s="75" t="s">
        <v>160</v>
      </c>
      <c r="DR109" s="75" t="s">
        <v>160</v>
      </c>
      <c r="DS109" s="75" t="s">
        <v>160</v>
      </c>
      <c r="DT109" s="75" t="s">
        <v>160</v>
      </c>
      <c r="DU109" s="75" t="s">
        <v>160</v>
      </c>
      <c r="DV109" s="75" t="s">
        <v>160</v>
      </c>
      <c r="DW109" s="75" t="s">
        <v>160</v>
      </c>
      <c r="DX109" s="75" t="s">
        <v>160</v>
      </c>
      <c r="DY109" s="75" t="s">
        <v>160</v>
      </c>
      <c r="DZ109" s="75" t="s">
        <v>160</v>
      </c>
      <c r="EA109" s="75" t="s">
        <v>160</v>
      </c>
      <c r="EB109" s="75" t="s">
        <v>160</v>
      </c>
      <c r="EC109" s="75" t="s">
        <v>160</v>
      </c>
      <c r="ED109" s="75" t="s">
        <v>160</v>
      </c>
      <c r="EE109" s="75" t="s">
        <v>160</v>
      </c>
      <c r="EF109" s="75" t="s">
        <v>160</v>
      </c>
      <c r="EG109" s="75" t="s">
        <v>160</v>
      </c>
      <c r="EH109" s="75" t="s">
        <v>160</v>
      </c>
      <c r="EI109" s="75" t="s">
        <v>160</v>
      </c>
      <c r="EJ109" s="75" t="s">
        <v>160</v>
      </c>
      <c r="EK109" s="75" t="s">
        <v>160</v>
      </c>
      <c r="EL109" s="75" t="s">
        <v>160</v>
      </c>
      <c r="EM109" s="75" t="s">
        <v>160</v>
      </c>
      <c r="EN109" s="75" t="s">
        <v>160</v>
      </c>
      <c r="EO109" s="75" t="s">
        <v>160</v>
      </c>
      <c r="EP109" s="75" t="s">
        <v>160</v>
      </c>
      <c r="EQ109" s="75" t="s">
        <v>160</v>
      </c>
      <c r="ER109" s="75" t="s">
        <v>160</v>
      </c>
      <c r="ES109" s="75" t="s">
        <v>160</v>
      </c>
      <c r="ET109" s="75" t="s">
        <v>160</v>
      </c>
      <c r="EU109" s="75" t="s">
        <v>160</v>
      </c>
      <c r="EV109" s="75" t="s">
        <v>160</v>
      </c>
      <c r="EW109" s="75" t="s">
        <v>160</v>
      </c>
      <c r="EX109" s="75" t="s">
        <v>160</v>
      </c>
      <c r="EY109" s="75" t="s">
        <v>160</v>
      </c>
      <c r="EZ109" s="75" t="s">
        <v>160</v>
      </c>
      <c r="FA109" s="75" t="s">
        <v>160</v>
      </c>
      <c r="FB109" s="75" t="s">
        <v>160</v>
      </c>
      <c r="FC109" s="75" t="s">
        <v>160</v>
      </c>
      <c r="FD109" s="75" t="s">
        <v>160</v>
      </c>
    </row>
    <row r="110" spans="1:160">
      <c r="A110" s="103" t="s">
        <v>511</v>
      </c>
      <c r="B110" s="20" t="s">
        <v>214</v>
      </c>
      <c r="G110" s="51" t="str">
        <f t="shared" si="10"/>
        <v>M14. Decision Engine - Usecase 1</v>
      </c>
      <c r="H110" s="51" t="s">
        <v>2</v>
      </c>
      <c r="I110" s="64">
        <f ca="1">IF(SUM(I111:INDIRECT("I"&amp;$O110))=0,"",MIN(I111:INDIRECT("I"&amp;$O110)))</f>
        <v>45566</v>
      </c>
      <c r="J110" s="64">
        <f ca="1">IF(SUM(J111:INDIRECT("J"&amp;$O110))=0,"",MAX(J111:INDIRECT("J"&amp;$O110)))</f>
        <v>45657</v>
      </c>
      <c r="K110" s="64" t="str">
        <f ca="1">IF(SUM(K111:INDIRECT("K"&amp;$O110))=0,"",MIN(K111:INDIRECT("K"&amp;$O110)))</f>
        <v/>
      </c>
      <c r="L110" s="64" t="str">
        <f ca="1">IF(SUM(L111:INDIRECT("L"&amp;$O110))=0,"",MAX(L111:INDIRECT("L"&amp;$O110)))</f>
        <v/>
      </c>
      <c r="M110" s="64" t="str">
        <f ca="1">IF(N110,TODAY(),IF(SUM(M111:INDIRECT("M"&amp;$O110))=0,"",MAX(M111:INDIRECT("M"&amp;$O110))))</f>
        <v/>
      </c>
      <c r="N110" s="64" t="b">
        <f ca="1">OR(N111:INDIRECT("N"&amp;O110))</f>
        <v>0</v>
      </c>
      <c r="O110" s="65">
        <f>ROW()+COUNTA(N111:N116)</f>
        <v>116</v>
      </c>
      <c r="P110" s="66">
        <f>AVERAGE(P111:P116)</f>
        <v>0</v>
      </c>
      <c r="R110" s="51" t="s">
        <v>2</v>
      </c>
      <c r="S110" s="68" t="s">
        <v>160</v>
      </c>
      <c r="T110" s="69" t="s">
        <v>160</v>
      </c>
      <c r="U110" s="69" t="s">
        <v>160</v>
      </c>
      <c r="V110" s="69" t="s">
        <v>160</v>
      </c>
      <c r="W110" s="69" t="s">
        <v>160</v>
      </c>
      <c r="X110" s="69" t="s">
        <v>160</v>
      </c>
      <c r="Y110" s="69" t="s">
        <v>160</v>
      </c>
      <c r="Z110" s="69" t="s">
        <v>160</v>
      </c>
      <c r="AA110" s="69" t="s">
        <v>160</v>
      </c>
      <c r="AB110" s="69" t="s">
        <v>160</v>
      </c>
      <c r="AC110" s="69" t="s">
        <v>160</v>
      </c>
      <c r="AD110" s="69" t="s">
        <v>160</v>
      </c>
      <c r="AE110" s="69" t="s">
        <v>160</v>
      </c>
      <c r="AF110" s="69" t="s">
        <v>160</v>
      </c>
      <c r="AG110" s="69" t="s">
        <v>160</v>
      </c>
      <c r="AH110" s="69" t="s">
        <v>160</v>
      </c>
      <c r="AI110" s="69" t="s">
        <v>160</v>
      </c>
      <c r="AJ110" s="69" t="s">
        <v>160</v>
      </c>
      <c r="AK110" s="69" t="s">
        <v>160</v>
      </c>
      <c r="AL110" s="69" t="s">
        <v>160</v>
      </c>
      <c r="AM110" s="69" t="s">
        <v>160</v>
      </c>
      <c r="AN110" s="69" t="s">
        <v>160</v>
      </c>
      <c r="AO110" s="69" t="s">
        <v>160</v>
      </c>
      <c r="AP110" s="69" t="s">
        <v>160</v>
      </c>
      <c r="AQ110" s="69" t="s">
        <v>160</v>
      </c>
      <c r="AR110" s="69" t="s">
        <v>160</v>
      </c>
      <c r="AS110" s="69" t="s">
        <v>160</v>
      </c>
      <c r="AT110" s="69" t="s">
        <v>160</v>
      </c>
      <c r="AU110" s="69" t="s">
        <v>160</v>
      </c>
      <c r="AV110" s="69" t="s">
        <v>160</v>
      </c>
      <c r="AW110" s="69" t="s">
        <v>160</v>
      </c>
      <c r="AX110" s="69" t="s">
        <v>160</v>
      </c>
      <c r="AY110" s="69" t="s">
        <v>160</v>
      </c>
      <c r="AZ110" s="69" t="s">
        <v>160</v>
      </c>
      <c r="BA110" s="69" t="s">
        <v>160</v>
      </c>
      <c r="BB110" s="69" t="s">
        <v>160</v>
      </c>
      <c r="BC110" s="69" t="s">
        <v>160</v>
      </c>
      <c r="BD110" s="69" t="s">
        <v>160</v>
      </c>
      <c r="BE110" s="69" t="s">
        <v>160</v>
      </c>
      <c r="BF110" s="69" t="s">
        <v>160</v>
      </c>
      <c r="BG110" s="69" t="s">
        <v>160</v>
      </c>
      <c r="BH110" s="69" t="s">
        <v>160</v>
      </c>
      <c r="BI110" s="69" t="s">
        <v>160</v>
      </c>
      <c r="BJ110" s="69" t="s">
        <v>160</v>
      </c>
      <c r="BK110" s="69" t="s">
        <v>160</v>
      </c>
      <c r="BL110" s="69" t="s">
        <v>160</v>
      </c>
      <c r="BM110" s="69" t="s">
        <v>160</v>
      </c>
      <c r="BN110" s="69" t="s">
        <v>160</v>
      </c>
      <c r="BO110" s="69" t="s">
        <v>160</v>
      </c>
      <c r="BP110" s="69" t="s">
        <v>160</v>
      </c>
      <c r="BQ110" s="69" t="s">
        <v>160</v>
      </c>
      <c r="BR110" s="69" t="s">
        <v>160</v>
      </c>
      <c r="BS110" s="69" t="s">
        <v>160</v>
      </c>
      <c r="BT110" s="69" t="s">
        <v>160</v>
      </c>
      <c r="BU110" s="69" t="s">
        <v>160</v>
      </c>
      <c r="BV110" s="69" t="s">
        <v>160</v>
      </c>
      <c r="BW110" s="69" t="s">
        <v>160</v>
      </c>
      <c r="BX110" s="69" t="s">
        <v>160</v>
      </c>
      <c r="BY110" s="69" t="s">
        <v>160</v>
      </c>
      <c r="BZ110" s="69" t="s">
        <v>160</v>
      </c>
      <c r="CA110" s="69" t="s">
        <v>160</v>
      </c>
      <c r="CB110" s="69" t="s">
        <v>160</v>
      </c>
      <c r="CC110" s="69" t="s">
        <v>160</v>
      </c>
      <c r="CD110" s="69" t="s">
        <v>160</v>
      </c>
      <c r="CE110" s="69" t="s">
        <v>160</v>
      </c>
      <c r="CF110" s="69" t="s">
        <v>160</v>
      </c>
      <c r="CG110" s="69" t="s">
        <v>160</v>
      </c>
      <c r="CH110" s="69" t="s">
        <v>160</v>
      </c>
      <c r="CI110" s="69" t="s">
        <v>160</v>
      </c>
      <c r="CJ110" s="69" t="s">
        <v>160</v>
      </c>
      <c r="CK110" s="69" t="s">
        <v>160</v>
      </c>
      <c r="CL110" s="69" t="s">
        <v>160</v>
      </c>
      <c r="CM110" s="69" t="s">
        <v>160</v>
      </c>
      <c r="CN110" s="69" t="s">
        <v>160</v>
      </c>
      <c r="CO110" s="69" t="s">
        <v>160</v>
      </c>
      <c r="CP110" s="69" t="s">
        <v>160</v>
      </c>
      <c r="CQ110" s="69" t="s">
        <v>160</v>
      </c>
      <c r="CR110" s="69" t="s">
        <v>160</v>
      </c>
      <c r="CS110" s="69" t="s">
        <v>160</v>
      </c>
      <c r="CT110" s="69" t="s">
        <v>160</v>
      </c>
      <c r="CU110" s="69" t="s">
        <v>160</v>
      </c>
      <c r="CV110" s="69" t="s">
        <v>160</v>
      </c>
      <c r="CW110" s="69" t="s">
        <v>160</v>
      </c>
      <c r="CX110" s="69" t="s">
        <v>160</v>
      </c>
      <c r="CY110" s="69" t="s">
        <v>160</v>
      </c>
      <c r="CZ110" s="69" t="s">
        <v>160</v>
      </c>
      <c r="DA110" s="69" t="s">
        <v>160</v>
      </c>
      <c r="DB110" s="69" t="s">
        <v>160</v>
      </c>
      <c r="DC110" s="69" t="s">
        <v>160</v>
      </c>
      <c r="DD110" s="69" t="s">
        <v>160</v>
      </c>
      <c r="DE110" s="69" t="s">
        <v>160</v>
      </c>
      <c r="DF110" s="69" t="s">
        <v>160</v>
      </c>
      <c r="DG110" s="69" t="s">
        <v>160</v>
      </c>
      <c r="DH110" s="69" t="s">
        <v>160</v>
      </c>
      <c r="DI110" s="69" t="s">
        <v>160</v>
      </c>
      <c r="DJ110" s="69" t="s">
        <v>160</v>
      </c>
      <c r="DK110" s="69" t="s">
        <v>160</v>
      </c>
      <c r="DL110" s="69" t="s">
        <v>160</v>
      </c>
      <c r="DM110" s="69" t="s">
        <v>160</v>
      </c>
      <c r="DN110" s="69" t="s">
        <v>160</v>
      </c>
      <c r="DO110" s="69" t="s">
        <v>160</v>
      </c>
      <c r="DP110" s="69" t="s">
        <v>160</v>
      </c>
      <c r="DQ110" s="69" t="s">
        <v>160</v>
      </c>
      <c r="DR110" s="69" t="s">
        <v>160</v>
      </c>
      <c r="DS110" s="69" t="s">
        <v>160</v>
      </c>
      <c r="DT110" s="69" t="s">
        <v>160</v>
      </c>
      <c r="DU110" s="69" t="s">
        <v>160</v>
      </c>
      <c r="DV110" s="69" t="s">
        <v>160</v>
      </c>
      <c r="DW110" s="69" t="s">
        <v>160</v>
      </c>
      <c r="DX110" s="69" t="s">
        <v>160</v>
      </c>
      <c r="DY110" s="69" t="s">
        <v>160</v>
      </c>
      <c r="DZ110" s="69" t="s">
        <v>160</v>
      </c>
      <c r="EA110" s="69" t="s">
        <v>160</v>
      </c>
      <c r="EB110" s="69" t="s">
        <v>160</v>
      </c>
      <c r="EC110" s="69" t="s">
        <v>160</v>
      </c>
      <c r="ED110" s="69" t="s">
        <v>160</v>
      </c>
      <c r="EE110" s="69" t="s">
        <v>160</v>
      </c>
      <c r="EF110" s="69" t="s">
        <v>160</v>
      </c>
      <c r="EG110" s="69" t="s">
        <v>160</v>
      </c>
      <c r="EH110" s="69" t="s">
        <v>160</v>
      </c>
      <c r="EI110" s="69" t="s">
        <v>160</v>
      </c>
      <c r="EJ110" s="69" t="s">
        <v>160</v>
      </c>
      <c r="EK110" s="69" t="s">
        <v>160</v>
      </c>
      <c r="EL110" s="69" t="s">
        <v>160</v>
      </c>
      <c r="EM110" s="69" t="s">
        <v>160</v>
      </c>
      <c r="EN110" s="69" t="s">
        <v>160</v>
      </c>
      <c r="EO110" s="69" t="s">
        <v>160</v>
      </c>
      <c r="EP110" s="69" t="s">
        <v>160</v>
      </c>
      <c r="EQ110" s="69" t="s">
        <v>160</v>
      </c>
      <c r="ER110" s="69" t="s">
        <v>160</v>
      </c>
      <c r="ES110" s="69" t="s">
        <v>160</v>
      </c>
      <c r="ET110" s="69" t="s">
        <v>160</v>
      </c>
      <c r="EU110" s="69" t="s">
        <v>160</v>
      </c>
      <c r="EV110" s="69" t="s">
        <v>160</v>
      </c>
      <c r="EW110" s="69" t="s">
        <v>160</v>
      </c>
      <c r="EX110" s="69" t="s">
        <v>160</v>
      </c>
      <c r="EY110" s="69" t="s">
        <v>160</v>
      </c>
      <c r="EZ110" s="69" t="s">
        <v>160</v>
      </c>
      <c r="FA110" s="69" t="s">
        <v>160</v>
      </c>
      <c r="FB110" s="69" t="s">
        <v>160</v>
      </c>
      <c r="FC110" s="69" t="s">
        <v>160</v>
      </c>
      <c r="FD110" s="69" t="s">
        <v>160</v>
      </c>
    </row>
    <row r="111" spans="1:160">
      <c r="A111" s="103" t="s">
        <v>512</v>
      </c>
      <c r="C111" s="50" t="s">
        <v>215</v>
      </c>
      <c r="G111" s="51" t="str">
        <f t="shared" si="10"/>
        <v>Note : Use case to be evaluated based on research basis in the area of smart home and smart grid &amp; smart factory applications</v>
      </c>
      <c r="H111" s="51" t="s">
        <v>2</v>
      </c>
      <c r="I111" s="64"/>
      <c r="J111" s="64"/>
      <c r="K111" s="64"/>
      <c r="L111" s="64"/>
      <c r="M111" s="64"/>
      <c r="N111" s="64" t="b">
        <f>ISNUMBER(SEARCH("*Waiting*",M111))</f>
        <v>0</v>
      </c>
      <c r="O111" s="64"/>
      <c r="R111" s="51" t="s">
        <v>2</v>
      </c>
      <c r="S111" s="68" t="s">
        <v>160</v>
      </c>
      <c r="T111" s="69" t="s">
        <v>160</v>
      </c>
      <c r="U111" s="69" t="s">
        <v>160</v>
      </c>
      <c r="V111" s="69" t="s">
        <v>160</v>
      </c>
      <c r="W111" s="69" t="s">
        <v>160</v>
      </c>
      <c r="X111" s="69" t="s">
        <v>160</v>
      </c>
      <c r="Y111" s="69" t="s">
        <v>160</v>
      </c>
      <c r="Z111" s="69" t="s">
        <v>160</v>
      </c>
      <c r="AA111" s="69" t="s">
        <v>160</v>
      </c>
      <c r="AB111" s="69" t="s">
        <v>160</v>
      </c>
      <c r="AC111" s="69" t="s">
        <v>160</v>
      </c>
      <c r="AD111" s="69" t="s">
        <v>160</v>
      </c>
      <c r="AE111" s="69" t="s">
        <v>160</v>
      </c>
      <c r="AF111" s="69" t="s">
        <v>160</v>
      </c>
      <c r="AG111" s="69" t="s">
        <v>160</v>
      </c>
      <c r="AH111" s="69" t="s">
        <v>160</v>
      </c>
      <c r="AI111" s="69" t="s">
        <v>160</v>
      </c>
      <c r="AJ111" s="69" t="s">
        <v>160</v>
      </c>
      <c r="AK111" s="69" t="s">
        <v>160</v>
      </c>
      <c r="AL111" s="69" t="s">
        <v>160</v>
      </c>
      <c r="AM111" s="69" t="s">
        <v>160</v>
      </c>
      <c r="AN111" s="69" t="s">
        <v>160</v>
      </c>
      <c r="AO111" s="69" t="s">
        <v>160</v>
      </c>
      <c r="AP111" s="69" t="s">
        <v>160</v>
      </c>
      <c r="AQ111" s="69" t="s">
        <v>160</v>
      </c>
      <c r="AR111" s="69" t="s">
        <v>160</v>
      </c>
      <c r="AS111" s="69" t="s">
        <v>160</v>
      </c>
      <c r="AT111" s="69" t="s">
        <v>160</v>
      </c>
      <c r="AU111" s="69" t="s">
        <v>160</v>
      </c>
      <c r="AV111" s="69" t="s">
        <v>160</v>
      </c>
      <c r="AW111" s="69" t="s">
        <v>160</v>
      </c>
      <c r="AX111" s="69" t="s">
        <v>160</v>
      </c>
      <c r="AY111" s="69" t="s">
        <v>160</v>
      </c>
      <c r="AZ111" s="69" t="s">
        <v>160</v>
      </c>
      <c r="BA111" s="69" t="s">
        <v>160</v>
      </c>
      <c r="BB111" s="69" t="s">
        <v>160</v>
      </c>
      <c r="BC111" s="69" t="s">
        <v>160</v>
      </c>
      <c r="BD111" s="69" t="s">
        <v>160</v>
      </c>
      <c r="BE111" s="69" t="s">
        <v>160</v>
      </c>
      <c r="BF111" s="69" t="s">
        <v>160</v>
      </c>
      <c r="BG111" s="69" t="s">
        <v>160</v>
      </c>
      <c r="BH111" s="69" t="s">
        <v>160</v>
      </c>
      <c r="BI111" s="69" t="s">
        <v>160</v>
      </c>
      <c r="BJ111" s="69" t="s">
        <v>160</v>
      </c>
      <c r="BK111" s="69" t="s">
        <v>160</v>
      </c>
      <c r="BL111" s="69" t="s">
        <v>160</v>
      </c>
      <c r="BM111" s="69" t="s">
        <v>160</v>
      </c>
      <c r="BN111" s="69" t="s">
        <v>160</v>
      </c>
      <c r="BO111" s="69" t="s">
        <v>160</v>
      </c>
      <c r="BP111" s="69" t="s">
        <v>160</v>
      </c>
      <c r="BQ111" s="69" t="s">
        <v>160</v>
      </c>
      <c r="BR111" s="69" t="s">
        <v>160</v>
      </c>
      <c r="BS111" s="69" t="s">
        <v>160</v>
      </c>
      <c r="BT111" s="69" t="s">
        <v>160</v>
      </c>
      <c r="BU111" s="69" t="s">
        <v>160</v>
      </c>
      <c r="BV111" s="69" t="s">
        <v>160</v>
      </c>
      <c r="BW111" s="69" t="s">
        <v>160</v>
      </c>
      <c r="BX111" s="69" t="s">
        <v>160</v>
      </c>
      <c r="BY111" s="69" t="s">
        <v>160</v>
      </c>
      <c r="BZ111" s="69" t="s">
        <v>160</v>
      </c>
      <c r="CA111" s="69" t="s">
        <v>160</v>
      </c>
      <c r="CB111" s="69" t="s">
        <v>160</v>
      </c>
      <c r="CC111" s="69" t="s">
        <v>160</v>
      </c>
      <c r="CD111" s="69" t="s">
        <v>160</v>
      </c>
      <c r="CE111" s="69" t="s">
        <v>160</v>
      </c>
      <c r="CF111" s="69" t="s">
        <v>160</v>
      </c>
      <c r="CG111" s="69" t="s">
        <v>160</v>
      </c>
      <c r="CH111" s="69" t="s">
        <v>160</v>
      </c>
      <c r="CI111" s="69" t="s">
        <v>160</v>
      </c>
      <c r="CJ111" s="69" t="s">
        <v>160</v>
      </c>
      <c r="CK111" s="69" t="s">
        <v>160</v>
      </c>
      <c r="CL111" s="69" t="s">
        <v>160</v>
      </c>
      <c r="CM111" s="69" t="s">
        <v>160</v>
      </c>
      <c r="CN111" s="69" t="s">
        <v>160</v>
      </c>
      <c r="CO111" s="69" t="s">
        <v>160</v>
      </c>
      <c r="CP111" s="69" t="s">
        <v>160</v>
      </c>
      <c r="CQ111" s="69" t="s">
        <v>160</v>
      </c>
      <c r="CR111" s="69" t="s">
        <v>160</v>
      </c>
      <c r="CS111" s="69" t="s">
        <v>160</v>
      </c>
      <c r="CT111" s="69" t="s">
        <v>160</v>
      </c>
      <c r="CU111" s="69" t="s">
        <v>160</v>
      </c>
      <c r="CV111" s="69" t="s">
        <v>160</v>
      </c>
      <c r="CW111" s="69" t="s">
        <v>160</v>
      </c>
      <c r="CX111" s="69" t="s">
        <v>160</v>
      </c>
      <c r="CY111" s="69" t="s">
        <v>160</v>
      </c>
      <c r="CZ111" s="69" t="s">
        <v>160</v>
      </c>
      <c r="DA111" s="69" t="s">
        <v>160</v>
      </c>
      <c r="DB111" s="69" t="s">
        <v>160</v>
      </c>
      <c r="DC111" s="69" t="s">
        <v>160</v>
      </c>
      <c r="DD111" s="69" t="s">
        <v>160</v>
      </c>
      <c r="DE111" s="69" t="s">
        <v>160</v>
      </c>
      <c r="DF111" s="69" t="s">
        <v>160</v>
      </c>
      <c r="DG111" s="69" t="s">
        <v>160</v>
      </c>
      <c r="DH111" s="69" t="s">
        <v>160</v>
      </c>
      <c r="DI111" s="69" t="s">
        <v>160</v>
      </c>
      <c r="DJ111" s="69" t="s">
        <v>160</v>
      </c>
      <c r="DK111" s="69" t="s">
        <v>160</v>
      </c>
      <c r="DL111" s="69" t="s">
        <v>160</v>
      </c>
      <c r="DM111" s="69" t="s">
        <v>160</v>
      </c>
      <c r="DN111" s="69" t="s">
        <v>160</v>
      </c>
      <c r="DO111" s="69" t="s">
        <v>160</v>
      </c>
      <c r="DP111" s="69" t="s">
        <v>160</v>
      </c>
      <c r="DQ111" s="69" t="s">
        <v>160</v>
      </c>
      <c r="DR111" s="69" t="s">
        <v>160</v>
      </c>
      <c r="DS111" s="69" t="s">
        <v>160</v>
      </c>
      <c r="DT111" s="69" t="s">
        <v>160</v>
      </c>
      <c r="DU111" s="69" t="s">
        <v>160</v>
      </c>
      <c r="DV111" s="69" t="s">
        <v>160</v>
      </c>
      <c r="DW111" s="69" t="s">
        <v>160</v>
      </c>
      <c r="DX111" s="69" t="s">
        <v>160</v>
      </c>
      <c r="DY111" s="69" t="s">
        <v>160</v>
      </c>
      <c r="DZ111" s="69" t="s">
        <v>160</v>
      </c>
      <c r="EA111" s="69" t="s">
        <v>160</v>
      </c>
      <c r="EB111" s="69" t="s">
        <v>160</v>
      </c>
      <c r="EC111" s="69" t="s">
        <v>160</v>
      </c>
      <c r="ED111" s="69" t="s">
        <v>160</v>
      </c>
      <c r="EE111" s="69" t="s">
        <v>160</v>
      </c>
      <c r="EF111" s="69" t="s">
        <v>160</v>
      </c>
      <c r="EG111" s="69" t="s">
        <v>160</v>
      </c>
      <c r="EH111" s="69" t="s">
        <v>160</v>
      </c>
      <c r="EI111" s="69" t="s">
        <v>160</v>
      </c>
      <c r="EJ111" s="69" t="s">
        <v>160</v>
      </c>
      <c r="EK111" s="69" t="s">
        <v>160</v>
      </c>
      <c r="EL111" s="69" t="s">
        <v>160</v>
      </c>
      <c r="EM111" s="69" t="s">
        <v>160</v>
      </c>
      <c r="EN111" s="69" t="s">
        <v>160</v>
      </c>
      <c r="EO111" s="69" t="s">
        <v>160</v>
      </c>
      <c r="EP111" s="69" t="s">
        <v>160</v>
      </c>
      <c r="EQ111" s="69" t="s">
        <v>160</v>
      </c>
      <c r="ER111" s="69" t="s">
        <v>160</v>
      </c>
      <c r="ES111" s="69" t="s">
        <v>160</v>
      </c>
      <c r="ET111" s="69" t="s">
        <v>160</v>
      </c>
      <c r="EU111" s="69" t="s">
        <v>160</v>
      </c>
      <c r="EV111" s="69" t="s">
        <v>160</v>
      </c>
      <c r="EW111" s="69" t="s">
        <v>160</v>
      </c>
      <c r="EX111" s="69" t="s">
        <v>160</v>
      </c>
      <c r="EY111" s="69" t="s">
        <v>160</v>
      </c>
      <c r="EZ111" s="69" t="s">
        <v>160</v>
      </c>
      <c r="FA111" s="69" t="s">
        <v>160</v>
      </c>
      <c r="FB111" s="69" t="s">
        <v>160</v>
      </c>
      <c r="FC111" s="69" t="s">
        <v>160</v>
      </c>
      <c r="FD111" s="69" t="s">
        <v>160</v>
      </c>
    </row>
    <row r="112" spans="1:160">
      <c r="A112" s="103" t="s">
        <v>513</v>
      </c>
      <c r="B112" s="20" t="s">
        <v>163</v>
      </c>
      <c r="C112" s="91" t="s">
        <v>171</v>
      </c>
      <c r="G112" s="51" t="str">
        <f t="shared" si="10"/>
        <v>Technical design document explaining the data schema and algorithm</v>
      </c>
      <c r="H112" s="51" t="s">
        <v>2</v>
      </c>
      <c r="I112" s="64">
        <v>45566</v>
      </c>
      <c r="J112" s="64">
        <v>45657</v>
      </c>
      <c r="K112" s="64"/>
      <c r="L112" s="64"/>
      <c r="M112" s="64"/>
      <c r="N112" s="64" t="b">
        <f t="shared" ref="N112:N116" si="16">ISNUMBER(SEARCH("*Waiting*",M112))</f>
        <v>0</v>
      </c>
      <c r="O112" s="64"/>
      <c r="P112" s="24">
        <v>0</v>
      </c>
      <c r="R112" s="51" t="s">
        <v>2</v>
      </c>
      <c r="S112" s="68" t="s">
        <v>160</v>
      </c>
      <c r="T112" s="69" t="s">
        <v>160</v>
      </c>
      <c r="U112" s="69" t="s">
        <v>160</v>
      </c>
      <c r="V112" s="69" t="s">
        <v>160</v>
      </c>
      <c r="W112" s="69" t="s">
        <v>160</v>
      </c>
      <c r="X112" s="69" t="s">
        <v>160</v>
      </c>
      <c r="Y112" s="69" t="s">
        <v>160</v>
      </c>
      <c r="Z112" s="69" t="s">
        <v>160</v>
      </c>
      <c r="AA112" s="69" t="s">
        <v>160</v>
      </c>
      <c r="AB112" s="69" t="s">
        <v>160</v>
      </c>
      <c r="AC112" s="69" t="s">
        <v>160</v>
      </c>
      <c r="AD112" s="69" t="s">
        <v>160</v>
      </c>
      <c r="AE112" s="69" t="s">
        <v>160</v>
      </c>
      <c r="AF112" s="69" t="s">
        <v>160</v>
      </c>
      <c r="AG112" s="69" t="s">
        <v>160</v>
      </c>
      <c r="AH112" s="69" t="s">
        <v>160</v>
      </c>
      <c r="AI112" s="69" t="s">
        <v>160</v>
      </c>
      <c r="AJ112" s="69" t="s">
        <v>160</v>
      </c>
      <c r="AK112" s="69" t="s">
        <v>160</v>
      </c>
      <c r="AL112" s="69" t="s">
        <v>160</v>
      </c>
      <c r="AM112" s="69" t="s">
        <v>160</v>
      </c>
      <c r="AN112" s="69" t="s">
        <v>160</v>
      </c>
      <c r="AO112" s="69" t="s">
        <v>160</v>
      </c>
      <c r="AP112" s="69" t="s">
        <v>160</v>
      </c>
      <c r="AQ112" s="69" t="s">
        <v>160</v>
      </c>
      <c r="AR112" s="69" t="s">
        <v>160</v>
      </c>
      <c r="AS112" s="69" t="s">
        <v>160</v>
      </c>
      <c r="AT112" s="69" t="s">
        <v>160</v>
      </c>
      <c r="AU112" s="69" t="s">
        <v>160</v>
      </c>
      <c r="AV112" s="69" t="s">
        <v>160</v>
      </c>
      <c r="AW112" s="69" t="s">
        <v>160</v>
      </c>
      <c r="AX112" s="69" t="s">
        <v>160</v>
      </c>
      <c r="AY112" s="69" t="s">
        <v>160</v>
      </c>
      <c r="AZ112" s="69" t="s">
        <v>160</v>
      </c>
      <c r="BA112" s="69" t="s">
        <v>160</v>
      </c>
      <c r="BB112" s="69" t="s">
        <v>160</v>
      </c>
      <c r="BC112" s="69" t="s">
        <v>160</v>
      </c>
      <c r="BD112" s="69" t="s">
        <v>160</v>
      </c>
      <c r="BE112" s="69" t="s">
        <v>160</v>
      </c>
      <c r="BF112" s="69" t="s">
        <v>160</v>
      </c>
      <c r="BG112" s="69" t="s">
        <v>160</v>
      </c>
      <c r="BH112" s="69" t="s">
        <v>160</v>
      </c>
      <c r="BI112" s="69" t="s">
        <v>160</v>
      </c>
      <c r="BJ112" s="69" t="s">
        <v>160</v>
      </c>
      <c r="BK112" s="69" t="s">
        <v>160</v>
      </c>
      <c r="BL112" s="69" t="s">
        <v>160</v>
      </c>
      <c r="BM112" s="69" t="s">
        <v>160</v>
      </c>
      <c r="BN112" s="69" t="s">
        <v>160</v>
      </c>
      <c r="BO112" s="69" t="s">
        <v>160</v>
      </c>
      <c r="BP112" s="69" t="s">
        <v>160</v>
      </c>
      <c r="BQ112" s="69" t="s">
        <v>160</v>
      </c>
      <c r="BR112" s="69" t="s">
        <v>160</v>
      </c>
      <c r="BS112" s="69" t="s">
        <v>160</v>
      </c>
      <c r="BT112" s="69" t="s">
        <v>160</v>
      </c>
      <c r="BU112" s="69" t="s">
        <v>160</v>
      </c>
      <c r="BV112" s="69" t="s">
        <v>160</v>
      </c>
      <c r="BW112" s="69" t="s">
        <v>160</v>
      </c>
      <c r="BX112" s="69" t="s">
        <v>160</v>
      </c>
      <c r="BY112" s="69" t="s">
        <v>160</v>
      </c>
      <c r="BZ112" s="69" t="s">
        <v>160</v>
      </c>
      <c r="CA112" s="69" t="s">
        <v>160</v>
      </c>
      <c r="CB112" s="69" t="s">
        <v>160</v>
      </c>
      <c r="CC112" s="69" t="s">
        <v>160</v>
      </c>
      <c r="CD112" s="69" t="s">
        <v>160</v>
      </c>
      <c r="CE112" s="69" t="s">
        <v>160</v>
      </c>
      <c r="CF112" s="69" t="s">
        <v>160</v>
      </c>
      <c r="CG112" s="69" t="s">
        <v>160</v>
      </c>
      <c r="CH112" s="69" t="s">
        <v>160</v>
      </c>
      <c r="CI112" s="69" t="s">
        <v>160</v>
      </c>
      <c r="CJ112" s="69" t="s">
        <v>160</v>
      </c>
      <c r="CK112" s="69" t="s">
        <v>160</v>
      </c>
      <c r="CL112" s="69" t="s">
        <v>160</v>
      </c>
      <c r="CM112" s="69" t="s">
        <v>160</v>
      </c>
      <c r="CN112" s="69" t="s">
        <v>160</v>
      </c>
      <c r="CO112" s="69" t="s">
        <v>160</v>
      </c>
      <c r="CP112" s="69" t="s">
        <v>160</v>
      </c>
      <c r="CQ112" s="69" t="s">
        <v>160</v>
      </c>
      <c r="CR112" s="69" t="s">
        <v>160</v>
      </c>
      <c r="CS112" s="69" t="s">
        <v>160</v>
      </c>
      <c r="CT112" s="69" t="s">
        <v>160</v>
      </c>
      <c r="CU112" s="69" t="s">
        <v>160</v>
      </c>
      <c r="CV112" s="69" t="s">
        <v>160</v>
      </c>
      <c r="CW112" s="69" t="s">
        <v>160</v>
      </c>
      <c r="CX112" s="69" t="s">
        <v>160</v>
      </c>
      <c r="CY112" s="69" t="s">
        <v>160</v>
      </c>
      <c r="CZ112" s="69" t="s">
        <v>160</v>
      </c>
      <c r="DA112" s="69" t="s">
        <v>160</v>
      </c>
      <c r="DB112" s="69" t="s">
        <v>160</v>
      </c>
      <c r="DC112" s="69" t="s">
        <v>160</v>
      </c>
      <c r="DD112" s="69" t="s">
        <v>160</v>
      </c>
      <c r="DE112" s="69" t="s">
        <v>160</v>
      </c>
      <c r="DF112" s="69" t="s">
        <v>160</v>
      </c>
      <c r="DG112" s="69" t="s">
        <v>160</v>
      </c>
      <c r="DH112" s="69" t="s">
        <v>160</v>
      </c>
      <c r="DI112" s="69" t="s">
        <v>160</v>
      </c>
      <c r="DJ112" s="69" t="s">
        <v>160</v>
      </c>
      <c r="DK112" s="69" t="s">
        <v>160</v>
      </c>
      <c r="DL112" s="69" t="s">
        <v>160</v>
      </c>
      <c r="DM112" s="69" t="s">
        <v>160</v>
      </c>
      <c r="DN112" s="69" t="s">
        <v>160</v>
      </c>
      <c r="DO112" s="69" t="s">
        <v>160</v>
      </c>
      <c r="DP112" s="69" t="s">
        <v>160</v>
      </c>
      <c r="DQ112" s="69" t="s">
        <v>160</v>
      </c>
      <c r="DR112" s="69" t="s">
        <v>160</v>
      </c>
      <c r="DS112" s="69" t="s">
        <v>160</v>
      </c>
      <c r="DT112" s="69" t="s">
        <v>160</v>
      </c>
      <c r="DU112" s="69" t="s">
        <v>160</v>
      </c>
      <c r="DV112" s="69" t="s">
        <v>160</v>
      </c>
      <c r="DW112" s="69" t="s">
        <v>160</v>
      </c>
      <c r="DX112" s="69" t="s">
        <v>160</v>
      </c>
      <c r="DY112" s="69" t="s">
        <v>160</v>
      </c>
      <c r="DZ112" s="69" t="s">
        <v>160</v>
      </c>
      <c r="EA112" s="69" t="s">
        <v>160</v>
      </c>
      <c r="EB112" s="69" t="s">
        <v>160</v>
      </c>
      <c r="EC112" s="69" t="s">
        <v>160</v>
      </c>
      <c r="ED112" s="69" t="s">
        <v>160</v>
      </c>
      <c r="EE112" s="69" t="s">
        <v>160</v>
      </c>
      <c r="EF112" s="69" t="s">
        <v>160</v>
      </c>
      <c r="EG112" s="69" t="s">
        <v>160</v>
      </c>
      <c r="EH112" s="69" t="s">
        <v>160</v>
      </c>
      <c r="EI112" s="69" t="s">
        <v>160</v>
      </c>
      <c r="EJ112" s="69" t="s">
        <v>160</v>
      </c>
      <c r="EK112" s="69" t="s">
        <v>160</v>
      </c>
      <c r="EL112" s="69" t="s">
        <v>160</v>
      </c>
      <c r="EM112" s="69" t="s">
        <v>160</v>
      </c>
      <c r="EN112" s="69" t="s">
        <v>160</v>
      </c>
      <c r="EO112" s="69" t="s">
        <v>160</v>
      </c>
      <c r="EP112" s="69" t="s">
        <v>160</v>
      </c>
      <c r="EQ112" s="69" t="s">
        <v>160</v>
      </c>
      <c r="ER112" s="69" t="s">
        <v>160</v>
      </c>
      <c r="ES112" s="69" t="s">
        <v>160</v>
      </c>
      <c r="ET112" s="69" t="s">
        <v>160</v>
      </c>
      <c r="EU112" s="69" t="s">
        <v>160</v>
      </c>
      <c r="EV112" s="69" t="s">
        <v>160</v>
      </c>
      <c r="EW112" s="69" t="s">
        <v>160</v>
      </c>
      <c r="EX112" s="69" t="s">
        <v>160</v>
      </c>
      <c r="EY112" s="69" t="s">
        <v>160</v>
      </c>
      <c r="EZ112" s="69" t="s">
        <v>160</v>
      </c>
      <c r="FA112" s="69" t="s">
        <v>160</v>
      </c>
      <c r="FB112" s="69" t="s">
        <v>160</v>
      </c>
      <c r="FC112" s="69" t="s">
        <v>160</v>
      </c>
      <c r="FD112" s="69" t="s">
        <v>160</v>
      </c>
    </row>
    <row r="113" spans="1:160">
      <c r="A113" s="103" t="s">
        <v>514</v>
      </c>
      <c r="B113" s="20" t="s">
        <v>163</v>
      </c>
      <c r="C113" s="91" t="s">
        <v>172</v>
      </c>
      <c r="G113" s="51" t="str">
        <f t="shared" si="10"/>
        <v>Software Code</v>
      </c>
      <c r="H113" s="51" t="s">
        <v>2</v>
      </c>
      <c r="I113" s="64">
        <v>45566</v>
      </c>
      <c r="J113" s="64">
        <v>45657</v>
      </c>
      <c r="K113" s="64"/>
      <c r="L113" s="64"/>
      <c r="M113" s="64"/>
      <c r="N113" s="64" t="b">
        <f t="shared" si="16"/>
        <v>0</v>
      </c>
      <c r="O113" s="64"/>
      <c r="P113" s="24">
        <v>0</v>
      </c>
      <c r="R113" s="51" t="s">
        <v>2</v>
      </c>
      <c r="S113" s="68" t="s">
        <v>160</v>
      </c>
      <c r="T113" s="69" t="s">
        <v>160</v>
      </c>
      <c r="U113" s="69" t="s">
        <v>160</v>
      </c>
      <c r="V113" s="69" t="s">
        <v>160</v>
      </c>
      <c r="W113" s="69" t="s">
        <v>160</v>
      </c>
      <c r="X113" s="69" t="s">
        <v>160</v>
      </c>
      <c r="Y113" s="69" t="s">
        <v>160</v>
      </c>
      <c r="Z113" s="69" t="s">
        <v>160</v>
      </c>
      <c r="AA113" s="69" t="s">
        <v>160</v>
      </c>
      <c r="AB113" s="69" t="s">
        <v>160</v>
      </c>
      <c r="AC113" s="69" t="s">
        <v>160</v>
      </c>
      <c r="AD113" s="69" t="s">
        <v>160</v>
      </c>
      <c r="AE113" s="69" t="s">
        <v>160</v>
      </c>
      <c r="AF113" s="69" t="s">
        <v>160</v>
      </c>
      <c r="AG113" s="69" t="s">
        <v>160</v>
      </c>
      <c r="AH113" s="69" t="s">
        <v>160</v>
      </c>
      <c r="AI113" s="69" t="s">
        <v>160</v>
      </c>
      <c r="AJ113" s="69" t="s">
        <v>160</v>
      </c>
      <c r="AK113" s="69" t="s">
        <v>160</v>
      </c>
      <c r="AL113" s="69" t="s">
        <v>160</v>
      </c>
      <c r="AM113" s="69" t="s">
        <v>160</v>
      </c>
      <c r="AN113" s="69" t="s">
        <v>160</v>
      </c>
      <c r="AO113" s="69" t="s">
        <v>160</v>
      </c>
      <c r="AP113" s="69" t="s">
        <v>160</v>
      </c>
      <c r="AQ113" s="69" t="s">
        <v>160</v>
      </c>
      <c r="AR113" s="69" t="s">
        <v>160</v>
      </c>
      <c r="AS113" s="69" t="s">
        <v>160</v>
      </c>
      <c r="AT113" s="69" t="s">
        <v>160</v>
      </c>
      <c r="AU113" s="69" t="s">
        <v>160</v>
      </c>
      <c r="AV113" s="69" t="s">
        <v>160</v>
      </c>
      <c r="AW113" s="69" t="s">
        <v>160</v>
      </c>
      <c r="AX113" s="69" t="s">
        <v>160</v>
      </c>
      <c r="AY113" s="69" t="s">
        <v>160</v>
      </c>
      <c r="AZ113" s="69" t="s">
        <v>160</v>
      </c>
      <c r="BA113" s="69" t="s">
        <v>160</v>
      </c>
      <c r="BB113" s="69" t="s">
        <v>160</v>
      </c>
      <c r="BC113" s="69" t="s">
        <v>160</v>
      </c>
      <c r="BD113" s="69" t="s">
        <v>160</v>
      </c>
      <c r="BE113" s="69" t="s">
        <v>160</v>
      </c>
      <c r="BF113" s="69" t="s">
        <v>160</v>
      </c>
      <c r="BG113" s="69" t="s">
        <v>160</v>
      </c>
      <c r="BH113" s="69" t="s">
        <v>160</v>
      </c>
      <c r="BI113" s="69" t="s">
        <v>160</v>
      </c>
      <c r="BJ113" s="69" t="s">
        <v>160</v>
      </c>
      <c r="BK113" s="69" t="s">
        <v>160</v>
      </c>
      <c r="BL113" s="69" t="s">
        <v>160</v>
      </c>
      <c r="BM113" s="69" t="s">
        <v>160</v>
      </c>
      <c r="BN113" s="69" t="s">
        <v>160</v>
      </c>
      <c r="BO113" s="69" t="s">
        <v>160</v>
      </c>
      <c r="BP113" s="69" t="s">
        <v>160</v>
      </c>
      <c r="BQ113" s="69" t="s">
        <v>160</v>
      </c>
      <c r="BR113" s="69" t="s">
        <v>160</v>
      </c>
      <c r="BS113" s="69" t="s">
        <v>160</v>
      </c>
      <c r="BT113" s="69" t="s">
        <v>160</v>
      </c>
      <c r="BU113" s="69" t="s">
        <v>160</v>
      </c>
      <c r="BV113" s="69" t="s">
        <v>160</v>
      </c>
      <c r="BW113" s="69" t="s">
        <v>160</v>
      </c>
      <c r="BX113" s="69" t="s">
        <v>160</v>
      </c>
      <c r="BY113" s="69" t="s">
        <v>160</v>
      </c>
      <c r="BZ113" s="69" t="s">
        <v>160</v>
      </c>
      <c r="CA113" s="69" t="s">
        <v>160</v>
      </c>
      <c r="CB113" s="69" t="s">
        <v>160</v>
      </c>
      <c r="CC113" s="69" t="s">
        <v>160</v>
      </c>
      <c r="CD113" s="69" t="s">
        <v>160</v>
      </c>
      <c r="CE113" s="69" t="s">
        <v>160</v>
      </c>
      <c r="CF113" s="69" t="s">
        <v>160</v>
      </c>
      <c r="CG113" s="69" t="s">
        <v>160</v>
      </c>
      <c r="CH113" s="69" t="s">
        <v>160</v>
      </c>
      <c r="CI113" s="69" t="s">
        <v>160</v>
      </c>
      <c r="CJ113" s="69" t="s">
        <v>160</v>
      </c>
      <c r="CK113" s="69" t="s">
        <v>160</v>
      </c>
      <c r="CL113" s="69" t="s">
        <v>160</v>
      </c>
      <c r="CM113" s="69" t="s">
        <v>160</v>
      </c>
      <c r="CN113" s="69" t="s">
        <v>160</v>
      </c>
      <c r="CO113" s="69" t="s">
        <v>160</v>
      </c>
      <c r="CP113" s="69" t="s">
        <v>160</v>
      </c>
      <c r="CQ113" s="69" t="s">
        <v>160</v>
      </c>
      <c r="CR113" s="69" t="s">
        <v>160</v>
      </c>
      <c r="CS113" s="69" t="s">
        <v>160</v>
      </c>
      <c r="CT113" s="69" t="s">
        <v>160</v>
      </c>
      <c r="CU113" s="69" t="s">
        <v>160</v>
      </c>
      <c r="CV113" s="69" t="s">
        <v>160</v>
      </c>
      <c r="CW113" s="69" t="s">
        <v>160</v>
      </c>
      <c r="CX113" s="69" t="s">
        <v>160</v>
      </c>
      <c r="CY113" s="69" t="s">
        <v>160</v>
      </c>
      <c r="CZ113" s="69" t="s">
        <v>160</v>
      </c>
      <c r="DA113" s="69" t="s">
        <v>160</v>
      </c>
      <c r="DB113" s="69" t="s">
        <v>160</v>
      </c>
      <c r="DC113" s="69" t="s">
        <v>160</v>
      </c>
      <c r="DD113" s="69" t="s">
        <v>160</v>
      </c>
      <c r="DE113" s="69" t="s">
        <v>160</v>
      </c>
      <c r="DF113" s="69" t="s">
        <v>160</v>
      </c>
      <c r="DG113" s="69" t="s">
        <v>160</v>
      </c>
      <c r="DH113" s="69" t="s">
        <v>160</v>
      </c>
      <c r="DI113" s="69" t="s">
        <v>160</v>
      </c>
      <c r="DJ113" s="69" t="s">
        <v>160</v>
      </c>
      <c r="DK113" s="69" t="s">
        <v>160</v>
      </c>
      <c r="DL113" s="69" t="s">
        <v>160</v>
      </c>
      <c r="DM113" s="69" t="s">
        <v>160</v>
      </c>
      <c r="DN113" s="69" t="s">
        <v>160</v>
      </c>
      <c r="DO113" s="69" t="s">
        <v>160</v>
      </c>
      <c r="DP113" s="69" t="s">
        <v>160</v>
      </c>
      <c r="DQ113" s="69" t="s">
        <v>160</v>
      </c>
      <c r="DR113" s="69" t="s">
        <v>160</v>
      </c>
      <c r="DS113" s="69" t="s">
        <v>160</v>
      </c>
      <c r="DT113" s="69" t="s">
        <v>160</v>
      </c>
      <c r="DU113" s="69" t="s">
        <v>160</v>
      </c>
      <c r="DV113" s="69" t="s">
        <v>160</v>
      </c>
      <c r="DW113" s="69" t="s">
        <v>160</v>
      </c>
      <c r="DX113" s="69" t="s">
        <v>160</v>
      </c>
      <c r="DY113" s="69" t="s">
        <v>160</v>
      </c>
      <c r="DZ113" s="69" t="s">
        <v>160</v>
      </c>
      <c r="EA113" s="69" t="s">
        <v>160</v>
      </c>
      <c r="EB113" s="69" t="s">
        <v>160</v>
      </c>
      <c r="EC113" s="69" t="s">
        <v>160</v>
      </c>
      <c r="ED113" s="69" t="s">
        <v>160</v>
      </c>
      <c r="EE113" s="69" t="s">
        <v>160</v>
      </c>
      <c r="EF113" s="69" t="s">
        <v>160</v>
      </c>
      <c r="EG113" s="69" t="s">
        <v>160</v>
      </c>
      <c r="EH113" s="69" t="s">
        <v>160</v>
      </c>
      <c r="EI113" s="69" t="s">
        <v>160</v>
      </c>
      <c r="EJ113" s="69" t="s">
        <v>160</v>
      </c>
      <c r="EK113" s="69" t="s">
        <v>160</v>
      </c>
      <c r="EL113" s="69" t="s">
        <v>160</v>
      </c>
      <c r="EM113" s="69" t="s">
        <v>160</v>
      </c>
      <c r="EN113" s="69" t="s">
        <v>160</v>
      </c>
      <c r="EO113" s="69" t="s">
        <v>160</v>
      </c>
      <c r="EP113" s="69" t="s">
        <v>160</v>
      </c>
      <c r="EQ113" s="69" t="s">
        <v>160</v>
      </c>
      <c r="ER113" s="69" t="s">
        <v>160</v>
      </c>
      <c r="ES113" s="69" t="s">
        <v>160</v>
      </c>
      <c r="ET113" s="69" t="s">
        <v>160</v>
      </c>
      <c r="EU113" s="69" t="s">
        <v>160</v>
      </c>
      <c r="EV113" s="69" t="s">
        <v>160</v>
      </c>
      <c r="EW113" s="69" t="s">
        <v>160</v>
      </c>
      <c r="EX113" s="69" t="s">
        <v>160</v>
      </c>
      <c r="EY113" s="69" t="s">
        <v>160</v>
      </c>
      <c r="EZ113" s="69" t="s">
        <v>160</v>
      </c>
      <c r="FA113" s="69" t="s">
        <v>160</v>
      </c>
      <c r="FB113" s="69" t="s">
        <v>160</v>
      </c>
      <c r="FC113" s="69" t="s">
        <v>160</v>
      </c>
      <c r="FD113" s="69" t="s">
        <v>160</v>
      </c>
    </row>
    <row r="114" spans="1:160">
      <c r="A114" s="103" t="s">
        <v>515</v>
      </c>
      <c r="B114" s="20" t="s">
        <v>163</v>
      </c>
      <c r="C114" s="91" t="s">
        <v>173</v>
      </c>
      <c r="G114" s="51" t="str">
        <f t="shared" si="10"/>
        <v>Deployment Procedure of the code</v>
      </c>
      <c r="H114" s="51" t="s">
        <v>2</v>
      </c>
      <c r="I114" s="64">
        <v>45566</v>
      </c>
      <c r="J114" s="64">
        <v>45657</v>
      </c>
      <c r="K114" s="64"/>
      <c r="L114" s="64"/>
      <c r="M114" s="64"/>
      <c r="N114" s="64" t="b">
        <f t="shared" si="16"/>
        <v>0</v>
      </c>
      <c r="O114" s="64"/>
      <c r="P114" s="24">
        <v>0</v>
      </c>
      <c r="R114" s="51" t="s">
        <v>2</v>
      </c>
      <c r="S114" s="68" t="s">
        <v>160</v>
      </c>
      <c r="T114" s="69" t="s">
        <v>160</v>
      </c>
      <c r="U114" s="69" t="s">
        <v>160</v>
      </c>
      <c r="V114" s="69" t="s">
        <v>160</v>
      </c>
      <c r="W114" s="69" t="s">
        <v>160</v>
      </c>
      <c r="X114" s="69" t="s">
        <v>160</v>
      </c>
      <c r="Y114" s="69" t="s">
        <v>160</v>
      </c>
      <c r="Z114" s="69" t="s">
        <v>160</v>
      </c>
      <c r="AA114" s="69" t="s">
        <v>160</v>
      </c>
      <c r="AB114" s="69" t="s">
        <v>160</v>
      </c>
      <c r="AC114" s="69" t="s">
        <v>160</v>
      </c>
      <c r="AD114" s="69" t="s">
        <v>160</v>
      </c>
      <c r="AE114" s="69" t="s">
        <v>160</v>
      </c>
      <c r="AF114" s="69" t="s">
        <v>160</v>
      </c>
      <c r="AG114" s="69" t="s">
        <v>160</v>
      </c>
      <c r="AH114" s="69" t="s">
        <v>160</v>
      </c>
      <c r="AI114" s="69" t="s">
        <v>160</v>
      </c>
      <c r="AJ114" s="69" t="s">
        <v>160</v>
      </c>
      <c r="AK114" s="69" t="s">
        <v>160</v>
      </c>
      <c r="AL114" s="69" t="s">
        <v>160</v>
      </c>
      <c r="AM114" s="69" t="s">
        <v>160</v>
      </c>
      <c r="AN114" s="69" t="s">
        <v>160</v>
      </c>
      <c r="AO114" s="69" t="s">
        <v>160</v>
      </c>
      <c r="AP114" s="69" t="s">
        <v>160</v>
      </c>
      <c r="AQ114" s="69" t="s">
        <v>160</v>
      </c>
      <c r="AR114" s="69" t="s">
        <v>160</v>
      </c>
      <c r="AS114" s="69" t="s">
        <v>160</v>
      </c>
      <c r="AT114" s="69" t="s">
        <v>160</v>
      </c>
      <c r="AU114" s="69" t="s">
        <v>160</v>
      </c>
      <c r="AV114" s="69" t="s">
        <v>160</v>
      </c>
      <c r="AW114" s="69" t="s">
        <v>160</v>
      </c>
      <c r="AX114" s="69" t="s">
        <v>160</v>
      </c>
      <c r="AY114" s="69" t="s">
        <v>160</v>
      </c>
      <c r="AZ114" s="69" t="s">
        <v>160</v>
      </c>
      <c r="BA114" s="69" t="s">
        <v>160</v>
      </c>
      <c r="BB114" s="69" t="s">
        <v>160</v>
      </c>
      <c r="BC114" s="69" t="s">
        <v>160</v>
      </c>
      <c r="BD114" s="69" t="s">
        <v>160</v>
      </c>
      <c r="BE114" s="69" t="s">
        <v>160</v>
      </c>
      <c r="BF114" s="69" t="s">
        <v>160</v>
      </c>
      <c r="BG114" s="69" t="s">
        <v>160</v>
      </c>
      <c r="BH114" s="69" t="s">
        <v>160</v>
      </c>
      <c r="BI114" s="69" t="s">
        <v>160</v>
      </c>
      <c r="BJ114" s="69" t="s">
        <v>160</v>
      </c>
      <c r="BK114" s="69" t="s">
        <v>160</v>
      </c>
      <c r="BL114" s="69" t="s">
        <v>160</v>
      </c>
      <c r="BM114" s="69" t="s">
        <v>160</v>
      </c>
      <c r="BN114" s="69" t="s">
        <v>160</v>
      </c>
      <c r="BO114" s="69" t="s">
        <v>160</v>
      </c>
      <c r="BP114" s="69" t="s">
        <v>160</v>
      </c>
      <c r="BQ114" s="69" t="s">
        <v>160</v>
      </c>
      <c r="BR114" s="69" t="s">
        <v>160</v>
      </c>
      <c r="BS114" s="69" t="s">
        <v>160</v>
      </c>
      <c r="BT114" s="69" t="s">
        <v>160</v>
      </c>
      <c r="BU114" s="69" t="s">
        <v>160</v>
      </c>
      <c r="BV114" s="69" t="s">
        <v>160</v>
      </c>
      <c r="BW114" s="69" t="s">
        <v>160</v>
      </c>
      <c r="BX114" s="69" t="s">
        <v>160</v>
      </c>
      <c r="BY114" s="69" t="s">
        <v>160</v>
      </c>
      <c r="BZ114" s="69" t="s">
        <v>160</v>
      </c>
      <c r="CA114" s="69" t="s">
        <v>160</v>
      </c>
      <c r="CB114" s="69" t="s">
        <v>160</v>
      </c>
      <c r="CC114" s="69" t="s">
        <v>160</v>
      </c>
      <c r="CD114" s="69" t="s">
        <v>160</v>
      </c>
      <c r="CE114" s="69" t="s">
        <v>160</v>
      </c>
      <c r="CF114" s="69" t="s">
        <v>160</v>
      </c>
      <c r="CG114" s="69" t="s">
        <v>160</v>
      </c>
      <c r="CH114" s="69" t="s">
        <v>160</v>
      </c>
      <c r="CI114" s="69" t="s">
        <v>160</v>
      </c>
      <c r="CJ114" s="69" t="s">
        <v>160</v>
      </c>
      <c r="CK114" s="69" t="s">
        <v>160</v>
      </c>
      <c r="CL114" s="69" t="s">
        <v>160</v>
      </c>
      <c r="CM114" s="69" t="s">
        <v>160</v>
      </c>
      <c r="CN114" s="69" t="s">
        <v>160</v>
      </c>
      <c r="CO114" s="69" t="s">
        <v>160</v>
      </c>
      <c r="CP114" s="69" t="s">
        <v>160</v>
      </c>
      <c r="CQ114" s="69" t="s">
        <v>160</v>
      </c>
      <c r="CR114" s="69" t="s">
        <v>160</v>
      </c>
      <c r="CS114" s="69" t="s">
        <v>160</v>
      </c>
      <c r="CT114" s="69" t="s">
        <v>160</v>
      </c>
      <c r="CU114" s="69" t="s">
        <v>160</v>
      </c>
      <c r="CV114" s="69" t="s">
        <v>160</v>
      </c>
      <c r="CW114" s="69" t="s">
        <v>160</v>
      </c>
      <c r="CX114" s="69" t="s">
        <v>160</v>
      </c>
      <c r="CY114" s="69" t="s">
        <v>160</v>
      </c>
      <c r="CZ114" s="69" t="s">
        <v>160</v>
      </c>
      <c r="DA114" s="69" t="s">
        <v>160</v>
      </c>
      <c r="DB114" s="69" t="s">
        <v>160</v>
      </c>
      <c r="DC114" s="69" t="s">
        <v>160</v>
      </c>
      <c r="DD114" s="69" t="s">
        <v>160</v>
      </c>
      <c r="DE114" s="69" t="s">
        <v>160</v>
      </c>
      <c r="DF114" s="69" t="s">
        <v>160</v>
      </c>
      <c r="DG114" s="69" t="s">
        <v>160</v>
      </c>
      <c r="DH114" s="69" t="s">
        <v>160</v>
      </c>
      <c r="DI114" s="69" t="s">
        <v>160</v>
      </c>
      <c r="DJ114" s="69" t="s">
        <v>160</v>
      </c>
      <c r="DK114" s="69" t="s">
        <v>160</v>
      </c>
      <c r="DL114" s="69" t="s">
        <v>160</v>
      </c>
      <c r="DM114" s="69" t="s">
        <v>160</v>
      </c>
      <c r="DN114" s="69" t="s">
        <v>160</v>
      </c>
      <c r="DO114" s="69" t="s">
        <v>160</v>
      </c>
      <c r="DP114" s="69" t="s">
        <v>160</v>
      </c>
      <c r="DQ114" s="69" t="s">
        <v>160</v>
      </c>
      <c r="DR114" s="69" t="s">
        <v>160</v>
      </c>
      <c r="DS114" s="69" t="s">
        <v>160</v>
      </c>
      <c r="DT114" s="69" t="s">
        <v>160</v>
      </c>
      <c r="DU114" s="69" t="s">
        <v>160</v>
      </c>
      <c r="DV114" s="69" t="s">
        <v>160</v>
      </c>
      <c r="DW114" s="69" t="s">
        <v>160</v>
      </c>
      <c r="DX114" s="69" t="s">
        <v>160</v>
      </c>
      <c r="DY114" s="69" t="s">
        <v>160</v>
      </c>
      <c r="DZ114" s="69" t="s">
        <v>160</v>
      </c>
      <c r="EA114" s="69" t="s">
        <v>160</v>
      </c>
      <c r="EB114" s="69" t="s">
        <v>160</v>
      </c>
      <c r="EC114" s="69" t="s">
        <v>160</v>
      </c>
      <c r="ED114" s="69" t="s">
        <v>160</v>
      </c>
      <c r="EE114" s="69" t="s">
        <v>160</v>
      </c>
      <c r="EF114" s="69" t="s">
        <v>160</v>
      </c>
      <c r="EG114" s="69" t="s">
        <v>160</v>
      </c>
      <c r="EH114" s="69" t="s">
        <v>160</v>
      </c>
      <c r="EI114" s="69" t="s">
        <v>160</v>
      </c>
      <c r="EJ114" s="69" t="s">
        <v>160</v>
      </c>
      <c r="EK114" s="69" t="s">
        <v>160</v>
      </c>
      <c r="EL114" s="69" t="s">
        <v>160</v>
      </c>
      <c r="EM114" s="69" t="s">
        <v>160</v>
      </c>
      <c r="EN114" s="69" t="s">
        <v>160</v>
      </c>
      <c r="EO114" s="69" t="s">
        <v>160</v>
      </c>
      <c r="EP114" s="69" t="s">
        <v>160</v>
      </c>
      <c r="EQ114" s="69" t="s">
        <v>160</v>
      </c>
      <c r="ER114" s="69" t="s">
        <v>160</v>
      </c>
      <c r="ES114" s="69" t="s">
        <v>160</v>
      </c>
      <c r="ET114" s="69" t="s">
        <v>160</v>
      </c>
      <c r="EU114" s="69" t="s">
        <v>160</v>
      </c>
      <c r="EV114" s="69" t="s">
        <v>160</v>
      </c>
      <c r="EW114" s="69" t="s">
        <v>160</v>
      </c>
      <c r="EX114" s="69" t="s">
        <v>160</v>
      </c>
      <c r="EY114" s="69" t="s">
        <v>160</v>
      </c>
      <c r="EZ114" s="69" t="s">
        <v>160</v>
      </c>
      <c r="FA114" s="69" t="s">
        <v>160</v>
      </c>
      <c r="FB114" s="69" t="s">
        <v>160</v>
      </c>
      <c r="FC114" s="69" t="s">
        <v>160</v>
      </c>
      <c r="FD114" s="69" t="s">
        <v>160</v>
      </c>
    </row>
    <row r="115" spans="1:160">
      <c r="A115" s="103" t="s">
        <v>516</v>
      </c>
      <c r="B115" s="20" t="s">
        <v>163</v>
      </c>
      <c r="C115" s="91" t="s">
        <v>175</v>
      </c>
      <c r="G115" s="51" t="str">
        <f t="shared" si="10"/>
        <v>Product usage guide with examples for all the functional usecases</v>
      </c>
      <c r="H115" s="51" t="s">
        <v>2</v>
      </c>
      <c r="I115" s="64">
        <v>45566</v>
      </c>
      <c r="J115" s="64">
        <v>45657</v>
      </c>
      <c r="K115" s="64"/>
      <c r="L115" s="64"/>
      <c r="M115" s="64"/>
      <c r="N115" s="64" t="b">
        <f t="shared" si="16"/>
        <v>0</v>
      </c>
      <c r="O115" s="64"/>
      <c r="P115" s="24">
        <v>0</v>
      </c>
      <c r="R115" s="51" t="s">
        <v>2</v>
      </c>
      <c r="S115" s="68" t="s">
        <v>160</v>
      </c>
      <c r="T115" s="69" t="s">
        <v>160</v>
      </c>
      <c r="U115" s="69" t="s">
        <v>160</v>
      </c>
      <c r="V115" s="69" t="s">
        <v>160</v>
      </c>
      <c r="W115" s="69" t="s">
        <v>160</v>
      </c>
      <c r="X115" s="69" t="s">
        <v>160</v>
      </c>
      <c r="Y115" s="69" t="s">
        <v>160</v>
      </c>
      <c r="Z115" s="69" t="s">
        <v>160</v>
      </c>
      <c r="AA115" s="69" t="s">
        <v>160</v>
      </c>
      <c r="AB115" s="69" t="s">
        <v>160</v>
      </c>
      <c r="AC115" s="69" t="s">
        <v>160</v>
      </c>
      <c r="AD115" s="69" t="s">
        <v>160</v>
      </c>
      <c r="AE115" s="69" t="s">
        <v>160</v>
      </c>
      <c r="AF115" s="69" t="s">
        <v>160</v>
      </c>
      <c r="AG115" s="69" t="s">
        <v>160</v>
      </c>
      <c r="AH115" s="69" t="s">
        <v>160</v>
      </c>
      <c r="AI115" s="69" t="s">
        <v>160</v>
      </c>
      <c r="AJ115" s="69" t="s">
        <v>160</v>
      </c>
      <c r="AK115" s="69" t="s">
        <v>160</v>
      </c>
      <c r="AL115" s="69" t="s">
        <v>160</v>
      </c>
      <c r="AM115" s="69" t="s">
        <v>160</v>
      </c>
      <c r="AN115" s="69" t="s">
        <v>160</v>
      </c>
      <c r="AO115" s="69" t="s">
        <v>160</v>
      </c>
      <c r="AP115" s="69" t="s">
        <v>160</v>
      </c>
      <c r="AQ115" s="69" t="s">
        <v>160</v>
      </c>
      <c r="AR115" s="69" t="s">
        <v>160</v>
      </c>
      <c r="AS115" s="69" t="s">
        <v>160</v>
      </c>
      <c r="AT115" s="69" t="s">
        <v>160</v>
      </c>
      <c r="AU115" s="69" t="s">
        <v>160</v>
      </c>
      <c r="AV115" s="69" t="s">
        <v>160</v>
      </c>
      <c r="AW115" s="69" t="s">
        <v>160</v>
      </c>
      <c r="AX115" s="69" t="s">
        <v>160</v>
      </c>
      <c r="AY115" s="69" t="s">
        <v>160</v>
      </c>
      <c r="AZ115" s="69" t="s">
        <v>160</v>
      </c>
      <c r="BA115" s="69" t="s">
        <v>160</v>
      </c>
      <c r="BB115" s="69" t="s">
        <v>160</v>
      </c>
      <c r="BC115" s="69" t="s">
        <v>160</v>
      </c>
      <c r="BD115" s="69" t="s">
        <v>160</v>
      </c>
      <c r="BE115" s="69" t="s">
        <v>160</v>
      </c>
      <c r="BF115" s="69" t="s">
        <v>160</v>
      </c>
      <c r="BG115" s="69" t="s">
        <v>160</v>
      </c>
      <c r="BH115" s="69" t="s">
        <v>160</v>
      </c>
      <c r="BI115" s="69" t="s">
        <v>160</v>
      </c>
      <c r="BJ115" s="69" t="s">
        <v>160</v>
      </c>
      <c r="BK115" s="69" t="s">
        <v>160</v>
      </c>
      <c r="BL115" s="69" t="s">
        <v>160</v>
      </c>
      <c r="BM115" s="69" t="s">
        <v>160</v>
      </c>
      <c r="BN115" s="69" t="s">
        <v>160</v>
      </c>
      <c r="BO115" s="69" t="s">
        <v>160</v>
      </c>
      <c r="BP115" s="69" t="s">
        <v>160</v>
      </c>
      <c r="BQ115" s="69" t="s">
        <v>160</v>
      </c>
      <c r="BR115" s="69" t="s">
        <v>160</v>
      </c>
      <c r="BS115" s="69" t="s">
        <v>160</v>
      </c>
      <c r="BT115" s="69" t="s">
        <v>160</v>
      </c>
      <c r="BU115" s="69" t="s">
        <v>160</v>
      </c>
      <c r="BV115" s="69" t="s">
        <v>160</v>
      </c>
      <c r="BW115" s="69" t="s">
        <v>160</v>
      </c>
      <c r="BX115" s="69" t="s">
        <v>160</v>
      </c>
      <c r="BY115" s="69" t="s">
        <v>160</v>
      </c>
      <c r="BZ115" s="69" t="s">
        <v>160</v>
      </c>
      <c r="CA115" s="69" t="s">
        <v>160</v>
      </c>
      <c r="CB115" s="69" t="s">
        <v>160</v>
      </c>
      <c r="CC115" s="69" t="s">
        <v>160</v>
      </c>
      <c r="CD115" s="69" t="s">
        <v>160</v>
      </c>
      <c r="CE115" s="69" t="s">
        <v>160</v>
      </c>
      <c r="CF115" s="69" t="s">
        <v>160</v>
      </c>
      <c r="CG115" s="69" t="s">
        <v>160</v>
      </c>
      <c r="CH115" s="69" t="s">
        <v>160</v>
      </c>
      <c r="CI115" s="69" t="s">
        <v>160</v>
      </c>
      <c r="CJ115" s="69" t="s">
        <v>160</v>
      </c>
      <c r="CK115" s="69" t="s">
        <v>160</v>
      </c>
      <c r="CL115" s="69" t="s">
        <v>160</v>
      </c>
      <c r="CM115" s="69" t="s">
        <v>160</v>
      </c>
      <c r="CN115" s="69" t="s">
        <v>160</v>
      </c>
      <c r="CO115" s="69" t="s">
        <v>160</v>
      </c>
      <c r="CP115" s="69" t="s">
        <v>160</v>
      </c>
      <c r="CQ115" s="69" t="s">
        <v>160</v>
      </c>
      <c r="CR115" s="69" t="s">
        <v>160</v>
      </c>
      <c r="CS115" s="69" t="s">
        <v>160</v>
      </c>
      <c r="CT115" s="69" t="s">
        <v>160</v>
      </c>
      <c r="CU115" s="69" t="s">
        <v>160</v>
      </c>
      <c r="CV115" s="69" t="s">
        <v>160</v>
      </c>
      <c r="CW115" s="69" t="s">
        <v>160</v>
      </c>
      <c r="CX115" s="69" t="s">
        <v>160</v>
      </c>
      <c r="CY115" s="69" t="s">
        <v>160</v>
      </c>
      <c r="CZ115" s="69" t="s">
        <v>160</v>
      </c>
      <c r="DA115" s="69" t="s">
        <v>160</v>
      </c>
      <c r="DB115" s="69" t="s">
        <v>160</v>
      </c>
      <c r="DC115" s="69" t="s">
        <v>160</v>
      </c>
      <c r="DD115" s="69" t="s">
        <v>160</v>
      </c>
      <c r="DE115" s="69" t="s">
        <v>160</v>
      </c>
      <c r="DF115" s="69" t="s">
        <v>160</v>
      </c>
      <c r="DG115" s="69" t="s">
        <v>160</v>
      </c>
      <c r="DH115" s="69" t="s">
        <v>160</v>
      </c>
      <c r="DI115" s="69" t="s">
        <v>160</v>
      </c>
      <c r="DJ115" s="69" t="s">
        <v>160</v>
      </c>
      <c r="DK115" s="69" t="s">
        <v>160</v>
      </c>
      <c r="DL115" s="69" t="s">
        <v>160</v>
      </c>
      <c r="DM115" s="69" t="s">
        <v>160</v>
      </c>
      <c r="DN115" s="69" t="s">
        <v>160</v>
      </c>
      <c r="DO115" s="69" t="s">
        <v>160</v>
      </c>
      <c r="DP115" s="69" t="s">
        <v>160</v>
      </c>
      <c r="DQ115" s="69" t="s">
        <v>160</v>
      </c>
      <c r="DR115" s="69" t="s">
        <v>160</v>
      </c>
      <c r="DS115" s="69" t="s">
        <v>160</v>
      </c>
      <c r="DT115" s="69" t="s">
        <v>160</v>
      </c>
      <c r="DU115" s="69" t="s">
        <v>160</v>
      </c>
      <c r="DV115" s="69" t="s">
        <v>160</v>
      </c>
      <c r="DW115" s="69" t="s">
        <v>160</v>
      </c>
      <c r="DX115" s="69" t="s">
        <v>160</v>
      </c>
      <c r="DY115" s="69" t="s">
        <v>160</v>
      </c>
      <c r="DZ115" s="69" t="s">
        <v>160</v>
      </c>
      <c r="EA115" s="69" t="s">
        <v>160</v>
      </c>
      <c r="EB115" s="69" t="s">
        <v>160</v>
      </c>
      <c r="EC115" s="69" t="s">
        <v>160</v>
      </c>
      <c r="ED115" s="69" t="s">
        <v>160</v>
      </c>
      <c r="EE115" s="69" t="s">
        <v>160</v>
      </c>
      <c r="EF115" s="69" t="s">
        <v>160</v>
      </c>
      <c r="EG115" s="69" t="s">
        <v>160</v>
      </c>
      <c r="EH115" s="69" t="s">
        <v>160</v>
      </c>
      <c r="EI115" s="69" t="s">
        <v>160</v>
      </c>
      <c r="EJ115" s="69" t="s">
        <v>160</v>
      </c>
      <c r="EK115" s="69" t="s">
        <v>160</v>
      </c>
      <c r="EL115" s="69" t="s">
        <v>160</v>
      </c>
      <c r="EM115" s="69" t="s">
        <v>160</v>
      </c>
      <c r="EN115" s="69" t="s">
        <v>160</v>
      </c>
      <c r="EO115" s="69" t="s">
        <v>160</v>
      </c>
      <c r="EP115" s="69" t="s">
        <v>160</v>
      </c>
      <c r="EQ115" s="69" t="s">
        <v>160</v>
      </c>
      <c r="ER115" s="69" t="s">
        <v>160</v>
      </c>
      <c r="ES115" s="69" t="s">
        <v>160</v>
      </c>
      <c r="ET115" s="69" t="s">
        <v>160</v>
      </c>
      <c r="EU115" s="69" t="s">
        <v>160</v>
      </c>
      <c r="EV115" s="69" t="s">
        <v>160</v>
      </c>
      <c r="EW115" s="69" t="s">
        <v>160</v>
      </c>
      <c r="EX115" s="69" t="s">
        <v>160</v>
      </c>
      <c r="EY115" s="69" t="s">
        <v>160</v>
      </c>
      <c r="EZ115" s="69" t="s">
        <v>160</v>
      </c>
      <c r="FA115" s="69" t="s">
        <v>160</v>
      </c>
      <c r="FB115" s="69" t="s">
        <v>160</v>
      </c>
      <c r="FC115" s="69" t="s">
        <v>160</v>
      </c>
      <c r="FD115" s="69" t="s">
        <v>160</v>
      </c>
    </row>
    <row r="116" spans="1:160" s="71" customFormat="1" ht="18.5" thickBot="1">
      <c r="A116" s="104" t="s">
        <v>510</v>
      </c>
      <c r="B116" s="105" t="s">
        <v>163</v>
      </c>
      <c r="C116" s="92" t="s">
        <v>176</v>
      </c>
      <c r="G116" s="71" t="str">
        <f t="shared" si="10"/>
        <v xml:space="preserve">Test report </v>
      </c>
      <c r="H116" s="71" t="s">
        <v>2</v>
      </c>
      <c r="I116" s="72">
        <v>45566</v>
      </c>
      <c r="J116" s="72">
        <v>45657</v>
      </c>
      <c r="K116" s="72"/>
      <c r="L116" s="72"/>
      <c r="M116" s="72"/>
      <c r="N116" s="72" t="b">
        <f t="shared" si="16"/>
        <v>0</v>
      </c>
      <c r="O116" s="72"/>
      <c r="P116" s="89">
        <v>0</v>
      </c>
      <c r="Q116" s="89"/>
      <c r="R116" s="71" t="s">
        <v>2</v>
      </c>
      <c r="S116" s="74" t="s">
        <v>160</v>
      </c>
      <c r="T116" s="75" t="s">
        <v>160</v>
      </c>
      <c r="U116" s="75" t="s">
        <v>160</v>
      </c>
      <c r="V116" s="75" t="s">
        <v>160</v>
      </c>
      <c r="W116" s="75" t="s">
        <v>160</v>
      </c>
      <c r="X116" s="75" t="s">
        <v>160</v>
      </c>
      <c r="Y116" s="75" t="s">
        <v>160</v>
      </c>
      <c r="Z116" s="75" t="s">
        <v>160</v>
      </c>
      <c r="AA116" s="75" t="s">
        <v>160</v>
      </c>
      <c r="AB116" s="75" t="s">
        <v>160</v>
      </c>
      <c r="AC116" s="75" t="s">
        <v>160</v>
      </c>
      <c r="AD116" s="75" t="s">
        <v>160</v>
      </c>
      <c r="AE116" s="75" t="s">
        <v>160</v>
      </c>
      <c r="AF116" s="75" t="s">
        <v>160</v>
      </c>
      <c r="AG116" s="75" t="s">
        <v>160</v>
      </c>
      <c r="AH116" s="75" t="s">
        <v>160</v>
      </c>
      <c r="AI116" s="75" t="s">
        <v>160</v>
      </c>
      <c r="AJ116" s="75" t="s">
        <v>160</v>
      </c>
      <c r="AK116" s="75" t="s">
        <v>160</v>
      </c>
      <c r="AL116" s="75" t="s">
        <v>160</v>
      </c>
      <c r="AM116" s="75" t="s">
        <v>160</v>
      </c>
      <c r="AN116" s="75" t="s">
        <v>160</v>
      </c>
      <c r="AO116" s="75" t="s">
        <v>160</v>
      </c>
      <c r="AP116" s="75" t="s">
        <v>160</v>
      </c>
      <c r="AQ116" s="75" t="s">
        <v>160</v>
      </c>
      <c r="AR116" s="75" t="s">
        <v>160</v>
      </c>
      <c r="AS116" s="75" t="s">
        <v>160</v>
      </c>
      <c r="AT116" s="75" t="s">
        <v>160</v>
      </c>
      <c r="AU116" s="75" t="s">
        <v>160</v>
      </c>
      <c r="AV116" s="75" t="s">
        <v>160</v>
      </c>
      <c r="AW116" s="75" t="s">
        <v>160</v>
      </c>
      <c r="AX116" s="75" t="s">
        <v>160</v>
      </c>
      <c r="AY116" s="75" t="s">
        <v>160</v>
      </c>
      <c r="AZ116" s="75" t="s">
        <v>160</v>
      </c>
      <c r="BA116" s="75" t="s">
        <v>160</v>
      </c>
      <c r="BB116" s="75" t="s">
        <v>160</v>
      </c>
      <c r="BC116" s="75" t="s">
        <v>160</v>
      </c>
      <c r="BD116" s="75" t="s">
        <v>160</v>
      </c>
      <c r="BE116" s="75" t="s">
        <v>160</v>
      </c>
      <c r="BF116" s="75" t="s">
        <v>160</v>
      </c>
      <c r="BG116" s="75" t="s">
        <v>160</v>
      </c>
      <c r="BH116" s="75" t="s">
        <v>160</v>
      </c>
      <c r="BI116" s="75" t="s">
        <v>160</v>
      </c>
      <c r="BJ116" s="75" t="s">
        <v>160</v>
      </c>
      <c r="BK116" s="75" t="s">
        <v>160</v>
      </c>
      <c r="BL116" s="75" t="s">
        <v>160</v>
      </c>
      <c r="BM116" s="75" t="s">
        <v>160</v>
      </c>
      <c r="BN116" s="75" t="s">
        <v>160</v>
      </c>
      <c r="BO116" s="75" t="s">
        <v>160</v>
      </c>
      <c r="BP116" s="75" t="s">
        <v>160</v>
      </c>
      <c r="BQ116" s="75" t="s">
        <v>160</v>
      </c>
      <c r="BR116" s="75" t="s">
        <v>160</v>
      </c>
      <c r="BS116" s="75" t="s">
        <v>160</v>
      </c>
      <c r="BT116" s="75" t="s">
        <v>160</v>
      </c>
      <c r="BU116" s="75" t="s">
        <v>160</v>
      </c>
      <c r="BV116" s="75" t="s">
        <v>160</v>
      </c>
      <c r="BW116" s="75" t="s">
        <v>160</v>
      </c>
      <c r="BX116" s="75" t="s">
        <v>160</v>
      </c>
      <c r="BY116" s="75" t="s">
        <v>160</v>
      </c>
      <c r="BZ116" s="75" t="s">
        <v>160</v>
      </c>
      <c r="CA116" s="75" t="s">
        <v>160</v>
      </c>
      <c r="CB116" s="75" t="s">
        <v>160</v>
      </c>
      <c r="CC116" s="75" t="s">
        <v>160</v>
      </c>
      <c r="CD116" s="75" t="s">
        <v>160</v>
      </c>
      <c r="CE116" s="75" t="s">
        <v>160</v>
      </c>
      <c r="CF116" s="75" t="s">
        <v>160</v>
      </c>
      <c r="CG116" s="75" t="s">
        <v>160</v>
      </c>
      <c r="CH116" s="75" t="s">
        <v>160</v>
      </c>
      <c r="CI116" s="75" t="s">
        <v>160</v>
      </c>
      <c r="CJ116" s="75" t="s">
        <v>160</v>
      </c>
      <c r="CK116" s="75" t="s">
        <v>160</v>
      </c>
      <c r="CL116" s="75" t="s">
        <v>160</v>
      </c>
      <c r="CM116" s="75" t="s">
        <v>160</v>
      </c>
      <c r="CN116" s="75" t="s">
        <v>160</v>
      </c>
      <c r="CO116" s="75" t="s">
        <v>160</v>
      </c>
      <c r="CP116" s="75" t="s">
        <v>160</v>
      </c>
      <c r="CQ116" s="75" t="s">
        <v>160</v>
      </c>
      <c r="CR116" s="75" t="s">
        <v>160</v>
      </c>
      <c r="CS116" s="75" t="s">
        <v>160</v>
      </c>
      <c r="CT116" s="75" t="s">
        <v>160</v>
      </c>
      <c r="CU116" s="75" t="s">
        <v>160</v>
      </c>
      <c r="CV116" s="75" t="s">
        <v>160</v>
      </c>
      <c r="CW116" s="75" t="s">
        <v>160</v>
      </c>
      <c r="CX116" s="75" t="s">
        <v>160</v>
      </c>
      <c r="CY116" s="75" t="s">
        <v>160</v>
      </c>
      <c r="CZ116" s="75" t="s">
        <v>160</v>
      </c>
      <c r="DA116" s="75" t="s">
        <v>160</v>
      </c>
      <c r="DB116" s="75" t="s">
        <v>160</v>
      </c>
      <c r="DC116" s="75" t="s">
        <v>160</v>
      </c>
      <c r="DD116" s="75" t="s">
        <v>160</v>
      </c>
      <c r="DE116" s="75" t="s">
        <v>160</v>
      </c>
      <c r="DF116" s="75" t="s">
        <v>160</v>
      </c>
      <c r="DG116" s="75" t="s">
        <v>160</v>
      </c>
      <c r="DH116" s="75" t="s">
        <v>160</v>
      </c>
      <c r="DI116" s="75" t="s">
        <v>160</v>
      </c>
      <c r="DJ116" s="75" t="s">
        <v>160</v>
      </c>
      <c r="DK116" s="75" t="s">
        <v>160</v>
      </c>
      <c r="DL116" s="75" t="s">
        <v>160</v>
      </c>
      <c r="DM116" s="75" t="s">
        <v>160</v>
      </c>
      <c r="DN116" s="75" t="s">
        <v>160</v>
      </c>
      <c r="DO116" s="75" t="s">
        <v>160</v>
      </c>
      <c r="DP116" s="75" t="s">
        <v>160</v>
      </c>
      <c r="DQ116" s="75" t="s">
        <v>160</v>
      </c>
      <c r="DR116" s="75" t="s">
        <v>160</v>
      </c>
      <c r="DS116" s="75" t="s">
        <v>160</v>
      </c>
      <c r="DT116" s="75" t="s">
        <v>160</v>
      </c>
      <c r="DU116" s="75" t="s">
        <v>160</v>
      </c>
      <c r="DV116" s="75" t="s">
        <v>160</v>
      </c>
      <c r="DW116" s="75" t="s">
        <v>160</v>
      </c>
      <c r="DX116" s="75" t="s">
        <v>160</v>
      </c>
      <c r="DY116" s="75" t="s">
        <v>160</v>
      </c>
      <c r="DZ116" s="75" t="s">
        <v>160</v>
      </c>
      <c r="EA116" s="75" t="s">
        <v>160</v>
      </c>
      <c r="EB116" s="75" t="s">
        <v>160</v>
      </c>
      <c r="EC116" s="75" t="s">
        <v>160</v>
      </c>
      <c r="ED116" s="75" t="s">
        <v>160</v>
      </c>
      <c r="EE116" s="75" t="s">
        <v>160</v>
      </c>
      <c r="EF116" s="75" t="s">
        <v>160</v>
      </c>
      <c r="EG116" s="75" t="s">
        <v>160</v>
      </c>
      <c r="EH116" s="75" t="s">
        <v>160</v>
      </c>
      <c r="EI116" s="75" t="s">
        <v>160</v>
      </c>
      <c r="EJ116" s="75" t="s">
        <v>160</v>
      </c>
      <c r="EK116" s="75" t="s">
        <v>160</v>
      </c>
      <c r="EL116" s="75" t="s">
        <v>160</v>
      </c>
      <c r="EM116" s="75" t="s">
        <v>160</v>
      </c>
      <c r="EN116" s="75" t="s">
        <v>160</v>
      </c>
      <c r="EO116" s="75" t="s">
        <v>160</v>
      </c>
      <c r="EP116" s="75" t="s">
        <v>160</v>
      </c>
      <c r="EQ116" s="75" t="s">
        <v>160</v>
      </c>
      <c r="ER116" s="75" t="s">
        <v>160</v>
      </c>
      <c r="ES116" s="75" t="s">
        <v>160</v>
      </c>
      <c r="ET116" s="75" t="s">
        <v>160</v>
      </c>
      <c r="EU116" s="75" t="s">
        <v>160</v>
      </c>
      <c r="EV116" s="75" t="s">
        <v>160</v>
      </c>
      <c r="EW116" s="75" t="s">
        <v>160</v>
      </c>
      <c r="EX116" s="75" t="s">
        <v>160</v>
      </c>
      <c r="EY116" s="75" t="s">
        <v>160</v>
      </c>
      <c r="EZ116" s="75" t="s">
        <v>160</v>
      </c>
      <c r="FA116" s="75" t="s">
        <v>160</v>
      </c>
      <c r="FB116" s="75" t="s">
        <v>160</v>
      </c>
      <c r="FC116" s="75" t="s">
        <v>160</v>
      </c>
      <c r="FD116" s="75" t="s">
        <v>160</v>
      </c>
    </row>
    <row r="117" spans="1:160">
      <c r="A117" s="103" t="s">
        <v>518</v>
      </c>
      <c r="B117" s="20" t="s">
        <v>216</v>
      </c>
      <c r="G117" s="51" t="str">
        <f t="shared" si="10"/>
        <v>M15. Decision Engine - Usecase 2</v>
      </c>
      <c r="H117" s="51" t="s">
        <v>2</v>
      </c>
      <c r="I117" s="64">
        <f ca="1">IF(SUM(I118:INDIRECT("I"&amp;$O117))=0,"",MIN(I118:INDIRECT("I"&amp;$O117)))</f>
        <v>45659</v>
      </c>
      <c r="J117" s="64">
        <f ca="1">IF(SUM(J118:INDIRECT("J"&amp;$O117))=0,"",MAX(J118:INDIRECT("J"&amp;$O117)))</f>
        <v>45747</v>
      </c>
      <c r="K117" s="64" t="str">
        <f ca="1">IF(SUM(K118:INDIRECT("K"&amp;$O117))=0,"",MIN(K118:INDIRECT("K"&amp;$O117)))</f>
        <v/>
      </c>
      <c r="L117" s="64" t="str">
        <f ca="1">IF(SUM(L118:INDIRECT("L"&amp;$O117))=0,"",MAX(L118:INDIRECT("L"&amp;$O117)))</f>
        <v/>
      </c>
      <c r="M117" s="64" t="str">
        <f ca="1">IF(N117,TODAY(),IF(SUM(M118:INDIRECT("M"&amp;$O117))=0,"",MAX(M118:INDIRECT("M"&amp;$O117))))</f>
        <v/>
      </c>
      <c r="N117" s="64" t="b">
        <f ca="1">OR(N118:INDIRECT("N"&amp;O117))</f>
        <v>0</v>
      </c>
      <c r="O117" s="65">
        <f>ROW()+COUNTA(N118:N123)</f>
        <v>123</v>
      </c>
      <c r="P117" s="66">
        <f>AVERAGE(P118:P123)</f>
        <v>0</v>
      </c>
      <c r="R117" s="51" t="s">
        <v>2</v>
      </c>
      <c r="S117" s="68" t="s">
        <v>160</v>
      </c>
      <c r="T117" s="69" t="s">
        <v>160</v>
      </c>
      <c r="U117" s="69" t="s">
        <v>160</v>
      </c>
      <c r="V117" s="69" t="s">
        <v>160</v>
      </c>
      <c r="W117" s="69" t="s">
        <v>160</v>
      </c>
      <c r="X117" s="69" t="s">
        <v>160</v>
      </c>
      <c r="Y117" s="69" t="s">
        <v>160</v>
      </c>
      <c r="Z117" s="69" t="s">
        <v>160</v>
      </c>
      <c r="AA117" s="69" t="s">
        <v>160</v>
      </c>
      <c r="AB117" s="69" t="s">
        <v>160</v>
      </c>
      <c r="AC117" s="69" t="s">
        <v>160</v>
      </c>
      <c r="AD117" s="69" t="s">
        <v>160</v>
      </c>
      <c r="AE117" s="69" t="s">
        <v>160</v>
      </c>
      <c r="AF117" s="69" t="s">
        <v>160</v>
      </c>
      <c r="AG117" s="69" t="s">
        <v>160</v>
      </c>
      <c r="AH117" s="69" t="s">
        <v>160</v>
      </c>
      <c r="AI117" s="69" t="s">
        <v>160</v>
      </c>
      <c r="AJ117" s="69" t="s">
        <v>160</v>
      </c>
      <c r="AK117" s="69" t="s">
        <v>160</v>
      </c>
      <c r="AL117" s="69" t="s">
        <v>160</v>
      </c>
      <c r="AM117" s="69" t="s">
        <v>160</v>
      </c>
      <c r="AN117" s="69" t="s">
        <v>160</v>
      </c>
      <c r="AO117" s="69" t="s">
        <v>160</v>
      </c>
      <c r="AP117" s="69" t="s">
        <v>160</v>
      </c>
      <c r="AQ117" s="69" t="s">
        <v>160</v>
      </c>
      <c r="AR117" s="69" t="s">
        <v>160</v>
      </c>
      <c r="AS117" s="69" t="s">
        <v>160</v>
      </c>
      <c r="AT117" s="69" t="s">
        <v>160</v>
      </c>
      <c r="AU117" s="69" t="s">
        <v>160</v>
      </c>
      <c r="AV117" s="69" t="s">
        <v>160</v>
      </c>
      <c r="AW117" s="69" t="s">
        <v>160</v>
      </c>
      <c r="AX117" s="69" t="s">
        <v>160</v>
      </c>
      <c r="AY117" s="69" t="s">
        <v>160</v>
      </c>
      <c r="AZ117" s="69" t="s">
        <v>160</v>
      </c>
      <c r="BA117" s="69" t="s">
        <v>160</v>
      </c>
      <c r="BB117" s="69" t="s">
        <v>160</v>
      </c>
      <c r="BC117" s="69" t="s">
        <v>160</v>
      </c>
      <c r="BD117" s="69" t="s">
        <v>160</v>
      </c>
      <c r="BE117" s="69" t="s">
        <v>160</v>
      </c>
      <c r="BF117" s="69" t="s">
        <v>160</v>
      </c>
      <c r="BG117" s="69" t="s">
        <v>160</v>
      </c>
      <c r="BH117" s="69" t="s">
        <v>160</v>
      </c>
      <c r="BI117" s="69" t="s">
        <v>160</v>
      </c>
      <c r="BJ117" s="69" t="s">
        <v>160</v>
      </c>
      <c r="BK117" s="69" t="s">
        <v>160</v>
      </c>
      <c r="BL117" s="69" t="s">
        <v>160</v>
      </c>
      <c r="BM117" s="69" t="s">
        <v>160</v>
      </c>
      <c r="BN117" s="69" t="s">
        <v>160</v>
      </c>
      <c r="BO117" s="69" t="s">
        <v>160</v>
      </c>
      <c r="BP117" s="69" t="s">
        <v>160</v>
      </c>
      <c r="BQ117" s="69" t="s">
        <v>160</v>
      </c>
      <c r="BR117" s="69" t="s">
        <v>160</v>
      </c>
      <c r="BS117" s="69" t="s">
        <v>160</v>
      </c>
      <c r="BT117" s="69" t="s">
        <v>160</v>
      </c>
      <c r="BU117" s="69" t="s">
        <v>160</v>
      </c>
      <c r="BV117" s="69" t="s">
        <v>160</v>
      </c>
      <c r="BW117" s="69" t="s">
        <v>160</v>
      </c>
      <c r="BX117" s="69" t="s">
        <v>160</v>
      </c>
      <c r="BY117" s="69" t="s">
        <v>160</v>
      </c>
      <c r="BZ117" s="69" t="s">
        <v>160</v>
      </c>
      <c r="CA117" s="69" t="s">
        <v>160</v>
      </c>
      <c r="CB117" s="69" t="s">
        <v>160</v>
      </c>
      <c r="CC117" s="69" t="s">
        <v>160</v>
      </c>
      <c r="CD117" s="69" t="s">
        <v>160</v>
      </c>
      <c r="CE117" s="69" t="s">
        <v>160</v>
      </c>
      <c r="CF117" s="69" t="s">
        <v>160</v>
      </c>
      <c r="CG117" s="69" t="s">
        <v>160</v>
      </c>
      <c r="CH117" s="69" t="s">
        <v>160</v>
      </c>
      <c r="CI117" s="69" t="s">
        <v>160</v>
      </c>
      <c r="CJ117" s="69" t="s">
        <v>160</v>
      </c>
      <c r="CK117" s="69" t="s">
        <v>160</v>
      </c>
      <c r="CL117" s="69" t="s">
        <v>160</v>
      </c>
      <c r="CM117" s="69" t="s">
        <v>160</v>
      </c>
      <c r="CN117" s="69" t="s">
        <v>160</v>
      </c>
      <c r="CO117" s="69" t="s">
        <v>160</v>
      </c>
      <c r="CP117" s="69" t="s">
        <v>160</v>
      </c>
      <c r="CQ117" s="69" t="s">
        <v>160</v>
      </c>
      <c r="CR117" s="69" t="s">
        <v>160</v>
      </c>
      <c r="CS117" s="69" t="s">
        <v>160</v>
      </c>
      <c r="CT117" s="69" t="s">
        <v>160</v>
      </c>
      <c r="CU117" s="69" t="s">
        <v>160</v>
      </c>
      <c r="CV117" s="69" t="s">
        <v>160</v>
      </c>
      <c r="CW117" s="69" t="s">
        <v>160</v>
      </c>
      <c r="CX117" s="69" t="s">
        <v>160</v>
      </c>
      <c r="CY117" s="69" t="s">
        <v>160</v>
      </c>
      <c r="CZ117" s="69" t="s">
        <v>160</v>
      </c>
      <c r="DA117" s="69" t="s">
        <v>160</v>
      </c>
      <c r="DB117" s="69" t="s">
        <v>160</v>
      </c>
      <c r="DC117" s="69" t="s">
        <v>160</v>
      </c>
      <c r="DD117" s="69" t="s">
        <v>160</v>
      </c>
      <c r="DE117" s="69" t="s">
        <v>160</v>
      </c>
      <c r="DF117" s="69" t="s">
        <v>160</v>
      </c>
      <c r="DG117" s="69" t="s">
        <v>160</v>
      </c>
      <c r="DH117" s="69" t="s">
        <v>160</v>
      </c>
      <c r="DI117" s="69" t="s">
        <v>160</v>
      </c>
      <c r="DJ117" s="69" t="s">
        <v>160</v>
      </c>
      <c r="DK117" s="69" t="s">
        <v>160</v>
      </c>
      <c r="DL117" s="69" t="s">
        <v>160</v>
      </c>
      <c r="DM117" s="69" t="s">
        <v>160</v>
      </c>
      <c r="DN117" s="69" t="s">
        <v>160</v>
      </c>
      <c r="DO117" s="69" t="s">
        <v>160</v>
      </c>
      <c r="DP117" s="69" t="s">
        <v>160</v>
      </c>
      <c r="DQ117" s="69" t="s">
        <v>160</v>
      </c>
      <c r="DR117" s="69" t="s">
        <v>160</v>
      </c>
      <c r="DS117" s="69" t="s">
        <v>160</v>
      </c>
      <c r="DT117" s="69" t="s">
        <v>160</v>
      </c>
      <c r="DU117" s="69" t="s">
        <v>160</v>
      </c>
      <c r="DV117" s="69" t="s">
        <v>160</v>
      </c>
      <c r="DW117" s="69" t="s">
        <v>160</v>
      </c>
      <c r="DX117" s="69" t="s">
        <v>160</v>
      </c>
      <c r="DY117" s="69" t="s">
        <v>160</v>
      </c>
      <c r="DZ117" s="69" t="s">
        <v>160</v>
      </c>
      <c r="EA117" s="69" t="s">
        <v>160</v>
      </c>
      <c r="EB117" s="69" t="s">
        <v>160</v>
      </c>
      <c r="EC117" s="69" t="s">
        <v>160</v>
      </c>
      <c r="ED117" s="69" t="s">
        <v>160</v>
      </c>
      <c r="EE117" s="69" t="s">
        <v>160</v>
      </c>
      <c r="EF117" s="69" t="s">
        <v>160</v>
      </c>
      <c r="EG117" s="69" t="s">
        <v>160</v>
      </c>
      <c r="EH117" s="69" t="s">
        <v>160</v>
      </c>
      <c r="EI117" s="69" t="s">
        <v>160</v>
      </c>
      <c r="EJ117" s="69" t="s">
        <v>160</v>
      </c>
      <c r="EK117" s="69" t="s">
        <v>160</v>
      </c>
      <c r="EL117" s="69" t="s">
        <v>160</v>
      </c>
      <c r="EM117" s="69" t="s">
        <v>160</v>
      </c>
      <c r="EN117" s="69" t="s">
        <v>160</v>
      </c>
      <c r="EO117" s="69" t="s">
        <v>160</v>
      </c>
      <c r="EP117" s="69" t="s">
        <v>160</v>
      </c>
      <c r="EQ117" s="69" t="s">
        <v>160</v>
      </c>
      <c r="ER117" s="69" t="s">
        <v>160</v>
      </c>
      <c r="ES117" s="69" t="s">
        <v>160</v>
      </c>
      <c r="ET117" s="69" t="s">
        <v>160</v>
      </c>
      <c r="EU117" s="69" t="s">
        <v>160</v>
      </c>
      <c r="EV117" s="69" t="s">
        <v>160</v>
      </c>
      <c r="EW117" s="69" t="s">
        <v>160</v>
      </c>
      <c r="EX117" s="69" t="s">
        <v>160</v>
      </c>
      <c r="EY117" s="69" t="s">
        <v>160</v>
      </c>
      <c r="EZ117" s="69" t="s">
        <v>160</v>
      </c>
      <c r="FA117" s="69" t="s">
        <v>160</v>
      </c>
      <c r="FB117" s="69" t="s">
        <v>160</v>
      </c>
      <c r="FC117" s="69" t="s">
        <v>160</v>
      </c>
      <c r="FD117" s="69" t="s">
        <v>160</v>
      </c>
    </row>
    <row r="118" spans="1:160">
      <c r="A118" s="103" t="s">
        <v>519</v>
      </c>
      <c r="C118" s="50" t="s">
        <v>215</v>
      </c>
      <c r="G118" s="51" t="str">
        <f t="shared" si="10"/>
        <v>Note : Use case to be evaluated based on research basis in the area of smart home and smart grid &amp; smart factory applications</v>
      </c>
      <c r="H118" s="51" t="s">
        <v>2</v>
      </c>
      <c r="I118" s="64"/>
      <c r="J118" s="64"/>
      <c r="K118" s="64"/>
      <c r="L118" s="64"/>
      <c r="M118" s="64"/>
      <c r="N118" s="64" t="b">
        <f>ISNUMBER(SEARCH("*Waiting*",M118))</f>
        <v>0</v>
      </c>
      <c r="O118" s="64"/>
      <c r="R118" s="51" t="s">
        <v>2</v>
      </c>
      <c r="S118" s="68" t="s">
        <v>160</v>
      </c>
      <c r="T118" s="69" t="s">
        <v>160</v>
      </c>
      <c r="U118" s="69" t="s">
        <v>160</v>
      </c>
      <c r="V118" s="69" t="s">
        <v>160</v>
      </c>
      <c r="W118" s="69" t="s">
        <v>160</v>
      </c>
      <c r="X118" s="69" t="s">
        <v>160</v>
      </c>
      <c r="Y118" s="69" t="s">
        <v>160</v>
      </c>
      <c r="Z118" s="69" t="s">
        <v>160</v>
      </c>
      <c r="AA118" s="69" t="s">
        <v>160</v>
      </c>
      <c r="AB118" s="69" t="s">
        <v>160</v>
      </c>
      <c r="AC118" s="69" t="s">
        <v>160</v>
      </c>
      <c r="AD118" s="69" t="s">
        <v>160</v>
      </c>
      <c r="AE118" s="69" t="s">
        <v>160</v>
      </c>
      <c r="AF118" s="69" t="s">
        <v>160</v>
      </c>
      <c r="AG118" s="69" t="s">
        <v>160</v>
      </c>
      <c r="AH118" s="69" t="s">
        <v>160</v>
      </c>
      <c r="AI118" s="69" t="s">
        <v>160</v>
      </c>
      <c r="AJ118" s="69" t="s">
        <v>160</v>
      </c>
      <c r="AK118" s="69" t="s">
        <v>160</v>
      </c>
      <c r="AL118" s="69" t="s">
        <v>160</v>
      </c>
      <c r="AM118" s="69" t="s">
        <v>160</v>
      </c>
      <c r="AN118" s="69" t="s">
        <v>160</v>
      </c>
      <c r="AO118" s="69" t="s">
        <v>160</v>
      </c>
      <c r="AP118" s="69" t="s">
        <v>160</v>
      </c>
      <c r="AQ118" s="69" t="s">
        <v>160</v>
      </c>
      <c r="AR118" s="69" t="s">
        <v>160</v>
      </c>
      <c r="AS118" s="69" t="s">
        <v>160</v>
      </c>
      <c r="AT118" s="69" t="s">
        <v>160</v>
      </c>
      <c r="AU118" s="69" t="s">
        <v>160</v>
      </c>
      <c r="AV118" s="69" t="s">
        <v>160</v>
      </c>
      <c r="AW118" s="69" t="s">
        <v>160</v>
      </c>
      <c r="AX118" s="69" t="s">
        <v>160</v>
      </c>
      <c r="AY118" s="69" t="s">
        <v>160</v>
      </c>
      <c r="AZ118" s="69" t="s">
        <v>160</v>
      </c>
      <c r="BA118" s="69" t="s">
        <v>160</v>
      </c>
      <c r="BB118" s="69" t="s">
        <v>160</v>
      </c>
      <c r="BC118" s="69" t="s">
        <v>160</v>
      </c>
      <c r="BD118" s="69" t="s">
        <v>160</v>
      </c>
      <c r="BE118" s="69" t="s">
        <v>160</v>
      </c>
      <c r="BF118" s="69" t="s">
        <v>160</v>
      </c>
      <c r="BG118" s="69" t="s">
        <v>160</v>
      </c>
      <c r="BH118" s="69" t="s">
        <v>160</v>
      </c>
      <c r="BI118" s="69" t="s">
        <v>160</v>
      </c>
      <c r="BJ118" s="69" t="s">
        <v>160</v>
      </c>
      <c r="BK118" s="69" t="s">
        <v>160</v>
      </c>
      <c r="BL118" s="69" t="s">
        <v>160</v>
      </c>
      <c r="BM118" s="69" t="s">
        <v>160</v>
      </c>
      <c r="BN118" s="69" t="s">
        <v>160</v>
      </c>
      <c r="BO118" s="69" t="s">
        <v>160</v>
      </c>
      <c r="BP118" s="69" t="s">
        <v>160</v>
      </c>
      <c r="BQ118" s="69" t="s">
        <v>160</v>
      </c>
      <c r="BR118" s="69" t="s">
        <v>160</v>
      </c>
      <c r="BS118" s="69" t="s">
        <v>160</v>
      </c>
      <c r="BT118" s="69" t="s">
        <v>160</v>
      </c>
      <c r="BU118" s="69" t="s">
        <v>160</v>
      </c>
      <c r="BV118" s="69" t="s">
        <v>160</v>
      </c>
      <c r="BW118" s="69" t="s">
        <v>160</v>
      </c>
      <c r="BX118" s="69" t="s">
        <v>160</v>
      </c>
      <c r="BY118" s="69" t="s">
        <v>160</v>
      </c>
      <c r="BZ118" s="69" t="s">
        <v>160</v>
      </c>
      <c r="CA118" s="69" t="s">
        <v>160</v>
      </c>
      <c r="CB118" s="69" t="s">
        <v>160</v>
      </c>
      <c r="CC118" s="69" t="s">
        <v>160</v>
      </c>
      <c r="CD118" s="69" t="s">
        <v>160</v>
      </c>
      <c r="CE118" s="69" t="s">
        <v>160</v>
      </c>
      <c r="CF118" s="69" t="s">
        <v>160</v>
      </c>
      <c r="CG118" s="69" t="s">
        <v>160</v>
      </c>
      <c r="CH118" s="69" t="s">
        <v>160</v>
      </c>
      <c r="CI118" s="69" t="s">
        <v>160</v>
      </c>
      <c r="CJ118" s="69" t="s">
        <v>160</v>
      </c>
      <c r="CK118" s="69" t="s">
        <v>160</v>
      </c>
      <c r="CL118" s="69" t="s">
        <v>160</v>
      </c>
      <c r="CM118" s="69" t="s">
        <v>160</v>
      </c>
      <c r="CN118" s="69" t="s">
        <v>160</v>
      </c>
      <c r="CO118" s="69" t="s">
        <v>160</v>
      </c>
      <c r="CP118" s="69" t="s">
        <v>160</v>
      </c>
      <c r="CQ118" s="69" t="s">
        <v>160</v>
      </c>
      <c r="CR118" s="69" t="s">
        <v>160</v>
      </c>
      <c r="CS118" s="69" t="s">
        <v>160</v>
      </c>
      <c r="CT118" s="69" t="s">
        <v>160</v>
      </c>
      <c r="CU118" s="69" t="s">
        <v>160</v>
      </c>
      <c r="CV118" s="69" t="s">
        <v>160</v>
      </c>
      <c r="CW118" s="69" t="s">
        <v>160</v>
      </c>
      <c r="CX118" s="69" t="s">
        <v>160</v>
      </c>
      <c r="CY118" s="69" t="s">
        <v>160</v>
      </c>
      <c r="CZ118" s="69" t="s">
        <v>160</v>
      </c>
      <c r="DA118" s="69" t="s">
        <v>160</v>
      </c>
      <c r="DB118" s="69" t="s">
        <v>160</v>
      </c>
      <c r="DC118" s="69" t="s">
        <v>160</v>
      </c>
      <c r="DD118" s="69" t="s">
        <v>160</v>
      </c>
      <c r="DE118" s="69" t="s">
        <v>160</v>
      </c>
      <c r="DF118" s="69" t="s">
        <v>160</v>
      </c>
      <c r="DG118" s="69" t="s">
        <v>160</v>
      </c>
      <c r="DH118" s="69" t="s">
        <v>160</v>
      </c>
      <c r="DI118" s="69" t="s">
        <v>160</v>
      </c>
      <c r="DJ118" s="69" t="s">
        <v>160</v>
      </c>
      <c r="DK118" s="69" t="s">
        <v>160</v>
      </c>
      <c r="DL118" s="69" t="s">
        <v>160</v>
      </c>
      <c r="DM118" s="69" t="s">
        <v>160</v>
      </c>
      <c r="DN118" s="69" t="s">
        <v>160</v>
      </c>
      <c r="DO118" s="69" t="s">
        <v>160</v>
      </c>
      <c r="DP118" s="69" t="s">
        <v>160</v>
      </c>
      <c r="DQ118" s="69" t="s">
        <v>160</v>
      </c>
      <c r="DR118" s="69" t="s">
        <v>160</v>
      </c>
      <c r="DS118" s="69" t="s">
        <v>160</v>
      </c>
      <c r="DT118" s="69" t="s">
        <v>160</v>
      </c>
      <c r="DU118" s="69" t="s">
        <v>160</v>
      </c>
      <c r="DV118" s="69" t="s">
        <v>160</v>
      </c>
      <c r="DW118" s="69" t="s">
        <v>160</v>
      </c>
      <c r="DX118" s="69" t="s">
        <v>160</v>
      </c>
      <c r="DY118" s="69" t="s">
        <v>160</v>
      </c>
      <c r="DZ118" s="69" t="s">
        <v>160</v>
      </c>
      <c r="EA118" s="69" t="s">
        <v>160</v>
      </c>
      <c r="EB118" s="69" t="s">
        <v>160</v>
      </c>
      <c r="EC118" s="69" t="s">
        <v>160</v>
      </c>
      <c r="ED118" s="69" t="s">
        <v>160</v>
      </c>
      <c r="EE118" s="69" t="s">
        <v>160</v>
      </c>
      <c r="EF118" s="69" t="s">
        <v>160</v>
      </c>
      <c r="EG118" s="69" t="s">
        <v>160</v>
      </c>
      <c r="EH118" s="69" t="s">
        <v>160</v>
      </c>
      <c r="EI118" s="69" t="s">
        <v>160</v>
      </c>
      <c r="EJ118" s="69" t="s">
        <v>160</v>
      </c>
      <c r="EK118" s="69" t="s">
        <v>160</v>
      </c>
      <c r="EL118" s="69" t="s">
        <v>160</v>
      </c>
      <c r="EM118" s="69" t="s">
        <v>160</v>
      </c>
      <c r="EN118" s="69" t="s">
        <v>160</v>
      </c>
      <c r="EO118" s="69" t="s">
        <v>160</v>
      </c>
      <c r="EP118" s="69" t="s">
        <v>160</v>
      </c>
      <c r="EQ118" s="69" t="s">
        <v>160</v>
      </c>
      <c r="ER118" s="69" t="s">
        <v>160</v>
      </c>
      <c r="ES118" s="69" t="s">
        <v>160</v>
      </c>
      <c r="ET118" s="69" t="s">
        <v>160</v>
      </c>
      <c r="EU118" s="69" t="s">
        <v>160</v>
      </c>
      <c r="EV118" s="69" t="s">
        <v>160</v>
      </c>
      <c r="EW118" s="69" t="s">
        <v>160</v>
      </c>
      <c r="EX118" s="69" t="s">
        <v>160</v>
      </c>
      <c r="EY118" s="69" t="s">
        <v>160</v>
      </c>
      <c r="EZ118" s="69" t="s">
        <v>160</v>
      </c>
      <c r="FA118" s="69" t="s">
        <v>160</v>
      </c>
      <c r="FB118" s="69" t="s">
        <v>160</v>
      </c>
      <c r="FC118" s="69" t="s">
        <v>160</v>
      </c>
      <c r="FD118" s="69" t="s">
        <v>160</v>
      </c>
    </row>
    <row r="119" spans="1:160">
      <c r="A119" s="103" t="s">
        <v>520</v>
      </c>
      <c r="B119" s="20" t="s">
        <v>163</v>
      </c>
      <c r="C119" s="91" t="s">
        <v>171</v>
      </c>
      <c r="G119" s="51" t="str">
        <f t="shared" si="10"/>
        <v>Technical design document explaining the data schema and algorithm</v>
      </c>
      <c r="H119" s="51" t="s">
        <v>2</v>
      </c>
      <c r="I119" s="64">
        <v>45659</v>
      </c>
      <c r="J119" s="64">
        <v>45747</v>
      </c>
      <c r="K119" s="64"/>
      <c r="L119" s="64"/>
      <c r="M119" s="64"/>
      <c r="N119" s="64" t="b">
        <f t="shared" ref="N119:N123" si="17">ISNUMBER(SEARCH("*Waiting*",M119))</f>
        <v>0</v>
      </c>
      <c r="O119" s="64"/>
      <c r="P119" s="24">
        <v>0</v>
      </c>
      <c r="R119" s="51" t="s">
        <v>2</v>
      </c>
      <c r="S119" s="68" t="s">
        <v>160</v>
      </c>
      <c r="T119" s="69" t="s">
        <v>160</v>
      </c>
      <c r="U119" s="69" t="s">
        <v>160</v>
      </c>
      <c r="V119" s="69" t="s">
        <v>160</v>
      </c>
      <c r="W119" s="69" t="s">
        <v>160</v>
      </c>
      <c r="X119" s="69" t="s">
        <v>160</v>
      </c>
      <c r="Y119" s="69" t="s">
        <v>160</v>
      </c>
      <c r="Z119" s="69" t="s">
        <v>160</v>
      </c>
      <c r="AA119" s="69" t="s">
        <v>160</v>
      </c>
      <c r="AB119" s="69" t="s">
        <v>160</v>
      </c>
      <c r="AC119" s="69" t="s">
        <v>160</v>
      </c>
      <c r="AD119" s="69" t="s">
        <v>160</v>
      </c>
      <c r="AE119" s="69" t="s">
        <v>160</v>
      </c>
      <c r="AF119" s="69" t="s">
        <v>160</v>
      </c>
      <c r="AG119" s="69" t="s">
        <v>160</v>
      </c>
      <c r="AH119" s="69" t="s">
        <v>160</v>
      </c>
      <c r="AI119" s="69" t="s">
        <v>160</v>
      </c>
      <c r="AJ119" s="69" t="s">
        <v>160</v>
      </c>
      <c r="AK119" s="69" t="s">
        <v>160</v>
      </c>
      <c r="AL119" s="69" t="s">
        <v>160</v>
      </c>
      <c r="AM119" s="69" t="s">
        <v>160</v>
      </c>
      <c r="AN119" s="69" t="s">
        <v>160</v>
      </c>
      <c r="AO119" s="69" t="s">
        <v>160</v>
      </c>
      <c r="AP119" s="69" t="s">
        <v>160</v>
      </c>
      <c r="AQ119" s="69" t="s">
        <v>160</v>
      </c>
      <c r="AR119" s="69" t="s">
        <v>160</v>
      </c>
      <c r="AS119" s="69" t="s">
        <v>160</v>
      </c>
      <c r="AT119" s="69" t="s">
        <v>160</v>
      </c>
      <c r="AU119" s="69" t="s">
        <v>160</v>
      </c>
      <c r="AV119" s="69" t="s">
        <v>160</v>
      </c>
      <c r="AW119" s="69" t="s">
        <v>160</v>
      </c>
      <c r="AX119" s="69" t="s">
        <v>160</v>
      </c>
      <c r="AY119" s="69" t="s">
        <v>160</v>
      </c>
      <c r="AZ119" s="69" t="s">
        <v>160</v>
      </c>
      <c r="BA119" s="69" t="s">
        <v>160</v>
      </c>
      <c r="BB119" s="69" t="s">
        <v>160</v>
      </c>
      <c r="BC119" s="69" t="s">
        <v>160</v>
      </c>
      <c r="BD119" s="69" t="s">
        <v>160</v>
      </c>
      <c r="BE119" s="69" t="s">
        <v>160</v>
      </c>
      <c r="BF119" s="69" t="s">
        <v>160</v>
      </c>
      <c r="BG119" s="69" t="s">
        <v>160</v>
      </c>
      <c r="BH119" s="69" t="s">
        <v>160</v>
      </c>
      <c r="BI119" s="69" t="s">
        <v>160</v>
      </c>
      <c r="BJ119" s="69" t="s">
        <v>160</v>
      </c>
      <c r="BK119" s="69" t="s">
        <v>160</v>
      </c>
      <c r="BL119" s="69" t="s">
        <v>160</v>
      </c>
      <c r="BM119" s="69" t="s">
        <v>160</v>
      </c>
      <c r="BN119" s="69" t="s">
        <v>160</v>
      </c>
      <c r="BO119" s="69" t="s">
        <v>160</v>
      </c>
      <c r="BP119" s="69" t="s">
        <v>160</v>
      </c>
      <c r="BQ119" s="69" t="s">
        <v>160</v>
      </c>
      <c r="BR119" s="69" t="s">
        <v>160</v>
      </c>
      <c r="BS119" s="69" t="s">
        <v>160</v>
      </c>
      <c r="BT119" s="69" t="s">
        <v>160</v>
      </c>
      <c r="BU119" s="69" t="s">
        <v>160</v>
      </c>
      <c r="BV119" s="69" t="s">
        <v>160</v>
      </c>
      <c r="BW119" s="69" t="s">
        <v>160</v>
      </c>
      <c r="BX119" s="69" t="s">
        <v>160</v>
      </c>
      <c r="BY119" s="69" t="s">
        <v>160</v>
      </c>
      <c r="BZ119" s="69" t="s">
        <v>160</v>
      </c>
      <c r="CA119" s="69" t="s">
        <v>160</v>
      </c>
      <c r="CB119" s="69" t="s">
        <v>160</v>
      </c>
      <c r="CC119" s="69" t="s">
        <v>160</v>
      </c>
      <c r="CD119" s="69" t="s">
        <v>160</v>
      </c>
      <c r="CE119" s="69" t="s">
        <v>160</v>
      </c>
      <c r="CF119" s="69" t="s">
        <v>160</v>
      </c>
      <c r="CG119" s="69" t="s">
        <v>160</v>
      </c>
      <c r="CH119" s="69" t="s">
        <v>160</v>
      </c>
      <c r="CI119" s="69" t="s">
        <v>160</v>
      </c>
      <c r="CJ119" s="69" t="s">
        <v>160</v>
      </c>
      <c r="CK119" s="69" t="s">
        <v>160</v>
      </c>
      <c r="CL119" s="69" t="s">
        <v>160</v>
      </c>
      <c r="CM119" s="69" t="s">
        <v>160</v>
      </c>
      <c r="CN119" s="69" t="s">
        <v>160</v>
      </c>
      <c r="CO119" s="69" t="s">
        <v>160</v>
      </c>
      <c r="CP119" s="69" t="s">
        <v>160</v>
      </c>
      <c r="CQ119" s="69" t="s">
        <v>160</v>
      </c>
      <c r="CR119" s="69" t="s">
        <v>160</v>
      </c>
      <c r="CS119" s="69" t="s">
        <v>160</v>
      </c>
      <c r="CT119" s="69" t="s">
        <v>160</v>
      </c>
      <c r="CU119" s="69" t="s">
        <v>160</v>
      </c>
      <c r="CV119" s="69" t="s">
        <v>160</v>
      </c>
      <c r="CW119" s="69" t="s">
        <v>160</v>
      </c>
      <c r="CX119" s="69" t="s">
        <v>160</v>
      </c>
      <c r="CY119" s="69" t="s">
        <v>160</v>
      </c>
      <c r="CZ119" s="69" t="s">
        <v>160</v>
      </c>
      <c r="DA119" s="69" t="s">
        <v>160</v>
      </c>
      <c r="DB119" s="69" t="s">
        <v>160</v>
      </c>
      <c r="DC119" s="69" t="s">
        <v>160</v>
      </c>
      <c r="DD119" s="69" t="s">
        <v>160</v>
      </c>
      <c r="DE119" s="69" t="s">
        <v>160</v>
      </c>
      <c r="DF119" s="69" t="s">
        <v>160</v>
      </c>
      <c r="DG119" s="69" t="s">
        <v>160</v>
      </c>
      <c r="DH119" s="69" t="s">
        <v>160</v>
      </c>
      <c r="DI119" s="69" t="s">
        <v>160</v>
      </c>
      <c r="DJ119" s="69" t="s">
        <v>160</v>
      </c>
      <c r="DK119" s="69" t="s">
        <v>160</v>
      </c>
      <c r="DL119" s="69" t="s">
        <v>160</v>
      </c>
      <c r="DM119" s="69" t="s">
        <v>160</v>
      </c>
      <c r="DN119" s="69" t="s">
        <v>160</v>
      </c>
      <c r="DO119" s="69" t="s">
        <v>160</v>
      </c>
      <c r="DP119" s="69" t="s">
        <v>160</v>
      </c>
      <c r="DQ119" s="69" t="s">
        <v>160</v>
      </c>
      <c r="DR119" s="69" t="s">
        <v>160</v>
      </c>
      <c r="DS119" s="69" t="s">
        <v>160</v>
      </c>
      <c r="DT119" s="69" t="s">
        <v>160</v>
      </c>
      <c r="DU119" s="69" t="s">
        <v>160</v>
      </c>
      <c r="DV119" s="69" t="s">
        <v>160</v>
      </c>
      <c r="DW119" s="69" t="s">
        <v>160</v>
      </c>
      <c r="DX119" s="69" t="s">
        <v>160</v>
      </c>
      <c r="DY119" s="69" t="s">
        <v>160</v>
      </c>
      <c r="DZ119" s="69" t="s">
        <v>160</v>
      </c>
      <c r="EA119" s="69" t="s">
        <v>160</v>
      </c>
      <c r="EB119" s="69" t="s">
        <v>160</v>
      </c>
      <c r="EC119" s="69" t="s">
        <v>160</v>
      </c>
      <c r="ED119" s="69" t="s">
        <v>160</v>
      </c>
      <c r="EE119" s="69" t="s">
        <v>160</v>
      </c>
      <c r="EF119" s="69" t="s">
        <v>160</v>
      </c>
      <c r="EG119" s="69" t="s">
        <v>160</v>
      </c>
      <c r="EH119" s="69" t="s">
        <v>160</v>
      </c>
      <c r="EI119" s="69" t="s">
        <v>160</v>
      </c>
      <c r="EJ119" s="69" t="s">
        <v>160</v>
      </c>
      <c r="EK119" s="69" t="s">
        <v>160</v>
      </c>
      <c r="EL119" s="69" t="s">
        <v>160</v>
      </c>
      <c r="EM119" s="69" t="s">
        <v>160</v>
      </c>
      <c r="EN119" s="69" t="s">
        <v>160</v>
      </c>
      <c r="EO119" s="69" t="s">
        <v>160</v>
      </c>
      <c r="EP119" s="69" t="s">
        <v>160</v>
      </c>
      <c r="EQ119" s="69" t="s">
        <v>160</v>
      </c>
      <c r="ER119" s="69" t="s">
        <v>160</v>
      </c>
      <c r="ES119" s="69" t="s">
        <v>160</v>
      </c>
      <c r="ET119" s="69" t="s">
        <v>160</v>
      </c>
      <c r="EU119" s="69" t="s">
        <v>160</v>
      </c>
      <c r="EV119" s="69" t="s">
        <v>160</v>
      </c>
      <c r="EW119" s="69" t="s">
        <v>160</v>
      </c>
      <c r="EX119" s="69" t="s">
        <v>160</v>
      </c>
      <c r="EY119" s="69" t="s">
        <v>160</v>
      </c>
      <c r="EZ119" s="69" t="s">
        <v>160</v>
      </c>
      <c r="FA119" s="69" t="s">
        <v>160</v>
      </c>
      <c r="FB119" s="69" t="s">
        <v>160</v>
      </c>
      <c r="FC119" s="69" t="s">
        <v>160</v>
      </c>
      <c r="FD119" s="69" t="s">
        <v>160</v>
      </c>
    </row>
    <row r="120" spans="1:160">
      <c r="A120" s="103" t="s">
        <v>521</v>
      </c>
      <c r="B120" s="20" t="s">
        <v>163</v>
      </c>
      <c r="C120" s="91" t="s">
        <v>172</v>
      </c>
      <c r="G120" s="51" t="str">
        <f t="shared" si="10"/>
        <v>Software Code</v>
      </c>
      <c r="H120" s="51" t="s">
        <v>2</v>
      </c>
      <c r="I120" s="64">
        <v>45659</v>
      </c>
      <c r="J120" s="64">
        <v>45747</v>
      </c>
      <c r="K120" s="64"/>
      <c r="L120" s="64"/>
      <c r="M120" s="64"/>
      <c r="N120" s="64" t="b">
        <f t="shared" si="17"/>
        <v>0</v>
      </c>
      <c r="O120" s="64"/>
      <c r="P120" s="24">
        <v>0</v>
      </c>
      <c r="R120" s="51" t="s">
        <v>2</v>
      </c>
      <c r="S120" s="68" t="s">
        <v>160</v>
      </c>
      <c r="T120" s="69" t="s">
        <v>160</v>
      </c>
      <c r="U120" s="69" t="s">
        <v>160</v>
      </c>
      <c r="V120" s="69" t="s">
        <v>160</v>
      </c>
      <c r="W120" s="69" t="s">
        <v>160</v>
      </c>
      <c r="X120" s="69" t="s">
        <v>160</v>
      </c>
      <c r="Y120" s="69" t="s">
        <v>160</v>
      </c>
      <c r="Z120" s="69" t="s">
        <v>160</v>
      </c>
      <c r="AA120" s="69" t="s">
        <v>160</v>
      </c>
      <c r="AB120" s="69" t="s">
        <v>160</v>
      </c>
      <c r="AC120" s="69" t="s">
        <v>160</v>
      </c>
      <c r="AD120" s="69" t="s">
        <v>160</v>
      </c>
      <c r="AE120" s="69" t="s">
        <v>160</v>
      </c>
      <c r="AF120" s="69" t="s">
        <v>160</v>
      </c>
      <c r="AG120" s="69" t="s">
        <v>160</v>
      </c>
      <c r="AH120" s="69" t="s">
        <v>160</v>
      </c>
      <c r="AI120" s="69" t="s">
        <v>160</v>
      </c>
      <c r="AJ120" s="69" t="s">
        <v>160</v>
      </c>
      <c r="AK120" s="69" t="s">
        <v>160</v>
      </c>
      <c r="AL120" s="69" t="s">
        <v>160</v>
      </c>
      <c r="AM120" s="69" t="s">
        <v>160</v>
      </c>
      <c r="AN120" s="69" t="s">
        <v>160</v>
      </c>
      <c r="AO120" s="69" t="s">
        <v>160</v>
      </c>
      <c r="AP120" s="69" t="s">
        <v>160</v>
      </c>
      <c r="AQ120" s="69" t="s">
        <v>160</v>
      </c>
      <c r="AR120" s="69" t="s">
        <v>160</v>
      </c>
      <c r="AS120" s="69" t="s">
        <v>160</v>
      </c>
      <c r="AT120" s="69" t="s">
        <v>160</v>
      </c>
      <c r="AU120" s="69" t="s">
        <v>160</v>
      </c>
      <c r="AV120" s="69" t="s">
        <v>160</v>
      </c>
      <c r="AW120" s="69" t="s">
        <v>160</v>
      </c>
      <c r="AX120" s="69" t="s">
        <v>160</v>
      </c>
      <c r="AY120" s="69" t="s">
        <v>160</v>
      </c>
      <c r="AZ120" s="69" t="s">
        <v>160</v>
      </c>
      <c r="BA120" s="69" t="s">
        <v>160</v>
      </c>
      <c r="BB120" s="69" t="s">
        <v>160</v>
      </c>
      <c r="BC120" s="69" t="s">
        <v>160</v>
      </c>
      <c r="BD120" s="69" t="s">
        <v>160</v>
      </c>
      <c r="BE120" s="69" t="s">
        <v>160</v>
      </c>
      <c r="BF120" s="69" t="s">
        <v>160</v>
      </c>
      <c r="BG120" s="69" t="s">
        <v>160</v>
      </c>
      <c r="BH120" s="69" t="s">
        <v>160</v>
      </c>
      <c r="BI120" s="69" t="s">
        <v>160</v>
      </c>
      <c r="BJ120" s="69" t="s">
        <v>160</v>
      </c>
      <c r="BK120" s="69" t="s">
        <v>160</v>
      </c>
      <c r="BL120" s="69" t="s">
        <v>160</v>
      </c>
      <c r="BM120" s="69" t="s">
        <v>160</v>
      </c>
      <c r="BN120" s="69" t="s">
        <v>160</v>
      </c>
      <c r="BO120" s="69" t="s">
        <v>160</v>
      </c>
      <c r="BP120" s="69" t="s">
        <v>160</v>
      </c>
      <c r="BQ120" s="69" t="s">
        <v>160</v>
      </c>
      <c r="BR120" s="69" t="s">
        <v>160</v>
      </c>
      <c r="BS120" s="69" t="s">
        <v>160</v>
      </c>
      <c r="BT120" s="69" t="s">
        <v>160</v>
      </c>
      <c r="BU120" s="69" t="s">
        <v>160</v>
      </c>
      <c r="BV120" s="69" t="s">
        <v>160</v>
      </c>
      <c r="BW120" s="69" t="s">
        <v>160</v>
      </c>
      <c r="BX120" s="69" t="s">
        <v>160</v>
      </c>
      <c r="BY120" s="69" t="s">
        <v>160</v>
      </c>
      <c r="BZ120" s="69" t="s">
        <v>160</v>
      </c>
      <c r="CA120" s="69" t="s">
        <v>160</v>
      </c>
      <c r="CB120" s="69" t="s">
        <v>160</v>
      </c>
      <c r="CC120" s="69" t="s">
        <v>160</v>
      </c>
      <c r="CD120" s="69" t="s">
        <v>160</v>
      </c>
      <c r="CE120" s="69" t="s">
        <v>160</v>
      </c>
      <c r="CF120" s="69" t="s">
        <v>160</v>
      </c>
      <c r="CG120" s="69" t="s">
        <v>160</v>
      </c>
      <c r="CH120" s="69" t="s">
        <v>160</v>
      </c>
      <c r="CI120" s="69" t="s">
        <v>160</v>
      </c>
      <c r="CJ120" s="69" t="s">
        <v>160</v>
      </c>
      <c r="CK120" s="69" t="s">
        <v>160</v>
      </c>
      <c r="CL120" s="69" t="s">
        <v>160</v>
      </c>
      <c r="CM120" s="69" t="s">
        <v>160</v>
      </c>
      <c r="CN120" s="69" t="s">
        <v>160</v>
      </c>
      <c r="CO120" s="69" t="s">
        <v>160</v>
      </c>
      <c r="CP120" s="69" t="s">
        <v>160</v>
      </c>
      <c r="CQ120" s="69" t="s">
        <v>160</v>
      </c>
      <c r="CR120" s="69" t="s">
        <v>160</v>
      </c>
      <c r="CS120" s="69" t="s">
        <v>160</v>
      </c>
      <c r="CT120" s="69" t="s">
        <v>160</v>
      </c>
      <c r="CU120" s="69" t="s">
        <v>160</v>
      </c>
      <c r="CV120" s="69" t="s">
        <v>160</v>
      </c>
      <c r="CW120" s="69" t="s">
        <v>160</v>
      </c>
      <c r="CX120" s="69" t="s">
        <v>160</v>
      </c>
      <c r="CY120" s="69" t="s">
        <v>160</v>
      </c>
      <c r="CZ120" s="69" t="s">
        <v>160</v>
      </c>
      <c r="DA120" s="69" t="s">
        <v>160</v>
      </c>
      <c r="DB120" s="69" t="s">
        <v>160</v>
      </c>
      <c r="DC120" s="69" t="s">
        <v>160</v>
      </c>
      <c r="DD120" s="69" t="s">
        <v>160</v>
      </c>
      <c r="DE120" s="69" t="s">
        <v>160</v>
      </c>
      <c r="DF120" s="69" t="s">
        <v>160</v>
      </c>
      <c r="DG120" s="69" t="s">
        <v>160</v>
      </c>
      <c r="DH120" s="69" t="s">
        <v>160</v>
      </c>
      <c r="DI120" s="69" t="s">
        <v>160</v>
      </c>
      <c r="DJ120" s="69" t="s">
        <v>160</v>
      </c>
      <c r="DK120" s="69" t="s">
        <v>160</v>
      </c>
      <c r="DL120" s="69" t="s">
        <v>160</v>
      </c>
      <c r="DM120" s="69" t="s">
        <v>160</v>
      </c>
      <c r="DN120" s="69" t="s">
        <v>160</v>
      </c>
      <c r="DO120" s="69" t="s">
        <v>160</v>
      </c>
      <c r="DP120" s="69" t="s">
        <v>160</v>
      </c>
      <c r="DQ120" s="69" t="s">
        <v>160</v>
      </c>
      <c r="DR120" s="69" t="s">
        <v>160</v>
      </c>
      <c r="DS120" s="69" t="s">
        <v>160</v>
      </c>
      <c r="DT120" s="69" t="s">
        <v>160</v>
      </c>
      <c r="DU120" s="69" t="s">
        <v>160</v>
      </c>
      <c r="DV120" s="69" t="s">
        <v>160</v>
      </c>
      <c r="DW120" s="69" t="s">
        <v>160</v>
      </c>
      <c r="DX120" s="69" t="s">
        <v>160</v>
      </c>
      <c r="DY120" s="69" t="s">
        <v>160</v>
      </c>
      <c r="DZ120" s="69" t="s">
        <v>160</v>
      </c>
      <c r="EA120" s="69" t="s">
        <v>160</v>
      </c>
      <c r="EB120" s="69" t="s">
        <v>160</v>
      </c>
      <c r="EC120" s="69" t="s">
        <v>160</v>
      </c>
      <c r="ED120" s="69" t="s">
        <v>160</v>
      </c>
      <c r="EE120" s="69" t="s">
        <v>160</v>
      </c>
      <c r="EF120" s="69" t="s">
        <v>160</v>
      </c>
      <c r="EG120" s="69" t="s">
        <v>160</v>
      </c>
      <c r="EH120" s="69" t="s">
        <v>160</v>
      </c>
      <c r="EI120" s="69" t="s">
        <v>160</v>
      </c>
      <c r="EJ120" s="69" t="s">
        <v>160</v>
      </c>
      <c r="EK120" s="69" t="s">
        <v>160</v>
      </c>
      <c r="EL120" s="69" t="s">
        <v>160</v>
      </c>
      <c r="EM120" s="69" t="s">
        <v>160</v>
      </c>
      <c r="EN120" s="69" t="s">
        <v>160</v>
      </c>
      <c r="EO120" s="69" t="s">
        <v>160</v>
      </c>
      <c r="EP120" s="69" t="s">
        <v>160</v>
      </c>
      <c r="EQ120" s="69" t="s">
        <v>160</v>
      </c>
      <c r="ER120" s="69" t="s">
        <v>160</v>
      </c>
      <c r="ES120" s="69" t="s">
        <v>160</v>
      </c>
      <c r="ET120" s="69" t="s">
        <v>160</v>
      </c>
      <c r="EU120" s="69" t="s">
        <v>160</v>
      </c>
      <c r="EV120" s="69" t="s">
        <v>160</v>
      </c>
      <c r="EW120" s="69" t="s">
        <v>160</v>
      </c>
      <c r="EX120" s="69" t="s">
        <v>160</v>
      </c>
      <c r="EY120" s="69" t="s">
        <v>160</v>
      </c>
      <c r="EZ120" s="69" t="s">
        <v>160</v>
      </c>
      <c r="FA120" s="69" t="s">
        <v>160</v>
      </c>
      <c r="FB120" s="69" t="s">
        <v>160</v>
      </c>
      <c r="FC120" s="69" t="s">
        <v>160</v>
      </c>
      <c r="FD120" s="69" t="s">
        <v>160</v>
      </c>
    </row>
    <row r="121" spans="1:160">
      <c r="A121" s="103" t="s">
        <v>522</v>
      </c>
      <c r="B121" s="20" t="s">
        <v>163</v>
      </c>
      <c r="C121" s="91" t="s">
        <v>173</v>
      </c>
      <c r="G121" s="51" t="str">
        <f t="shared" si="10"/>
        <v>Deployment Procedure of the code</v>
      </c>
      <c r="H121" s="51" t="s">
        <v>2</v>
      </c>
      <c r="I121" s="64">
        <v>45659</v>
      </c>
      <c r="J121" s="64">
        <v>45747</v>
      </c>
      <c r="K121" s="64"/>
      <c r="L121" s="64"/>
      <c r="M121" s="64"/>
      <c r="N121" s="64" t="b">
        <f t="shared" si="17"/>
        <v>0</v>
      </c>
      <c r="O121" s="64"/>
      <c r="P121" s="24">
        <v>0</v>
      </c>
      <c r="R121" s="51" t="s">
        <v>2</v>
      </c>
      <c r="S121" s="68" t="s">
        <v>160</v>
      </c>
      <c r="T121" s="69" t="s">
        <v>160</v>
      </c>
      <c r="U121" s="69" t="s">
        <v>160</v>
      </c>
      <c r="V121" s="69" t="s">
        <v>160</v>
      </c>
      <c r="W121" s="69" t="s">
        <v>160</v>
      </c>
      <c r="X121" s="69" t="s">
        <v>160</v>
      </c>
      <c r="Y121" s="69" t="s">
        <v>160</v>
      </c>
      <c r="Z121" s="69" t="s">
        <v>160</v>
      </c>
      <c r="AA121" s="69" t="s">
        <v>160</v>
      </c>
      <c r="AB121" s="69" t="s">
        <v>160</v>
      </c>
      <c r="AC121" s="69" t="s">
        <v>160</v>
      </c>
      <c r="AD121" s="69" t="s">
        <v>160</v>
      </c>
      <c r="AE121" s="69" t="s">
        <v>160</v>
      </c>
      <c r="AF121" s="69" t="s">
        <v>160</v>
      </c>
      <c r="AG121" s="69" t="s">
        <v>160</v>
      </c>
      <c r="AH121" s="69" t="s">
        <v>160</v>
      </c>
      <c r="AI121" s="69" t="s">
        <v>160</v>
      </c>
      <c r="AJ121" s="69" t="s">
        <v>160</v>
      </c>
      <c r="AK121" s="69" t="s">
        <v>160</v>
      </c>
      <c r="AL121" s="69" t="s">
        <v>160</v>
      </c>
      <c r="AM121" s="69" t="s">
        <v>160</v>
      </c>
      <c r="AN121" s="69" t="s">
        <v>160</v>
      </c>
      <c r="AO121" s="69" t="s">
        <v>160</v>
      </c>
      <c r="AP121" s="69" t="s">
        <v>160</v>
      </c>
      <c r="AQ121" s="69" t="s">
        <v>160</v>
      </c>
      <c r="AR121" s="69" t="s">
        <v>160</v>
      </c>
      <c r="AS121" s="69" t="s">
        <v>160</v>
      </c>
      <c r="AT121" s="69" t="s">
        <v>160</v>
      </c>
      <c r="AU121" s="69" t="s">
        <v>160</v>
      </c>
      <c r="AV121" s="69" t="s">
        <v>160</v>
      </c>
      <c r="AW121" s="69" t="s">
        <v>160</v>
      </c>
      <c r="AX121" s="69" t="s">
        <v>160</v>
      </c>
      <c r="AY121" s="69" t="s">
        <v>160</v>
      </c>
      <c r="AZ121" s="69" t="s">
        <v>160</v>
      </c>
      <c r="BA121" s="69" t="s">
        <v>160</v>
      </c>
      <c r="BB121" s="69" t="s">
        <v>160</v>
      </c>
      <c r="BC121" s="69" t="s">
        <v>160</v>
      </c>
      <c r="BD121" s="69" t="s">
        <v>160</v>
      </c>
      <c r="BE121" s="69" t="s">
        <v>160</v>
      </c>
      <c r="BF121" s="69" t="s">
        <v>160</v>
      </c>
      <c r="BG121" s="69" t="s">
        <v>160</v>
      </c>
      <c r="BH121" s="69" t="s">
        <v>160</v>
      </c>
      <c r="BI121" s="69" t="s">
        <v>160</v>
      </c>
      <c r="BJ121" s="69" t="s">
        <v>160</v>
      </c>
      <c r="BK121" s="69" t="s">
        <v>160</v>
      </c>
      <c r="BL121" s="69" t="s">
        <v>160</v>
      </c>
      <c r="BM121" s="69" t="s">
        <v>160</v>
      </c>
      <c r="BN121" s="69" t="s">
        <v>160</v>
      </c>
      <c r="BO121" s="69" t="s">
        <v>160</v>
      </c>
      <c r="BP121" s="69" t="s">
        <v>160</v>
      </c>
      <c r="BQ121" s="69" t="s">
        <v>160</v>
      </c>
      <c r="BR121" s="69" t="s">
        <v>160</v>
      </c>
      <c r="BS121" s="69" t="s">
        <v>160</v>
      </c>
      <c r="BT121" s="69" t="s">
        <v>160</v>
      </c>
      <c r="BU121" s="69" t="s">
        <v>160</v>
      </c>
      <c r="BV121" s="69" t="s">
        <v>160</v>
      </c>
      <c r="BW121" s="69" t="s">
        <v>160</v>
      </c>
      <c r="BX121" s="69" t="s">
        <v>160</v>
      </c>
      <c r="BY121" s="69" t="s">
        <v>160</v>
      </c>
      <c r="BZ121" s="69" t="s">
        <v>160</v>
      </c>
      <c r="CA121" s="69" t="s">
        <v>160</v>
      </c>
      <c r="CB121" s="69" t="s">
        <v>160</v>
      </c>
      <c r="CC121" s="69" t="s">
        <v>160</v>
      </c>
      <c r="CD121" s="69" t="s">
        <v>160</v>
      </c>
      <c r="CE121" s="69" t="s">
        <v>160</v>
      </c>
      <c r="CF121" s="69" t="s">
        <v>160</v>
      </c>
      <c r="CG121" s="69" t="s">
        <v>160</v>
      </c>
      <c r="CH121" s="69" t="s">
        <v>160</v>
      </c>
      <c r="CI121" s="69" t="s">
        <v>160</v>
      </c>
      <c r="CJ121" s="69" t="s">
        <v>160</v>
      </c>
      <c r="CK121" s="69" t="s">
        <v>160</v>
      </c>
      <c r="CL121" s="69" t="s">
        <v>160</v>
      </c>
      <c r="CM121" s="69" t="s">
        <v>160</v>
      </c>
      <c r="CN121" s="69" t="s">
        <v>160</v>
      </c>
      <c r="CO121" s="69" t="s">
        <v>160</v>
      </c>
      <c r="CP121" s="69" t="s">
        <v>160</v>
      </c>
      <c r="CQ121" s="69" t="s">
        <v>160</v>
      </c>
      <c r="CR121" s="69" t="s">
        <v>160</v>
      </c>
      <c r="CS121" s="69" t="s">
        <v>160</v>
      </c>
      <c r="CT121" s="69" t="s">
        <v>160</v>
      </c>
      <c r="CU121" s="69" t="s">
        <v>160</v>
      </c>
      <c r="CV121" s="69" t="s">
        <v>160</v>
      </c>
      <c r="CW121" s="69" t="s">
        <v>160</v>
      </c>
      <c r="CX121" s="69" t="s">
        <v>160</v>
      </c>
      <c r="CY121" s="69" t="s">
        <v>160</v>
      </c>
      <c r="CZ121" s="69" t="s">
        <v>160</v>
      </c>
      <c r="DA121" s="69" t="s">
        <v>160</v>
      </c>
      <c r="DB121" s="69" t="s">
        <v>160</v>
      </c>
      <c r="DC121" s="69" t="s">
        <v>160</v>
      </c>
      <c r="DD121" s="69" t="s">
        <v>160</v>
      </c>
      <c r="DE121" s="69" t="s">
        <v>160</v>
      </c>
      <c r="DF121" s="69" t="s">
        <v>160</v>
      </c>
      <c r="DG121" s="69" t="s">
        <v>160</v>
      </c>
      <c r="DH121" s="69" t="s">
        <v>160</v>
      </c>
      <c r="DI121" s="69" t="s">
        <v>160</v>
      </c>
      <c r="DJ121" s="69" t="s">
        <v>160</v>
      </c>
      <c r="DK121" s="69" t="s">
        <v>160</v>
      </c>
      <c r="DL121" s="69" t="s">
        <v>160</v>
      </c>
      <c r="DM121" s="69" t="s">
        <v>160</v>
      </c>
      <c r="DN121" s="69" t="s">
        <v>160</v>
      </c>
      <c r="DO121" s="69" t="s">
        <v>160</v>
      </c>
      <c r="DP121" s="69" t="s">
        <v>160</v>
      </c>
      <c r="DQ121" s="69" t="s">
        <v>160</v>
      </c>
      <c r="DR121" s="69" t="s">
        <v>160</v>
      </c>
      <c r="DS121" s="69" t="s">
        <v>160</v>
      </c>
      <c r="DT121" s="69" t="s">
        <v>160</v>
      </c>
      <c r="DU121" s="69" t="s">
        <v>160</v>
      </c>
      <c r="DV121" s="69" t="s">
        <v>160</v>
      </c>
      <c r="DW121" s="69" t="s">
        <v>160</v>
      </c>
      <c r="DX121" s="69" t="s">
        <v>160</v>
      </c>
      <c r="DY121" s="69" t="s">
        <v>160</v>
      </c>
      <c r="DZ121" s="69" t="s">
        <v>160</v>
      </c>
      <c r="EA121" s="69" t="s">
        <v>160</v>
      </c>
      <c r="EB121" s="69" t="s">
        <v>160</v>
      </c>
      <c r="EC121" s="69" t="s">
        <v>160</v>
      </c>
      <c r="ED121" s="69" t="s">
        <v>160</v>
      </c>
      <c r="EE121" s="69" t="s">
        <v>160</v>
      </c>
      <c r="EF121" s="69" t="s">
        <v>160</v>
      </c>
      <c r="EG121" s="69" t="s">
        <v>160</v>
      </c>
      <c r="EH121" s="69" t="s">
        <v>160</v>
      </c>
      <c r="EI121" s="69" t="s">
        <v>160</v>
      </c>
      <c r="EJ121" s="69" t="s">
        <v>160</v>
      </c>
      <c r="EK121" s="69" t="s">
        <v>160</v>
      </c>
      <c r="EL121" s="69" t="s">
        <v>160</v>
      </c>
      <c r="EM121" s="69" t="s">
        <v>160</v>
      </c>
      <c r="EN121" s="69" t="s">
        <v>160</v>
      </c>
      <c r="EO121" s="69" t="s">
        <v>160</v>
      </c>
      <c r="EP121" s="69" t="s">
        <v>160</v>
      </c>
      <c r="EQ121" s="69" t="s">
        <v>160</v>
      </c>
      <c r="ER121" s="69" t="s">
        <v>160</v>
      </c>
      <c r="ES121" s="69" t="s">
        <v>160</v>
      </c>
      <c r="ET121" s="69" t="s">
        <v>160</v>
      </c>
      <c r="EU121" s="69" t="s">
        <v>160</v>
      </c>
      <c r="EV121" s="69" t="s">
        <v>160</v>
      </c>
      <c r="EW121" s="69" t="s">
        <v>160</v>
      </c>
      <c r="EX121" s="69" t="s">
        <v>160</v>
      </c>
      <c r="EY121" s="69" t="s">
        <v>160</v>
      </c>
      <c r="EZ121" s="69" t="s">
        <v>160</v>
      </c>
      <c r="FA121" s="69" t="s">
        <v>160</v>
      </c>
      <c r="FB121" s="69" t="s">
        <v>160</v>
      </c>
      <c r="FC121" s="69" t="s">
        <v>160</v>
      </c>
      <c r="FD121" s="69" t="s">
        <v>160</v>
      </c>
    </row>
    <row r="122" spans="1:160">
      <c r="A122" s="103" t="s">
        <v>523</v>
      </c>
      <c r="B122" s="20" t="s">
        <v>163</v>
      </c>
      <c r="C122" s="91" t="s">
        <v>175</v>
      </c>
      <c r="G122" s="51" t="str">
        <f t="shared" si="10"/>
        <v>Product usage guide with examples for all the functional usecases</v>
      </c>
      <c r="H122" s="51" t="s">
        <v>2</v>
      </c>
      <c r="I122" s="64">
        <v>45659</v>
      </c>
      <c r="J122" s="64">
        <v>45747</v>
      </c>
      <c r="K122" s="64"/>
      <c r="L122" s="64"/>
      <c r="M122" s="64"/>
      <c r="N122" s="64" t="b">
        <f t="shared" si="17"/>
        <v>0</v>
      </c>
      <c r="O122" s="64"/>
      <c r="P122" s="24">
        <v>0</v>
      </c>
      <c r="R122" s="51" t="s">
        <v>2</v>
      </c>
      <c r="S122" s="68" t="s">
        <v>160</v>
      </c>
      <c r="T122" s="69" t="s">
        <v>160</v>
      </c>
      <c r="U122" s="69" t="s">
        <v>160</v>
      </c>
      <c r="V122" s="69" t="s">
        <v>160</v>
      </c>
      <c r="W122" s="69" t="s">
        <v>160</v>
      </c>
      <c r="X122" s="69" t="s">
        <v>160</v>
      </c>
      <c r="Y122" s="69" t="s">
        <v>160</v>
      </c>
      <c r="Z122" s="69" t="s">
        <v>160</v>
      </c>
      <c r="AA122" s="69" t="s">
        <v>160</v>
      </c>
      <c r="AB122" s="69" t="s">
        <v>160</v>
      </c>
      <c r="AC122" s="69" t="s">
        <v>160</v>
      </c>
      <c r="AD122" s="69" t="s">
        <v>160</v>
      </c>
      <c r="AE122" s="69" t="s">
        <v>160</v>
      </c>
      <c r="AF122" s="69" t="s">
        <v>160</v>
      </c>
      <c r="AG122" s="69" t="s">
        <v>160</v>
      </c>
      <c r="AH122" s="69" t="s">
        <v>160</v>
      </c>
      <c r="AI122" s="69" t="s">
        <v>160</v>
      </c>
      <c r="AJ122" s="69" t="s">
        <v>160</v>
      </c>
      <c r="AK122" s="69" t="s">
        <v>160</v>
      </c>
      <c r="AL122" s="69" t="s">
        <v>160</v>
      </c>
      <c r="AM122" s="69" t="s">
        <v>160</v>
      </c>
      <c r="AN122" s="69" t="s">
        <v>160</v>
      </c>
      <c r="AO122" s="69" t="s">
        <v>160</v>
      </c>
      <c r="AP122" s="69" t="s">
        <v>160</v>
      </c>
      <c r="AQ122" s="69" t="s">
        <v>160</v>
      </c>
      <c r="AR122" s="69" t="s">
        <v>160</v>
      </c>
      <c r="AS122" s="69" t="s">
        <v>160</v>
      </c>
      <c r="AT122" s="69" t="s">
        <v>160</v>
      </c>
      <c r="AU122" s="69" t="s">
        <v>160</v>
      </c>
      <c r="AV122" s="69" t="s">
        <v>160</v>
      </c>
      <c r="AW122" s="69" t="s">
        <v>160</v>
      </c>
      <c r="AX122" s="69" t="s">
        <v>160</v>
      </c>
      <c r="AY122" s="69" t="s">
        <v>160</v>
      </c>
      <c r="AZ122" s="69" t="s">
        <v>160</v>
      </c>
      <c r="BA122" s="69" t="s">
        <v>160</v>
      </c>
      <c r="BB122" s="69" t="s">
        <v>160</v>
      </c>
      <c r="BC122" s="69" t="s">
        <v>160</v>
      </c>
      <c r="BD122" s="69" t="s">
        <v>160</v>
      </c>
      <c r="BE122" s="69" t="s">
        <v>160</v>
      </c>
      <c r="BF122" s="69" t="s">
        <v>160</v>
      </c>
      <c r="BG122" s="69" t="s">
        <v>160</v>
      </c>
      <c r="BH122" s="69" t="s">
        <v>160</v>
      </c>
      <c r="BI122" s="69" t="s">
        <v>160</v>
      </c>
      <c r="BJ122" s="69" t="s">
        <v>160</v>
      </c>
      <c r="BK122" s="69" t="s">
        <v>160</v>
      </c>
      <c r="BL122" s="69" t="s">
        <v>160</v>
      </c>
      <c r="BM122" s="69" t="s">
        <v>160</v>
      </c>
      <c r="BN122" s="69" t="s">
        <v>160</v>
      </c>
      <c r="BO122" s="69" t="s">
        <v>160</v>
      </c>
      <c r="BP122" s="69" t="s">
        <v>160</v>
      </c>
      <c r="BQ122" s="69" t="s">
        <v>160</v>
      </c>
      <c r="BR122" s="69" t="s">
        <v>160</v>
      </c>
      <c r="BS122" s="69" t="s">
        <v>160</v>
      </c>
      <c r="BT122" s="69" t="s">
        <v>160</v>
      </c>
      <c r="BU122" s="69" t="s">
        <v>160</v>
      </c>
      <c r="BV122" s="69" t="s">
        <v>160</v>
      </c>
      <c r="BW122" s="69" t="s">
        <v>160</v>
      </c>
      <c r="BX122" s="69" t="s">
        <v>160</v>
      </c>
      <c r="BY122" s="69" t="s">
        <v>160</v>
      </c>
      <c r="BZ122" s="69" t="s">
        <v>160</v>
      </c>
      <c r="CA122" s="69" t="s">
        <v>160</v>
      </c>
      <c r="CB122" s="69" t="s">
        <v>160</v>
      </c>
      <c r="CC122" s="69" t="s">
        <v>160</v>
      </c>
      <c r="CD122" s="69" t="s">
        <v>160</v>
      </c>
      <c r="CE122" s="69" t="s">
        <v>160</v>
      </c>
      <c r="CF122" s="69" t="s">
        <v>160</v>
      </c>
      <c r="CG122" s="69" t="s">
        <v>160</v>
      </c>
      <c r="CH122" s="69" t="s">
        <v>160</v>
      </c>
      <c r="CI122" s="69" t="s">
        <v>160</v>
      </c>
      <c r="CJ122" s="69" t="s">
        <v>160</v>
      </c>
      <c r="CK122" s="69" t="s">
        <v>160</v>
      </c>
      <c r="CL122" s="69" t="s">
        <v>160</v>
      </c>
      <c r="CM122" s="69" t="s">
        <v>160</v>
      </c>
      <c r="CN122" s="69" t="s">
        <v>160</v>
      </c>
      <c r="CO122" s="69" t="s">
        <v>160</v>
      </c>
      <c r="CP122" s="69" t="s">
        <v>160</v>
      </c>
      <c r="CQ122" s="69" t="s">
        <v>160</v>
      </c>
      <c r="CR122" s="69" t="s">
        <v>160</v>
      </c>
      <c r="CS122" s="69" t="s">
        <v>160</v>
      </c>
      <c r="CT122" s="69" t="s">
        <v>160</v>
      </c>
      <c r="CU122" s="69" t="s">
        <v>160</v>
      </c>
      <c r="CV122" s="69" t="s">
        <v>160</v>
      </c>
      <c r="CW122" s="69" t="s">
        <v>160</v>
      </c>
      <c r="CX122" s="69" t="s">
        <v>160</v>
      </c>
      <c r="CY122" s="69" t="s">
        <v>160</v>
      </c>
      <c r="CZ122" s="69" t="s">
        <v>160</v>
      </c>
      <c r="DA122" s="69" t="s">
        <v>160</v>
      </c>
      <c r="DB122" s="69" t="s">
        <v>160</v>
      </c>
      <c r="DC122" s="69" t="s">
        <v>160</v>
      </c>
      <c r="DD122" s="69" t="s">
        <v>160</v>
      </c>
      <c r="DE122" s="69" t="s">
        <v>160</v>
      </c>
      <c r="DF122" s="69" t="s">
        <v>160</v>
      </c>
      <c r="DG122" s="69" t="s">
        <v>160</v>
      </c>
      <c r="DH122" s="69" t="s">
        <v>160</v>
      </c>
      <c r="DI122" s="69" t="s">
        <v>160</v>
      </c>
      <c r="DJ122" s="69" t="s">
        <v>160</v>
      </c>
      <c r="DK122" s="69" t="s">
        <v>160</v>
      </c>
      <c r="DL122" s="69" t="s">
        <v>160</v>
      </c>
      <c r="DM122" s="69" t="s">
        <v>160</v>
      </c>
      <c r="DN122" s="69" t="s">
        <v>160</v>
      </c>
      <c r="DO122" s="69" t="s">
        <v>160</v>
      </c>
      <c r="DP122" s="69" t="s">
        <v>160</v>
      </c>
      <c r="DQ122" s="69" t="s">
        <v>160</v>
      </c>
      <c r="DR122" s="69" t="s">
        <v>160</v>
      </c>
      <c r="DS122" s="69" t="s">
        <v>160</v>
      </c>
      <c r="DT122" s="69" t="s">
        <v>160</v>
      </c>
      <c r="DU122" s="69" t="s">
        <v>160</v>
      </c>
      <c r="DV122" s="69" t="s">
        <v>160</v>
      </c>
      <c r="DW122" s="69" t="s">
        <v>160</v>
      </c>
      <c r="DX122" s="69" t="s">
        <v>160</v>
      </c>
      <c r="DY122" s="69" t="s">
        <v>160</v>
      </c>
      <c r="DZ122" s="69" t="s">
        <v>160</v>
      </c>
      <c r="EA122" s="69" t="s">
        <v>160</v>
      </c>
      <c r="EB122" s="69" t="s">
        <v>160</v>
      </c>
      <c r="EC122" s="69" t="s">
        <v>160</v>
      </c>
      <c r="ED122" s="69" t="s">
        <v>160</v>
      </c>
      <c r="EE122" s="69" t="s">
        <v>160</v>
      </c>
      <c r="EF122" s="69" t="s">
        <v>160</v>
      </c>
      <c r="EG122" s="69" t="s">
        <v>160</v>
      </c>
      <c r="EH122" s="69" t="s">
        <v>160</v>
      </c>
      <c r="EI122" s="69" t="s">
        <v>160</v>
      </c>
      <c r="EJ122" s="69" t="s">
        <v>160</v>
      </c>
      <c r="EK122" s="69" t="s">
        <v>160</v>
      </c>
      <c r="EL122" s="69" t="s">
        <v>160</v>
      </c>
      <c r="EM122" s="69" t="s">
        <v>160</v>
      </c>
      <c r="EN122" s="69" t="s">
        <v>160</v>
      </c>
      <c r="EO122" s="69" t="s">
        <v>160</v>
      </c>
      <c r="EP122" s="69" t="s">
        <v>160</v>
      </c>
      <c r="EQ122" s="69" t="s">
        <v>160</v>
      </c>
      <c r="ER122" s="69" t="s">
        <v>160</v>
      </c>
      <c r="ES122" s="69" t="s">
        <v>160</v>
      </c>
      <c r="ET122" s="69" t="s">
        <v>160</v>
      </c>
      <c r="EU122" s="69" t="s">
        <v>160</v>
      </c>
      <c r="EV122" s="69" t="s">
        <v>160</v>
      </c>
      <c r="EW122" s="69" t="s">
        <v>160</v>
      </c>
      <c r="EX122" s="69" t="s">
        <v>160</v>
      </c>
      <c r="EY122" s="69" t="s">
        <v>160</v>
      </c>
      <c r="EZ122" s="69" t="s">
        <v>160</v>
      </c>
      <c r="FA122" s="69" t="s">
        <v>160</v>
      </c>
      <c r="FB122" s="69" t="s">
        <v>160</v>
      </c>
      <c r="FC122" s="69" t="s">
        <v>160</v>
      </c>
      <c r="FD122" s="69" t="s">
        <v>160</v>
      </c>
    </row>
    <row r="123" spans="1:160" s="71" customFormat="1" ht="18.5" thickBot="1">
      <c r="A123" s="104" t="s">
        <v>517</v>
      </c>
      <c r="B123" s="105" t="s">
        <v>163</v>
      </c>
      <c r="C123" s="92" t="s">
        <v>176</v>
      </c>
      <c r="G123" s="71" t="str">
        <f t="shared" si="10"/>
        <v xml:space="preserve">Test report </v>
      </c>
      <c r="H123" s="71" t="s">
        <v>2</v>
      </c>
      <c r="I123" s="72">
        <v>45659</v>
      </c>
      <c r="J123" s="72">
        <v>45747</v>
      </c>
      <c r="K123" s="72"/>
      <c r="L123" s="72"/>
      <c r="M123" s="72"/>
      <c r="N123" s="72" t="b">
        <f t="shared" si="17"/>
        <v>0</v>
      </c>
      <c r="O123" s="72"/>
      <c r="P123" s="89">
        <v>0</v>
      </c>
      <c r="Q123" s="89"/>
      <c r="R123" s="71" t="s">
        <v>2</v>
      </c>
      <c r="S123" s="74" t="s">
        <v>160</v>
      </c>
      <c r="T123" s="75" t="s">
        <v>160</v>
      </c>
      <c r="U123" s="75" t="s">
        <v>160</v>
      </c>
      <c r="V123" s="75" t="s">
        <v>160</v>
      </c>
      <c r="W123" s="75" t="s">
        <v>160</v>
      </c>
      <c r="X123" s="75" t="s">
        <v>160</v>
      </c>
      <c r="Y123" s="75" t="s">
        <v>160</v>
      </c>
      <c r="Z123" s="75" t="s">
        <v>160</v>
      </c>
      <c r="AA123" s="75" t="s">
        <v>160</v>
      </c>
      <c r="AB123" s="75" t="s">
        <v>160</v>
      </c>
      <c r="AC123" s="75" t="s">
        <v>160</v>
      </c>
      <c r="AD123" s="75" t="s">
        <v>160</v>
      </c>
      <c r="AE123" s="75" t="s">
        <v>160</v>
      </c>
      <c r="AF123" s="75" t="s">
        <v>160</v>
      </c>
      <c r="AG123" s="75" t="s">
        <v>160</v>
      </c>
      <c r="AH123" s="75" t="s">
        <v>160</v>
      </c>
      <c r="AI123" s="75" t="s">
        <v>160</v>
      </c>
      <c r="AJ123" s="75" t="s">
        <v>160</v>
      </c>
      <c r="AK123" s="75" t="s">
        <v>160</v>
      </c>
      <c r="AL123" s="75" t="s">
        <v>160</v>
      </c>
      <c r="AM123" s="75" t="s">
        <v>160</v>
      </c>
      <c r="AN123" s="75" t="s">
        <v>160</v>
      </c>
      <c r="AO123" s="75" t="s">
        <v>160</v>
      </c>
      <c r="AP123" s="75" t="s">
        <v>160</v>
      </c>
      <c r="AQ123" s="75" t="s">
        <v>160</v>
      </c>
      <c r="AR123" s="75" t="s">
        <v>160</v>
      </c>
      <c r="AS123" s="75" t="s">
        <v>160</v>
      </c>
      <c r="AT123" s="75" t="s">
        <v>160</v>
      </c>
      <c r="AU123" s="75" t="s">
        <v>160</v>
      </c>
      <c r="AV123" s="75" t="s">
        <v>160</v>
      </c>
      <c r="AW123" s="75" t="s">
        <v>160</v>
      </c>
      <c r="AX123" s="75" t="s">
        <v>160</v>
      </c>
      <c r="AY123" s="75" t="s">
        <v>160</v>
      </c>
      <c r="AZ123" s="75" t="s">
        <v>160</v>
      </c>
      <c r="BA123" s="75" t="s">
        <v>160</v>
      </c>
      <c r="BB123" s="75" t="s">
        <v>160</v>
      </c>
      <c r="BC123" s="75" t="s">
        <v>160</v>
      </c>
      <c r="BD123" s="75" t="s">
        <v>160</v>
      </c>
      <c r="BE123" s="75" t="s">
        <v>160</v>
      </c>
      <c r="BF123" s="75" t="s">
        <v>160</v>
      </c>
      <c r="BG123" s="75" t="s">
        <v>160</v>
      </c>
      <c r="BH123" s="75" t="s">
        <v>160</v>
      </c>
      <c r="BI123" s="75" t="s">
        <v>160</v>
      </c>
      <c r="BJ123" s="75" t="s">
        <v>160</v>
      </c>
      <c r="BK123" s="75" t="s">
        <v>160</v>
      </c>
      <c r="BL123" s="75" t="s">
        <v>160</v>
      </c>
      <c r="BM123" s="75" t="s">
        <v>160</v>
      </c>
      <c r="BN123" s="75" t="s">
        <v>160</v>
      </c>
      <c r="BO123" s="75" t="s">
        <v>160</v>
      </c>
      <c r="BP123" s="75" t="s">
        <v>160</v>
      </c>
      <c r="BQ123" s="75" t="s">
        <v>160</v>
      </c>
      <c r="BR123" s="75" t="s">
        <v>160</v>
      </c>
      <c r="BS123" s="75" t="s">
        <v>160</v>
      </c>
      <c r="BT123" s="75" t="s">
        <v>160</v>
      </c>
      <c r="BU123" s="75" t="s">
        <v>160</v>
      </c>
      <c r="BV123" s="75" t="s">
        <v>160</v>
      </c>
      <c r="BW123" s="75" t="s">
        <v>160</v>
      </c>
      <c r="BX123" s="75" t="s">
        <v>160</v>
      </c>
      <c r="BY123" s="75" t="s">
        <v>160</v>
      </c>
      <c r="BZ123" s="75" t="s">
        <v>160</v>
      </c>
      <c r="CA123" s="75" t="s">
        <v>160</v>
      </c>
      <c r="CB123" s="75" t="s">
        <v>160</v>
      </c>
      <c r="CC123" s="75" t="s">
        <v>160</v>
      </c>
      <c r="CD123" s="75" t="s">
        <v>160</v>
      </c>
      <c r="CE123" s="75" t="s">
        <v>160</v>
      </c>
      <c r="CF123" s="75" t="s">
        <v>160</v>
      </c>
      <c r="CG123" s="75" t="s">
        <v>160</v>
      </c>
      <c r="CH123" s="75" t="s">
        <v>160</v>
      </c>
      <c r="CI123" s="75" t="s">
        <v>160</v>
      </c>
      <c r="CJ123" s="75" t="s">
        <v>160</v>
      </c>
      <c r="CK123" s="75" t="s">
        <v>160</v>
      </c>
      <c r="CL123" s="75" t="s">
        <v>160</v>
      </c>
      <c r="CM123" s="75" t="s">
        <v>160</v>
      </c>
      <c r="CN123" s="75" t="s">
        <v>160</v>
      </c>
      <c r="CO123" s="75" t="s">
        <v>160</v>
      </c>
      <c r="CP123" s="75" t="s">
        <v>160</v>
      </c>
      <c r="CQ123" s="75" t="s">
        <v>160</v>
      </c>
      <c r="CR123" s="75" t="s">
        <v>160</v>
      </c>
      <c r="CS123" s="75" t="s">
        <v>160</v>
      </c>
      <c r="CT123" s="75" t="s">
        <v>160</v>
      </c>
      <c r="CU123" s="75" t="s">
        <v>160</v>
      </c>
      <c r="CV123" s="75" t="s">
        <v>160</v>
      </c>
      <c r="CW123" s="75" t="s">
        <v>160</v>
      </c>
      <c r="CX123" s="75" t="s">
        <v>160</v>
      </c>
      <c r="CY123" s="75" t="s">
        <v>160</v>
      </c>
      <c r="CZ123" s="75" t="s">
        <v>160</v>
      </c>
      <c r="DA123" s="75" t="s">
        <v>160</v>
      </c>
      <c r="DB123" s="75" t="s">
        <v>160</v>
      </c>
      <c r="DC123" s="75" t="s">
        <v>160</v>
      </c>
      <c r="DD123" s="75" t="s">
        <v>160</v>
      </c>
      <c r="DE123" s="75" t="s">
        <v>160</v>
      </c>
      <c r="DF123" s="75" t="s">
        <v>160</v>
      </c>
      <c r="DG123" s="75" t="s">
        <v>160</v>
      </c>
      <c r="DH123" s="75" t="s">
        <v>160</v>
      </c>
      <c r="DI123" s="75" t="s">
        <v>160</v>
      </c>
      <c r="DJ123" s="75" t="s">
        <v>160</v>
      </c>
      <c r="DK123" s="75" t="s">
        <v>160</v>
      </c>
      <c r="DL123" s="75" t="s">
        <v>160</v>
      </c>
      <c r="DM123" s="75" t="s">
        <v>160</v>
      </c>
      <c r="DN123" s="75" t="s">
        <v>160</v>
      </c>
      <c r="DO123" s="75" t="s">
        <v>160</v>
      </c>
      <c r="DP123" s="75" t="s">
        <v>160</v>
      </c>
      <c r="DQ123" s="75" t="s">
        <v>160</v>
      </c>
      <c r="DR123" s="75" t="s">
        <v>160</v>
      </c>
      <c r="DS123" s="75" t="s">
        <v>160</v>
      </c>
      <c r="DT123" s="75" t="s">
        <v>160</v>
      </c>
      <c r="DU123" s="75" t="s">
        <v>160</v>
      </c>
      <c r="DV123" s="75" t="s">
        <v>160</v>
      </c>
      <c r="DW123" s="75" t="s">
        <v>160</v>
      </c>
      <c r="DX123" s="75" t="s">
        <v>160</v>
      </c>
      <c r="DY123" s="75" t="s">
        <v>160</v>
      </c>
      <c r="DZ123" s="75" t="s">
        <v>160</v>
      </c>
      <c r="EA123" s="75" t="s">
        <v>160</v>
      </c>
      <c r="EB123" s="75" t="s">
        <v>160</v>
      </c>
      <c r="EC123" s="75" t="s">
        <v>160</v>
      </c>
      <c r="ED123" s="75" t="s">
        <v>160</v>
      </c>
      <c r="EE123" s="75" t="s">
        <v>160</v>
      </c>
      <c r="EF123" s="75" t="s">
        <v>160</v>
      </c>
      <c r="EG123" s="75" t="s">
        <v>160</v>
      </c>
      <c r="EH123" s="75" t="s">
        <v>160</v>
      </c>
      <c r="EI123" s="75" t="s">
        <v>160</v>
      </c>
      <c r="EJ123" s="75" t="s">
        <v>160</v>
      </c>
      <c r="EK123" s="75" t="s">
        <v>160</v>
      </c>
      <c r="EL123" s="75" t="s">
        <v>160</v>
      </c>
      <c r="EM123" s="75" t="s">
        <v>160</v>
      </c>
      <c r="EN123" s="75" t="s">
        <v>160</v>
      </c>
      <c r="EO123" s="75" t="s">
        <v>160</v>
      </c>
      <c r="EP123" s="75" t="s">
        <v>160</v>
      </c>
      <c r="EQ123" s="75" t="s">
        <v>160</v>
      </c>
      <c r="ER123" s="75" t="s">
        <v>160</v>
      </c>
      <c r="ES123" s="75" t="s">
        <v>160</v>
      </c>
      <c r="ET123" s="75" t="s">
        <v>160</v>
      </c>
      <c r="EU123" s="75" t="s">
        <v>160</v>
      </c>
      <c r="EV123" s="75" t="s">
        <v>160</v>
      </c>
      <c r="EW123" s="75" t="s">
        <v>160</v>
      </c>
      <c r="EX123" s="75" t="s">
        <v>160</v>
      </c>
      <c r="EY123" s="75" t="s">
        <v>160</v>
      </c>
      <c r="EZ123" s="75" t="s">
        <v>160</v>
      </c>
      <c r="FA123" s="75" t="s">
        <v>160</v>
      </c>
      <c r="FB123" s="75" t="s">
        <v>160</v>
      </c>
      <c r="FC123" s="75" t="s">
        <v>160</v>
      </c>
      <c r="FD123" s="75" t="s">
        <v>160</v>
      </c>
    </row>
    <row r="124" spans="1:160">
      <c r="A124" s="103" t="s">
        <v>525</v>
      </c>
      <c r="B124" s="20" t="s">
        <v>217</v>
      </c>
      <c r="G124" s="51" t="str">
        <f t="shared" si="10"/>
        <v>M16. Decision Engine - Usecase 3</v>
      </c>
      <c r="H124" s="51" t="s">
        <v>2</v>
      </c>
      <c r="I124" s="64">
        <f ca="1">IF(SUM(I125:INDIRECT("I"&amp;$O124))=0,"",MIN(I125:INDIRECT("I"&amp;$O124)))</f>
        <v>45748</v>
      </c>
      <c r="J124" s="64">
        <f ca="1">IF(SUM(J125:INDIRECT("J"&amp;$O124))=0,"",MAX(J125:INDIRECT("J"&amp;$O124)))</f>
        <v>45838</v>
      </c>
      <c r="K124" s="64" t="str">
        <f ca="1">IF(SUM(K125:INDIRECT("K"&amp;$O124))=0,"",MIN(K125:INDIRECT("K"&amp;$O124)))</f>
        <v/>
      </c>
      <c r="L124" s="64" t="str">
        <f ca="1">IF(SUM(L125:INDIRECT("L"&amp;$O124))=0,"",MAX(L125:INDIRECT("L"&amp;$O124)))</f>
        <v/>
      </c>
      <c r="M124" s="64" t="str">
        <f ca="1">IF(N124,TODAY(),IF(SUM(M125:INDIRECT("M"&amp;$O124))=0,"",MAX(M125:INDIRECT("M"&amp;$O124))))</f>
        <v/>
      </c>
      <c r="N124" s="64" t="b">
        <f ca="1">OR(N125:INDIRECT("N"&amp;O124))</f>
        <v>0</v>
      </c>
      <c r="O124" s="65">
        <f>ROW()+COUNTA(N125:N130)</f>
        <v>130</v>
      </c>
      <c r="P124" s="66">
        <f>AVERAGE(P125:P130)</f>
        <v>0</v>
      </c>
      <c r="R124" s="51" t="s">
        <v>2</v>
      </c>
      <c r="S124" s="68" t="s">
        <v>160</v>
      </c>
      <c r="T124" s="69" t="s">
        <v>160</v>
      </c>
      <c r="U124" s="69" t="s">
        <v>160</v>
      </c>
      <c r="V124" s="69" t="s">
        <v>160</v>
      </c>
      <c r="W124" s="69" t="s">
        <v>160</v>
      </c>
      <c r="X124" s="69" t="s">
        <v>160</v>
      </c>
      <c r="Y124" s="69" t="s">
        <v>160</v>
      </c>
      <c r="Z124" s="69" t="s">
        <v>160</v>
      </c>
      <c r="AA124" s="69" t="s">
        <v>160</v>
      </c>
      <c r="AB124" s="69" t="s">
        <v>160</v>
      </c>
      <c r="AC124" s="69" t="s">
        <v>160</v>
      </c>
      <c r="AD124" s="69" t="s">
        <v>160</v>
      </c>
      <c r="AE124" s="69" t="s">
        <v>160</v>
      </c>
      <c r="AF124" s="69" t="s">
        <v>160</v>
      </c>
      <c r="AG124" s="69" t="s">
        <v>160</v>
      </c>
      <c r="AH124" s="69" t="s">
        <v>160</v>
      </c>
      <c r="AI124" s="69" t="s">
        <v>160</v>
      </c>
      <c r="AJ124" s="69" t="s">
        <v>160</v>
      </c>
      <c r="AK124" s="69" t="s">
        <v>160</v>
      </c>
      <c r="AL124" s="69" t="s">
        <v>160</v>
      </c>
      <c r="AM124" s="69" t="s">
        <v>160</v>
      </c>
      <c r="AN124" s="69" t="s">
        <v>160</v>
      </c>
      <c r="AO124" s="69" t="s">
        <v>160</v>
      </c>
      <c r="AP124" s="69" t="s">
        <v>160</v>
      </c>
      <c r="AQ124" s="69" t="s">
        <v>160</v>
      </c>
      <c r="AR124" s="69" t="s">
        <v>160</v>
      </c>
      <c r="AS124" s="69" t="s">
        <v>160</v>
      </c>
      <c r="AT124" s="69" t="s">
        <v>160</v>
      </c>
      <c r="AU124" s="69" t="s">
        <v>160</v>
      </c>
      <c r="AV124" s="69" t="s">
        <v>160</v>
      </c>
      <c r="AW124" s="69" t="s">
        <v>160</v>
      </c>
      <c r="AX124" s="69" t="s">
        <v>160</v>
      </c>
      <c r="AY124" s="69" t="s">
        <v>160</v>
      </c>
      <c r="AZ124" s="69" t="s">
        <v>160</v>
      </c>
      <c r="BA124" s="69" t="s">
        <v>160</v>
      </c>
      <c r="BB124" s="69" t="s">
        <v>160</v>
      </c>
      <c r="BC124" s="69" t="s">
        <v>160</v>
      </c>
      <c r="BD124" s="69" t="s">
        <v>160</v>
      </c>
      <c r="BE124" s="69" t="s">
        <v>160</v>
      </c>
      <c r="BF124" s="69" t="s">
        <v>160</v>
      </c>
      <c r="BG124" s="69" t="s">
        <v>160</v>
      </c>
      <c r="BH124" s="69" t="s">
        <v>160</v>
      </c>
      <c r="BI124" s="69" t="s">
        <v>160</v>
      </c>
      <c r="BJ124" s="69" t="s">
        <v>160</v>
      </c>
      <c r="BK124" s="69" t="s">
        <v>160</v>
      </c>
      <c r="BL124" s="69" t="s">
        <v>160</v>
      </c>
      <c r="BM124" s="69" t="s">
        <v>160</v>
      </c>
      <c r="BN124" s="69" t="s">
        <v>160</v>
      </c>
      <c r="BO124" s="69" t="s">
        <v>160</v>
      </c>
      <c r="BP124" s="69" t="s">
        <v>160</v>
      </c>
      <c r="BQ124" s="69" t="s">
        <v>160</v>
      </c>
      <c r="BR124" s="69" t="s">
        <v>160</v>
      </c>
      <c r="BS124" s="69" t="s">
        <v>160</v>
      </c>
      <c r="BT124" s="69" t="s">
        <v>160</v>
      </c>
      <c r="BU124" s="69" t="s">
        <v>160</v>
      </c>
      <c r="BV124" s="69" t="s">
        <v>160</v>
      </c>
      <c r="BW124" s="69" t="s">
        <v>160</v>
      </c>
      <c r="BX124" s="69" t="s">
        <v>160</v>
      </c>
      <c r="BY124" s="69" t="s">
        <v>160</v>
      </c>
      <c r="BZ124" s="69" t="s">
        <v>160</v>
      </c>
      <c r="CA124" s="69" t="s">
        <v>160</v>
      </c>
      <c r="CB124" s="69" t="s">
        <v>160</v>
      </c>
      <c r="CC124" s="69" t="s">
        <v>160</v>
      </c>
      <c r="CD124" s="69" t="s">
        <v>160</v>
      </c>
      <c r="CE124" s="69" t="s">
        <v>160</v>
      </c>
      <c r="CF124" s="69" t="s">
        <v>160</v>
      </c>
      <c r="CG124" s="69" t="s">
        <v>160</v>
      </c>
      <c r="CH124" s="69" t="s">
        <v>160</v>
      </c>
      <c r="CI124" s="69" t="s">
        <v>160</v>
      </c>
      <c r="CJ124" s="69" t="s">
        <v>160</v>
      </c>
      <c r="CK124" s="69" t="s">
        <v>160</v>
      </c>
      <c r="CL124" s="69" t="s">
        <v>160</v>
      </c>
      <c r="CM124" s="69" t="s">
        <v>160</v>
      </c>
      <c r="CN124" s="69" t="s">
        <v>160</v>
      </c>
      <c r="CO124" s="69" t="s">
        <v>160</v>
      </c>
      <c r="CP124" s="69" t="s">
        <v>160</v>
      </c>
      <c r="CQ124" s="69" t="s">
        <v>160</v>
      </c>
      <c r="CR124" s="69" t="s">
        <v>160</v>
      </c>
      <c r="CS124" s="69" t="s">
        <v>160</v>
      </c>
      <c r="CT124" s="69" t="s">
        <v>160</v>
      </c>
      <c r="CU124" s="69" t="s">
        <v>160</v>
      </c>
      <c r="CV124" s="69" t="s">
        <v>160</v>
      </c>
      <c r="CW124" s="69" t="s">
        <v>160</v>
      </c>
      <c r="CX124" s="69" t="s">
        <v>160</v>
      </c>
      <c r="CY124" s="69" t="s">
        <v>160</v>
      </c>
      <c r="CZ124" s="69" t="s">
        <v>160</v>
      </c>
      <c r="DA124" s="69" t="s">
        <v>160</v>
      </c>
      <c r="DB124" s="69" t="s">
        <v>160</v>
      </c>
      <c r="DC124" s="69" t="s">
        <v>160</v>
      </c>
      <c r="DD124" s="69" t="s">
        <v>160</v>
      </c>
      <c r="DE124" s="69" t="s">
        <v>160</v>
      </c>
      <c r="DF124" s="69" t="s">
        <v>160</v>
      </c>
      <c r="DG124" s="69" t="s">
        <v>160</v>
      </c>
      <c r="DH124" s="69" t="s">
        <v>160</v>
      </c>
      <c r="DI124" s="69" t="s">
        <v>160</v>
      </c>
      <c r="DJ124" s="69" t="s">
        <v>160</v>
      </c>
      <c r="DK124" s="69" t="s">
        <v>160</v>
      </c>
      <c r="DL124" s="69" t="s">
        <v>160</v>
      </c>
      <c r="DM124" s="69" t="s">
        <v>160</v>
      </c>
      <c r="DN124" s="69" t="s">
        <v>160</v>
      </c>
      <c r="DO124" s="69" t="s">
        <v>160</v>
      </c>
      <c r="DP124" s="69" t="s">
        <v>160</v>
      </c>
      <c r="DQ124" s="69" t="s">
        <v>160</v>
      </c>
      <c r="DR124" s="69" t="s">
        <v>160</v>
      </c>
      <c r="DS124" s="69" t="s">
        <v>160</v>
      </c>
      <c r="DT124" s="69" t="s">
        <v>160</v>
      </c>
      <c r="DU124" s="69" t="s">
        <v>160</v>
      </c>
      <c r="DV124" s="69" t="s">
        <v>160</v>
      </c>
      <c r="DW124" s="69" t="s">
        <v>160</v>
      </c>
      <c r="DX124" s="69" t="s">
        <v>160</v>
      </c>
      <c r="DY124" s="69" t="s">
        <v>160</v>
      </c>
      <c r="DZ124" s="69" t="s">
        <v>160</v>
      </c>
      <c r="EA124" s="69" t="s">
        <v>160</v>
      </c>
      <c r="EB124" s="69" t="s">
        <v>160</v>
      </c>
      <c r="EC124" s="69" t="s">
        <v>160</v>
      </c>
      <c r="ED124" s="69" t="s">
        <v>160</v>
      </c>
      <c r="EE124" s="69" t="s">
        <v>160</v>
      </c>
      <c r="EF124" s="69" t="s">
        <v>160</v>
      </c>
      <c r="EG124" s="69" t="s">
        <v>160</v>
      </c>
      <c r="EH124" s="69" t="s">
        <v>160</v>
      </c>
      <c r="EI124" s="69" t="s">
        <v>160</v>
      </c>
      <c r="EJ124" s="69" t="s">
        <v>160</v>
      </c>
      <c r="EK124" s="69" t="s">
        <v>160</v>
      </c>
      <c r="EL124" s="69" t="s">
        <v>160</v>
      </c>
      <c r="EM124" s="69" t="s">
        <v>160</v>
      </c>
      <c r="EN124" s="69" t="s">
        <v>160</v>
      </c>
      <c r="EO124" s="69" t="s">
        <v>160</v>
      </c>
      <c r="EP124" s="69" t="s">
        <v>160</v>
      </c>
      <c r="EQ124" s="69" t="s">
        <v>160</v>
      </c>
      <c r="ER124" s="69" t="s">
        <v>160</v>
      </c>
      <c r="ES124" s="69" t="s">
        <v>160</v>
      </c>
      <c r="ET124" s="69" t="s">
        <v>160</v>
      </c>
      <c r="EU124" s="69" t="s">
        <v>160</v>
      </c>
      <c r="EV124" s="69" t="s">
        <v>160</v>
      </c>
      <c r="EW124" s="69" t="s">
        <v>160</v>
      </c>
      <c r="EX124" s="69" t="s">
        <v>160</v>
      </c>
      <c r="EY124" s="69" t="s">
        <v>160</v>
      </c>
      <c r="EZ124" s="69" t="s">
        <v>160</v>
      </c>
      <c r="FA124" s="69" t="s">
        <v>160</v>
      </c>
      <c r="FB124" s="69" t="s">
        <v>160</v>
      </c>
      <c r="FC124" s="69" t="s">
        <v>160</v>
      </c>
      <c r="FD124" s="69" t="s">
        <v>160</v>
      </c>
    </row>
    <row r="125" spans="1:160">
      <c r="A125" s="103" t="s">
        <v>526</v>
      </c>
      <c r="C125" s="50" t="s">
        <v>215</v>
      </c>
      <c r="G125" s="51" t="str">
        <f t="shared" si="10"/>
        <v>Note : Use case to be evaluated based on research basis in the area of smart home and smart grid &amp; smart factory applications</v>
      </c>
      <c r="H125" s="51" t="s">
        <v>2</v>
      </c>
      <c r="I125" s="64"/>
      <c r="J125" s="64"/>
      <c r="K125" s="64"/>
      <c r="L125" s="64"/>
      <c r="M125" s="64"/>
      <c r="N125" s="64" t="b">
        <f>ISNUMBER(SEARCH("*Waiting*",M125))</f>
        <v>0</v>
      </c>
      <c r="O125" s="64"/>
      <c r="R125" s="51" t="s">
        <v>2</v>
      </c>
      <c r="S125" s="68" t="s">
        <v>160</v>
      </c>
      <c r="T125" s="69" t="s">
        <v>160</v>
      </c>
      <c r="U125" s="69" t="s">
        <v>160</v>
      </c>
      <c r="V125" s="69" t="s">
        <v>160</v>
      </c>
      <c r="W125" s="69" t="s">
        <v>160</v>
      </c>
      <c r="X125" s="69" t="s">
        <v>160</v>
      </c>
      <c r="Y125" s="69" t="s">
        <v>160</v>
      </c>
      <c r="Z125" s="69" t="s">
        <v>160</v>
      </c>
      <c r="AA125" s="69" t="s">
        <v>160</v>
      </c>
      <c r="AB125" s="69" t="s">
        <v>160</v>
      </c>
      <c r="AC125" s="69" t="s">
        <v>160</v>
      </c>
      <c r="AD125" s="69" t="s">
        <v>160</v>
      </c>
      <c r="AE125" s="69" t="s">
        <v>160</v>
      </c>
      <c r="AF125" s="69" t="s">
        <v>160</v>
      </c>
      <c r="AG125" s="69" t="s">
        <v>160</v>
      </c>
      <c r="AH125" s="69" t="s">
        <v>160</v>
      </c>
      <c r="AI125" s="69" t="s">
        <v>160</v>
      </c>
      <c r="AJ125" s="69" t="s">
        <v>160</v>
      </c>
      <c r="AK125" s="69" t="s">
        <v>160</v>
      </c>
      <c r="AL125" s="69" t="s">
        <v>160</v>
      </c>
      <c r="AM125" s="69" t="s">
        <v>160</v>
      </c>
      <c r="AN125" s="69" t="s">
        <v>160</v>
      </c>
      <c r="AO125" s="69" t="s">
        <v>160</v>
      </c>
      <c r="AP125" s="69" t="s">
        <v>160</v>
      </c>
      <c r="AQ125" s="69" t="s">
        <v>160</v>
      </c>
      <c r="AR125" s="69" t="s">
        <v>160</v>
      </c>
      <c r="AS125" s="69" t="s">
        <v>160</v>
      </c>
      <c r="AT125" s="69" t="s">
        <v>160</v>
      </c>
      <c r="AU125" s="69" t="s">
        <v>160</v>
      </c>
      <c r="AV125" s="69" t="s">
        <v>160</v>
      </c>
      <c r="AW125" s="69" t="s">
        <v>160</v>
      </c>
      <c r="AX125" s="69" t="s">
        <v>160</v>
      </c>
      <c r="AY125" s="69" t="s">
        <v>160</v>
      </c>
      <c r="AZ125" s="69" t="s">
        <v>160</v>
      </c>
      <c r="BA125" s="69" t="s">
        <v>160</v>
      </c>
      <c r="BB125" s="69" t="s">
        <v>160</v>
      </c>
      <c r="BC125" s="69" t="s">
        <v>160</v>
      </c>
      <c r="BD125" s="69" t="s">
        <v>160</v>
      </c>
      <c r="BE125" s="69" t="s">
        <v>160</v>
      </c>
      <c r="BF125" s="69" t="s">
        <v>160</v>
      </c>
      <c r="BG125" s="69" t="s">
        <v>160</v>
      </c>
      <c r="BH125" s="69" t="s">
        <v>160</v>
      </c>
      <c r="BI125" s="69" t="s">
        <v>160</v>
      </c>
      <c r="BJ125" s="69" t="s">
        <v>160</v>
      </c>
      <c r="BK125" s="69" t="s">
        <v>160</v>
      </c>
      <c r="BL125" s="69" t="s">
        <v>160</v>
      </c>
      <c r="BM125" s="69" t="s">
        <v>160</v>
      </c>
      <c r="BN125" s="69" t="s">
        <v>160</v>
      </c>
      <c r="BO125" s="69" t="s">
        <v>160</v>
      </c>
      <c r="BP125" s="69" t="s">
        <v>160</v>
      </c>
      <c r="BQ125" s="69" t="s">
        <v>160</v>
      </c>
      <c r="BR125" s="69" t="s">
        <v>160</v>
      </c>
      <c r="BS125" s="69" t="s">
        <v>160</v>
      </c>
      <c r="BT125" s="69" t="s">
        <v>160</v>
      </c>
      <c r="BU125" s="69" t="s">
        <v>160</v>
      </c>
      <c r="BV125" s="69" t="s">
        <v>160</v>
      </c>
      <c r="BW125" s="69" t="s">
        <v>160</v>
      </c>
      <c r="BX125" s="69" t="s">
        <v>160</v>
      </c>
      <c r="BY125" s="69" t="s">
        <v>160</v>
      </c>
      <c r="BZ125" s="69" t="s">
        <v>160</v>
      </c>
      <c r="CA125" s="69" t="s">
        <v>160</v>
      </c>
      <c r="CB125" s="69" t="s">
        <v>160</v>
      </c>
      <c r="CC125" s="69" t="s">
        <v>160</v>
      </c>
      <c r="CD125" s="69" t="s">
        <v>160</v>
      </c>
      <c r="CE125" s="69" t="s">
        <v>160</v>
      </c>
      <c r="CF125" s="69" t="s">
        <v>160</v>
      </c>
      <c r="CG125" s="69" t="s">
        <v>160</v>
      </c>
      <c r="CH125" s="69" t="s">
        <v>160</v>
      </c>
      <c r="CI125" s="69" t="s">
        <v>160</v>
      </c>
      <c r="CJ125" s="69" t="s">
        <v>160</v>
      </c>
      <c r="CK125" s="69" t="s">
        <v>160</v>
      </c>
      <c r="CL125" s="69" t="s">
        <v>160</v>
      </c>
      <c r="CM125" s="69" t="s">
        <v>160</v>
      </c>
      <c r="CN125" s="69" t="s">
        <v>160</v>
      </c>
      <c r="CO125" s="69" t="s">
        <v>160</v>
      </c>
      <c r="CP125" s="69" t="s">
        <v>160</v>
      </c>
      <c r="CQ125" s="69" t="s">
        <v>160</v>
      </c>
      <c r="CR125" s="69" t="s">
        <v>160</v>
      </c>
      <c r="CS125" s="69" t="s">
        <v>160</v>
      </c>
      <c r="CT125" s="69" t="s">
        <v>160</v>
      </c>
      <c r="CU125" s="69" t="s">
        <v>160</v>
      </c>
      <c r="CV125" s="69" t="s">
        <v>160</v>
      </c>
      <c r="CW125" s="69" t="s">
        <v>160</v>
      </c>
      <c r="CX125" s="69" t="s">
        <v>160</v>
      </c>
      <c r="CY125" s="69" t="s">
        <v>160</v>
      </c>
      <c r="CZ125" s="69" t="s">
        <v>160</v>
      </c>
      <c r="DA125" s="69" t="s">
        <v>160</v>
      </c>
      <c r="DB125" s="69" t="s">
        <v>160</v>
      </c>
      <c r="DC125" s="69" t="s">
        <v>160</v>
      </c>
      <c r="DD125" s="69" t="s">
        <v>160</v>
      </c>
      <c r="DE125" s="69" t="s">
        <v>160</v>
      </c>
      <c r="DF125" s="69" t="s">
        <v>160</v>
      </c>
      <c r="DG125" s="69" t="s">
        <v>160</v>
      </c>
      <c r="DH125" s="69" t="s">
        <v>160</v>
      </c>
      <c r="DI125" s="69" t="s">
        <v>160</v>
      </c>
      <c r="DJ125" s="69" t="s">
        <v>160</v>
      </c>
      <c r="DK125" s="69" t="s">
        <v>160</v>
      </c>
      <c r="DL125" s="69" t="s">
        <v>160</v>
      </c>
      <c r="DM125" s="69" t="s">
        <v>160</v>
      </c>
      <c r="DN125" s="69" t="s">
        <v>160</v>
      </c>
      <c r="DO125" s="69" t="s">
        <v>160</v>
      </c>
      <c r="DP125" s="69" t="s">
        <v>160</v>
      </c>
      <c r="DQ125" s="69" t="s">
        <v>160</v>
      </c>
      <c r="DR125" s="69" t="s">
        <v>160</v>
      </c>
      <c r="DS125" s="69" t="s">
        <v>160</v>
      </c>
      <c r="DT125" s="69" t="s">
        <v>160</v>
      </c>
      <c r="DU125" s="69" t="s">
        <v>160</v>
      </c>
      <c r="DV125" s="69" t="s">
        <v>160</v>
      </c>
      <c r="DW125" s="69" t="s">
        <v>160</v>
      </c>
      <c r="DX125" s="69" t="s">
        <v>160</v>
      </c>
      <c r="DY125" s="69" t="s">
        <v>160</v>
      </c>
      <c r="DZ125" s="69" t="s">
        <v>160</v>
      </c>
      <c r="EA125" s="69" t="s">
        <v>160</v>
      </c>
      <c r="EB125" s="69" t="s">
        <v>160</v>
      </c>
      <c r="EC125" s="69" t="s">
        <v>160</v>
      </c>
      <c r="ED125" s="69" t="s">
        <v>160</v>
      </c>
      <c r="EE125" s="69" t="s">
        <v>160</v>
      </c>
      <c r="EF125" s="69" t="s">
        <v>160</v>
      </c>
      <c r="EG125" s="69" t="s">
        <v>160</v>
      </c>
      <c r="EH125" s="69" t="s">
        <v>160</v>
      </c>
      <c r="EI125" s="69" t="s">
        <v>160</v>
      </c>
      <c r="EJ125" s="69" t="s">
        <v>160</v>
      </c>
      <c r="EK125" s="69" t="s">
        <v>160</v>
      </c>
      <c r="EL125" s="69" t="s">
        <v>160</v>
      </c>
      <c r="EM125" s="69" t="s">
        <v>160</v>
      </c>
      <c r="EN125" s="69" t="s">
        <v>160</v>
      </c>
      <c r="EO125" s="69" t="s">
        <v>160</v>
      </c>
      <c r="EP125" s="69" t="s">
        <v>160</v>
      </c>
      <c r="EQ125" s="69" t="s">
        <v>160</v>
      </c>
      <c r="ER125" s="69" t="s">
        <v>160</v>
      </c>
      <c r="ES125" s="69" t="s">
        <v>160</v>
      </c>
      <c r="ET125" s="69" t="s">
        <v>160</v>
      </c>
      <c r="EU125" s="69" t="s">
        <v>160</v>
      </c>
      <c r="EV125" s="69" t="s">
        <v>160</v>
      </c>
      <c r="EW125" s="69" t="s">
        <v>160</v>
      </c>
      <c r="EX125" s="69" t="s">
        <v>160</v>
      </c>
      <c r="EY125" s="69" t="s">
        <v>160</v>
      </c>
      <c r="EZ125" s="69" t="s">
        <v>160</v>
      </c>
      <c r="FA125" s="69" t="s">
        <v>160</v>
      </c>
      <c r="FB125" s="69" t="s">
        <v>160</v>
      </c>
      <c r="FC125" s="69" t="s">
        <v>160</v>
      </c>
      <c r="FD125" s="69" t="s">
        <v>160</v>
      </c>
    </row>
    <row r="126" spans="1:160">
      <c r="A126" s="103" t="s">
        <v>527</v>
      </c>
      <c r="B126" s="20" t="s">
        <v>163</v>
      </c>
      <c r="C126" s="91" t="s">
        <v>171</v>
      </c>
      <c r="G126" s="51" t="str">
        <f t="shared" si="10"/>
        <v>Technical design document explaining the data schema and algorithm</v>
      </c>
      <c r="H126" s="51" t="s">
        <v>2</v>
      </c>
      <c r="I126" s="64">
        <v>45748</v>
      </c>
      <c r="J126" s="64">
        <v>45838</v>
      </c>
      <c r="K126" s="64"/>
      <c r="L126" s="64"/>
      <c r="M126" s="64"/>
      <c r="N126" s="64" t="b">
        <f t="shared" ref="N126:N130" si="18">ISNUMBER(SEARCH("*Waiting*",M126))</f>
        <v>0</v>
      </c>
      <c r="O126" s="64"/>
      <c r="P126" s="24">
        <v>0</v>
      </c>
      <c r="R126" s="51" t="s">
        <v>2</v>
      </c>
      <c r="S126" s="68" t="s">
        <v>160</v>
      </c>
      <c r="T126" s="69" t="s">
        <v>160</v>
      </c>
      <c r="U126" s="69" t="s">
        <v>160</v>
      </c>
      <c r="V126" s="69" t="s">
        <v>160</v>
      </c>
      <c r="W126" s="69" t="s">
        <v>160</v>
      </c>
      <c r="X126" s="69" t="s">
        <v>160</v>
      </c>
      <c r="Y126" s="69" t="s">
        <v>160</v>
      </c>
      <c r="Z126" s="69" t="s">
        <v>160</v>
      </c>
      <c r="AA126" s="69" t="s">
        <v>160</v>
      </c>
      <c r="AB126" s="69" t="s">
        <v>160</v>
      </c>
      <c r="AC126" s="69" t="s">
        <v>160</v>
      </c>
      <c r="AD126" s="69" t="s">
        <v>160</v>
      </c>
      <c r="AE126" s="69" t="s">
        <v>160</v>
      </c>
      <c r="AF126" s="69" t="s">
        <v>160</v>
      </c>
      <c r="AG126" s="69" t="s">
        <v>160</v>
      </c>
      <c r="AH126" s="69" t="s">
        <v>160</v>
      </c>
      <c r="AI126" s="69" t="s">
        <v>160</v>
      </c>
      <c r="AJ126" s="69" t="s">
        <v>160</v>
      </c>
      <c r="AK126" s="69" t="s">
        <v>160</v>
      </c>
      <c r="AL126" s="69" t="s">
        <v>160</v>
      </c>
      <c r="AM126" s="69" t="s">
        <v>160</v>
      </c>
      <c r="AN126" s="69" t="s">
        <v>160</v>
      </c>
      <c r="AO126" s="69" t="s">
        <v>160</v>
      </c>
      <c r="AP126" s="69" t="s">
        <v>160</v>
      </c>
      <c r="AQ126" s="69" t="s">
        <v>160</v>
      </c>
      <c r="AR126" s="69" t="s">
        <v>160</v>
      </c>
      <c r="AS126" s="69" t="s">
        <v>160</v>
      </c>
      <c r="AT126" s="69" t="s">
        <v>160</v>
      </c>
      <c r="AU126" s="69" t="s">
        <v>160</v>
      </c>
      <c r="AV126" s="69" t="s">
        <v>160</v>
      </c>
      <c r="AW126" s="69" t="s">
        <v>160</v>
      </c>
      <c r="AX126" s="69" t="s">
        <v>160</v>
      </c>
      <c r="AY126" s="69" t="s">
        <v>160</v>
      </c>
      <c r="AZ126" s="69" t="s">
        <v>160</v>
      </c>
      <c r="BA126" s="69" t="s">
        <v>160</v>
      </c>
      <c r="BB126" s="69" t="s">
        <v>160</v>
      </c>
      <c r="BC126" s="69" t="s">
        <v>160</v>
      </c>
      <c r="BD126" s="69" t="s">
        <v>160</v>
      </c>
      <c r="BE126" s="69" t="s">
        <v>160</v>
      </c>
      <c r="BF126" s="69" t="s">
        <v>160</v>
      </c>
      <c r="BG126" s="69" t="s">
        <v>160</v>
      </c>
      <c r="BH126" s="69" t="s">
        <v>160</v>
      </c>
      <c r="BI126" s="69" t="s">
        <v>160</v>
      </c>
      <c r="BJ126" s="69" t="s">
        <v>160</v>
      </c>
      <c r="BK126" s="69" t="s">
        <v>160</v>
      </c>
      <c r="BL126" s="69" t="s">
        <v>160</v>
      </c>
      <c r="BM126" s="69" t="s">
        <v>160</v>
      </c>
      <c r="BN126" s="69" t="s">
        <v>160</v>
      </c>
      <c r="BO126" s="69" t="s">
        <v>160</v>
      </c>
      <c r="BP126" s="69" t="s">
        <v>160</v>
      </c>
      <c r="BQ126" s="69" t="s">
        <v>160</v>
      </c>
      <c r="BR126" s="69" t="s">
        <v>160</v>
      </c>
      <c r="BS126" s="69" t="s">
        <v>160</v>
      </c>
      <c r="BT126" s="69" t="s">
        <v>160</v>
      </c>
      <c r="BU126" s="69" t="s">
        <v>160</v>
      </c>
      <c r="BV126" s="69" t="s">
        <v>160</v>
      </c>
      <c r="BW126" s="69" t="s">
        <v>160</v>
      </c>
      <c r="BX126" s="69" t="s">
        <v>160</v>
      </c>
      <c r="BY126" s="69" t="s">
        <v>160</v>
      </c>
      <c r="BZ126" s="69" t="s">
        <v>160</v>
      </c>
      <c r="CA126" s="69" t="s">
        <v>160</v>
      </c>
      <c r="CB126" s="69" t="s">
        <v>160</v>
      </c>
      <c r="CC126" s="69" t="s">
        <v>160</v>
      </c>
      <c r="CD126" s="69" t="s">
        <v>160</v>
      </c>
      <c r="CE126" s="69" t="s">
        <v>160</v>
      </c>
      <c r="CF126" s="69" t="s">
        <v>160</v>
      </c>
      <c r="CG126" s="69" t="s">
        <v>160</v>
      </c>
      <c r="CH126" s="69" t="s">
        <v>160</v>
      </c>
      <c r="CI126" s="69" t="s">
        <v>160</v>
      </c>
      <c r="CJ126" s="69" t="s">
        <v>160</v>
      </c>
      <c r="CK126" s="69" t="s">
        <v>160</v>
      </c>
      <c r="CL126" s="69" t="s">
        <v>160</v>
      </c>
      <c r="CM126" s="69" t="s">
        <v>160</v>
      </c>
      <c r="CN126" s="69" t="s">
        <v>160</v>
      </c>
      <c r="CO126" s="69" t="s">
        <v>160</v>
      </c>
      <c r="CP126" s="69" t="s">
        <v>160</v>
      </c>
      <c r="CQ126" s="69" t="s">
        <v>160</v>
      </c>
      <c r="CR126" s="69" t="s">
        <v>160</v>
      </c>
      <c r="CS126" s="69" t="s">
        <v>160</v>
      </c>
      <c r="CT126" s="69" t="s">
        <v>160</v>
      </c>
      <c r="CU126" s="69" t="s">
        <v>160</v>
      </c>
      <c r="CV126" s="69" t="s">
        <v>160</v>
      </c>
      <c r="CW126" s="69" t="s">
        <v>160</v>
      </c>
      <c r="CX126" s="69" t="s">
        <v>160</v>
      </c>
      <c r="CY126" s="69" t="s">
        <v>160</v>
      </c>
      <c r="CZ126" s="69" t="s">
        <v>160</v>
      </c>
      <c r="DA126" s="69" t="s">
        <v>160</v>
      </c>
      <c r="DB126" s="69" t="s">
        <v>160</v>
      </c>
      <c r="DC126" s="69" t="s">
        <v>160</v>
      </c>
      <c r="DD126" s="69" t="s">
        <v>160</v>
      </c>
      <c r="DE126" s="69" t="s">
        <v>160</v>
      </c>
      <c r="DF126" s="69" t="s">
        <v>160</v>
      </c>
      <c r="DG126" s="69" t="s">
        <v>160</v>
      </c>
      <c r="DH126" s="69" t="s">
        <v>160</v>
      </c>
      <c r="DI126" s="69" t="s">
        <v>160</v>
      </c>
      <c r="DJ126" s="69" t="s">
        <v>160</v>
      </c>
      <c r="DK126" s="69" t="s">
        <v>160</v>
      </c>
      <c r="DL126" s="69" t="s">
        <v>160</v>
      </c>
      <c r="DM126" s="69" t="s">
        <v>160</v>
      </c>
      <c r="DN126" s="69" t="s">
        <v>160</v>
      </c>
      <c r="DO126" s="69" t="s">
        <v>160</v>
      </c>
      <c r="DP126" s="69" t="s">
        <v>160</v>
      </c>
      <c r="DQ126" s="69" t="s">
        <v>160</v>
      </c>
      <c r="DR126" s="69" t="s">
        <v>160</v>
      </c>
      <c r="DS126" s="69" t="s">
        <v>160</v>
      </c>
      <c r="DT126" s="69" t="s">
        <v>160</v>
      </c>
      <c r="DU126" s="69" t="s">
        <v>160</v>
      </c>
      <c r="DV126" s="69" t="s">
        <v>160</v>
      </c>
      <c r="DW126" s="69" t="s">
        <v>160</v>
      </c>
      <c r="DX126" s="69" t="s">
        <v>160</v>
      </c>
      <c r="DY126" s="69" t="s">
        <v>160</v>
      </c>
      <c r="DZ126" s="69" t="s">
        <v>160</v>
      </c>
      <c r="EA126" s="69" t="s">
        <v>160</v>
      </c>
      <c r="EB126" s="69" t="s">
        <v>160</v>
      </c>
      <c r="EC126" s="69" t="s">
        <v>160</v>
      </c>
      <c r="ED126" s="69" t="s">
        <v>160</v>
      </c>
      <c r="EE126" s="69" t="s">
        <v>160</v>
      </c>
      <c r="EF126" s="69" t="s">
        <v>160</v>
      </c>
      <c r="EG126" s="69" t="s">
        <v>160</v>
      </c>
      <c r="EH126" s="69" t="s">
        <v>160</v>
      </c>
      <c r="EI126" s="69" t="s">
        <v>160</v>
      </c>
      <c r="EJ126" s="69" t="s">
        <v>160</v>
      </c>
      <c r="EK126" s="69" t="s">
        <v>160</v>
      </c>
      <c r="EL126" s="69" t="s">
        <v>160</v>
      </c>
      <c r="EM126" s="69" t="s">
        <v>160</v>
      </c>
      <c r="EN126" s="69" t="s">
        <v>160</v>
      </c>
      <c r="EO126" s="69" t="s">
        <v>160</v>
      </c>
      <c r="EP126" s="69" t="s">
        <v>160</v>
      </c>
      <c r="EQ126" s="69" t="s">
        <v>160</v>
      </c>
      <c r="ER126" s="69" t="s">
        <v>160</v>
      </c>
      <c r="ES126" s="69" t="s">
        <v>160</v>
      </c>
      <c r="ET126" s="69" t="s">
        <v>160</v>
      </c>
      <c r="EU126" s="69" t="s">
        <v>160</v>
      </c>
      <c r="EV126" s="69" t="s">
        <v>160</v>
      </c>
      <c r="EW126" s="69" t="s">
        <v>160</v>
      </c>
      <c r="EX126" s="69" t="s">
        <v>160</v>
      </c>
      <c r="EY126" s="69" t="s">
        <v>160</v>
      </c>
      <c r="EZ126" s="69" t="s">
        <v>160</v>
      </c>
      <c r="FA126" s="69" t="s">
        <v>160</v>
      </c>
      <c r="FB126" s="69" t="s">
        <v>160</v>
      </c>
      <c r="FC126" s="69" t="s">
        <v>160</v>
      </c>
      <c r="FD126" s="69" t="s">
        <v>160</v>
      </c>
    </row>
    <row r="127" spans="1:160">
      <c r="A127" s="103" t="s">
        <v>528</v>
      </c>
      <c r="B127" s="20" t="s">
        <v>163</v>
      </c>
      <c r="C127" s="91" t="s">
        <v>172</v>
      </c>
      <c r="G127" s="51" t="str">
        <f t="shared" si="10"/>
        <v>Software Code</v>
      </c>
      <c r="H127" s="51" t="s">
        <v>2</v>
      </c>
      <c r="I127" s="64">
        <v>45748</v>
      </c>
      <c r="J127" s="64">
        <v>45838</v>
      </c>
      <c r="K127" s="64"/>
      <c r="L127" s="64"/>
      <c r="M127" s="64"/>
      <c r="N127" s="64" t="b">
        <f t="shared" si="18"/>
        <v>0</v>
      </c>
      <c r="O127" s="64"/>
      <c r="P127" s="24">
        <v>0</v>
      </c>
      <c r="R127" s="51" t="s">
        <v>2</v>
      </c>
      <c r="S127" s="68" t="s">
        <v>160</v>
      </c>
      <c r="T127" s="69" t="s">
        <v>160</v>
      </c>
      <c r="U127" s="69" t="s">
        <v>160</v>
      </c>
      <c r="V127" s="69" t="s">
        <v>160</v>
      </c>
      <c r="W127" s="69" t="s">
        <v>160</v>
      </c>
      <c r="X127" s="69" t="s">
        <v>160</v>
      </c>
      <c r="Y127" s="69" t="s">
        <v>160</v>
      </c>
      <c r="Z127" s="69" t="s">
        <v>160</v>
      </c>
      <c r="AA127" s="69" t="s">
        <v>160</v>
      </c>
      <c r="AB127" s="69" t="s">
        <v>160</v>
      </c>
      <c r="AC127" s="69" t="s">
        <v>160</v>
      </c>
      <c r="AD127" s="69" t="s">
        <v>160</v>
      </c>
      <c r="AE127" s="69" t="s">
        <v>160</v>
      </c>
      <c r="AF127" s="69" t="s">
        <v>160</v>
      </c>
      <c r="AG127" s="69" t="s">
        <v>160</v>
      </c>
      <c r="AH127" s="69" t="s">
        <v>160</v>
      </c>
      <c r="AI127" s="69" t="s">
        <v>160</v>
      </c>
      <c r="AJ127" s="69" t="s">
        <v>160</v>
      </c>
      <c r="AK127" s="69" t="s">
        <v>160</v>
      </c>
      <c r="AL127" s="69" t="s">
        <v>160</v>
      </c>
      <c r="AM127" s="69" t="s">
        <v>160</v>
      </c>
      <c r="AN127" s="69" t="s">
        <v>160</v>
      </c>
      <c r="AO127" s="69" t="s">
        <v>160</v>
      </c>
      <c r="AP127" s="69" t="s">
        <v>160</v>
      </c>
      <c r="AQ127" s="69" t="s">
        <v>160</v>
      </c>
      <c r="AR127" s="69" t="s">
        <v>160</v>
      </c>
      <c r="AS127" s="69" t="s">
        <v>160</v>
      </c>
      <c r="AT127" s="69" t="s">
        <v>160</v>
      </c>
      <c r="AU127" s="69" t="s">
        <v>160</v>
      </c>
      <c r="AV127" s="69" t="s">
        <v>160</v>
      </c>
      <c r="AW127" s="69" t="s">
        <v>160</v>
      </c>
      <c r="AX127" s="69" t="s">
        <v>160</v>
      </c>
      <c r="AY127" s="69" t="s">
        <v>160</v>
      </c>
      <c r="AZ127" s="69" t="s">
        <v>160</v>
      </c>
      <c r="BA127" s="69" t="s">
        <v>160</v>
      </c>
      <c r="BB127" s="69" t="s">
        <v>160</v>
      </c>
      <c r="BC127" s="69" t="s">
        <v>160</v>
      </c>
      <c r="BD127" s="69" t="s">
        <v>160</v>
      </c>
      <c r="BE127" s="69" t="s">
        <v>160</v>
      </c>
      <c r="BF127" s="69" t="s">
        <v>160</v>
      </c>
      <c r="BG127" s="69" t="s">
        <v>160</v>
      </c>
      <c r="BH127" s="69" t="s">
        <v>160</v>
      </c>
      <c r="BI127" s="69" t="s">
        <v>160</v>
      </c>
      <c r="BJ127" s="69" t="s">
        <v>160</v>
      </c>
      <c r="BK127" s="69" t="s">
        <v>160</v>
      </c>
      <c r="BL127" s="69" t="s">
        <v>160</v>
      </c>
      <c r="BM127" s="69" t="s">
        <v>160</v>
      </c>
      <c r="BN127" s="69" t="s">
        <v>160</v>
      </c>
      <c r="BO127" s="69" t="s">
        <v>160</v>
      </c>
      <c r="BP127" s="69" t="s">
        <v>160</v>
      </c>
      <c r="BQ127" s="69" t="s">
        <v>160</v>
      </c>
      <c r="BR127" s="69" t="s">
        <v>160</v>
      </c>
      <c r="BS127" s="69" t="s">
        <v>160</v>
      </c>
      <c r="BT127" s="69" t="s">
        <v>160</v>
      </c>
      <c r="BU127" s="69" t="s">
        <v>160</v>
      </c>
      <c r="BV127" s="69" t="s">
        <v>160</v>
      </c>
      <c r="BW127" s="69" t="s">
        <v>160</v>
      </c>
      <c r="BX127" s="69" t="s">
        <v>160</v>
      </c>
      <c r="BY127" s="69" t="s">
        <v>160</v>
      </c>
      <c r="BZ127" s="69" t="s">
        <v>160</v>
      </c>
      <c r="CA127" s="69" t="s">
        <v>160</v>
      </c>
      <c r="CB127" s="69" t="s">
        <v>160</v>
      </c>
      <c r="CC127" s="69" t="s">
        <v>160</v>
      </c>
      <c r="CD127" s="69" t="s">
        <v>160</v>
      </c>
      <c r="CE127" s="69" t="s">
        <v>160</v>
      </c>
      <c r="CF127" s="69" t="s">
        <v>160</v>
      </c>
      <c r="CG127" s="69" t="s">
        <v>160</v>
      </c>
      <c r="CH127" s="69" t="s">
        <v>160</v>
      </c>
      <c r="CI127" s="69" t="s">
        <v>160</v>
      </c>
      <c r="CJ127" s="69" t="s">
        <v>160</v>
      </c>
      <c r="CK127" s="69" t="s">
        <v>160</v>
      </c>
      <c r="CL127" s="69" t="s">
        <v>160</v>
      </c>
      <c r="CM127" s="69" t="s">
        <v>160</v>
      </c>
      <c r="CN127" s="69" t="s">
        <v>160</v>
      </c>
      <c r="CO127" s="69" t="s">
        <v>160</v>
      </c>
      <c r="CP127" s="69" t="s">
        <v>160</v>
      </c>
      <c r="CQ127" s="69" t="s">
        <v>160</v>
      </c>
      <c r="CR127" s="69" t="s">
        <v>160</v>
      </c>
      <c r="CS127" s="69" t="s">
        <v>160</v>
      </c>
      <c r="CT127" s="69" t="s">
        <v>160</v>
      </c>
      <c r="CU127" s="69" t="s">
        <v>160</v>
      </c>
      <c r="CV127" s="69" t="s">
        <v>160</v>
      </c>
      <c r="CW127" s="69" t="s">
        <v>160</v>
      </c>
      <c r="CX127" s="69" t="s">
        <v>160</v>
      </c>
      <c r="CY127" s="69" t="s">
        <v>160</v>
      </c>
      <c r="CZ127" s="69" t="s">
        <v>160</v>
      </c>
      <c r="DA127" s="69" t="s">
        <v>160</v>
      </c>
      <c r="DB127" s="69" t="s">
        <v>160</v>
      </c>
      <c r="DC127" s="69" t="s">
        <v>160</v>
      </c>
      <c r="DD127" s="69" t="s">
        <v>160</v>
      </c>
      <c r="DE127" s="69" t="s">
        <v>160</v>
      </c>
      <c r="DF127" s="69" t="s">
        <v>160</v>
      </c>
      <c r="DG127" s="69" t="s">
        <v>160</v>
      </c>
      <c r="DH127" s="69" t="s">
        <v>160</v>
      </c>
      <c r="DI127" s="69" t="s">
        <v>160</v>
      </c>
      <c r="DJ127" s="69" t="s">
        <v>160</v>
      </c>
      <c r="DK127" s="69" t="s">
        <v>160</v>
      </c>
      <c r="DL127" s="69" t="s">
        <v>160</v>
      </c>
      <c r="DM127" s="69" t="s">
        <v>160</v>
      </c>
      <c r="DN127" s="69" t="s">
        <v>160</v>
      </c>
      <c r="DO127" s="69" t="s">
        <v>160</v>
      </c>
      <c r="DP127" s="69" t="s">
        <v>160</v>
      </c>
      <c r="DQ127" s="69" t="s">
        <v>160</v>
      </c>
      <c r="DR127" s="69" t="s">
        <v>160</v>
      </c>
      <c r="DS127" s="69" t="s">
        <v>160</v>
      </c>
      <c r="DT127" s="69" t="s">
        <v>160</v>
      </c>
      <c r="DU127" s="69" t="s">
        <v>160</v>
      </c>
      <c r="DV127" s="69" t="s">
        <v>160</v>
      </c>
      <c r="DW127" s="69" t="s">
        <v>160</v>
      </c>
      <c r="DX127" s="69" t="s">
        <v>160</v>
      </c>
      <c r="DY127" s="69" t="s">
        <v>160</v>
      </c>
      <c r="DZ127" s="69" t="s">
        <v>160</v>
      </c>
      <c r="EA127" s="69" t="s">
        <v>160</v>
      </c>
      <c r="EB127" s="69" t="s">
        <v>160</v>
      </c>
      <c r="EC127" s="69" t="s">
        <v>160</v>
      </c>
      <c r="ED127" s="69" t="s">
        <v>160</v>
      </c>
      <c r="EE127" s="69" t="s">
        <v>160</v>
      </c>
      <c r="EF127" s="69" t="s">
        <v>160</v>
      </c>
      <c r="EG127" s="69" t="s">
        <v>160</v>
      </c>
      <c r="EH127" s="69" t="s">
        <v>160</v>
      </c>
      <c r="EI127" s="69" t="s">
        <v>160</v>
      </c>
      <c r="EJ127" s="69" t="s">
        <v>160</v>
      </c>
      <c r="EK127" s="69" t="s">
        <v>160</v>
      </c>
      <c r="EL127" s="69" t="s">
        <v>160</v>
      </c>
      <c r="EM127" s="69" t="s">
        <v>160</v>
      </c>
      <c r="EN127" s="69" t="s">
        <v>160</v>
      </c>
      <c r="EO127" s="69" t="s">
        <v>160</v>
      </c>
      <c r="EP127" s="69" t="s">
        <v>160</v>
      </c>
      <c r="EQ127" s="69" t="s">
        <v>160</v>
      </c>
      <c r="ER127" s="69" t="s">
        <v>160</v>
      </c>
      <c r="ES127" s="69" t="s">
        <v>160</v>
      </c>
      <c r="ET127" s="69" t="s">
        <v>160</v>
      </c>
      <c r="EU127" s="69" t="s">
        <v>160</v>
      </c>
      <c r="EV127" s="69" t="s">
        <v>160</v>
      </c>
      <c r="EW127" s="69" t="s">
        <v>160</v>
      </c>
      <c r="EX127" s="69" t="s">
        <v>160</v>
      </c>
      <c r="EY127" s="69" t="s">
        <v>160</v>
      </c>
      <c r="EZ127" s="69" t="s">
        <v>160</v>
      </c>
      <c r="FA127" s="69" t="s">
        <v>160</v>
      </c>
      <c r="FB127" s="69" t="s">
        <v>160</v>
      </c>
      <c r="FC127" s="69" t="s">
        <v>160</v>
      </c>
      <c r="FD127" s="69" t="s">
        <v>160</v>
      </c>
    </row>
    <row r="128" spans="1:160">
      <c r="A128" s="103" t="s">
        <v>529</v>
      </c>
      <c r="B128" s="20" t="s">
        <v>163</v>
      </c>
      <c r="C128" s="91" t="s">
        <v>173</v>
      </c>
      <c r="G128" s="51" t="str">
        <f t="shared" si="10"/>
        <v>Deployment Procedure of the code</v>
      </c>
      <c r="H128" s="51" t="s">
        <v>2</v>
      </c>
      <c r="I128" s="64">
        <v>45748</v>
      </c>
      <c r="J128" s="64">
        <v>45838</v>
      </c>
      <c r="K128" s="64"/>
      <c r="L128" s="64"/>
      <c r="M128" s="64"/>
      <c r="N128" s="64" t="b">
        <f t="shared" si="18"/>
        <v>0</v>
      </c>
      <c r="O128" s="64"/>
      <c r="P128" s="24">
        <v>0</v>
      </c>
      <c r="R128" s="51" t="s">
        <v>2</v>
      </c>
      <c r="S128" s="68" t="s">
        <v>160</v>
      </c>
      <c r="T128" s="69" t="s">
        <v>160</v>
      </c>
      <c r="U128" s="69" t="s">
        <v>160</v>
      </c>
      <c r="V128" s="69" t="s">
        <v>160</v>
      </c>
      <c r="W128" s="69" t="s">
        <v>160</v>
      </c>
      <c r="X128" s="69" t="s">
        <v>160</v>
      </c>
      <c r="Y128" s="69" t="s">
        <v>160</v>
      </c>
      <c r="Z128" s="69" t="s">
        <v>160</v>
      </c>
      <c r="AA128" s="69" t="s">
        <v>160</v>
      </c>
      <c r="AB128" s="69" t="s">
        <v>160</v>
      </c>
      <c r="AC128" s="69" t="s">
        <v>160</v>
      </c>
      <c r="AD128" s="69" t="s">
        <v>160</v>
      </c>
      <c r="AE128" s="69" t="s">
        <v>160</v>
      </c>
      <c r="AF128" s="69" t="s">
        <v>160</v>
      </c>
      <c r="AG128" s="69" t="s">
        <v>160</v>
      </c>
      <c r="AH128" s="69" t="s">
        <v>160</v>
      </c>
      <c r="AI128" s="69" t="s">
        <v>160</v>
      </c>
      <c r="AJ128" s="69" t="s">
        <v>160</v>
      </c>
      <c r="AK128" s="69" t="s">
        <v>160</v>
      </c>
      <c r="AL128" s="69" t="s">
        <v>160</v>
      </c>
      <c r="AM128" s="69" t="s">
        <v>160</v>
      </c>
      <c r="AN128" s="69" t="s">
        <v>160</v>
      </c>
      <c r="AO128" s="69" t="s">
        <v>160</v>
      </c>
      <c r="AP128" s="69" t="s">
        <v>160</v>
      </c>
      <c r="AQ128" s="69" t="s">
        <v>160</v>
      </c>
      <c r="AR128" s="69" t="s">
        <v>160</v>
      </c>
      <c r="AS128" s="69" t="s">
        <v>160</v>
      </c>
      <c r="AT128" s="69" t="s">
        <v>160</v>
      </c>
      <c r="AU128" s="69" t="s">
        <v>160</v>
      </c>
      <c r="AV128" s="69" t="s">
        <v>160</v>
      </c>
      <c r="AW128" s="69" t="s">
        <v>160</v>
      </c>
      <c r="AX128" s="69" t="s">
        <v>160</v>
      </c>
      <c r="AY128" s="69" t="s">
        <v>160</v>
      </c>
      <c r="AZ128" s="69" t="s">
        <v>160</v>
      </c>
      <c r="BA128" s="69" t="s">
        <v>160</v>
      </c>
      <c r="BB128" s="69" t="s">
        <v>160</v>
      </c>
      <c r="BC128" s="69" t="s">
        <v>160</v>
      </c>
      <c r="BD128" s="69" t="s">
        <v>160</v>
      </c>
      <c r="BE128" s="69" t="s">
        <v>160</v>
      </c>
      <c r="BF128" s="69" t="s">
        <v>160</v>
      </c>
      <c r="BG128" s="69" t="s">
        <v>160</v>
      </c>
      <c r="BH128" s="69" t="s">
        <v>160</v>
      </c>
      <c r="BI128" s="69" t="s">
        <v>160</v>
      </c>
      <c r="BJ128" s="69" t="s">
        <v>160</v>
      </c>
      <c r="BK128" s="69" t="s">
        <v>160</v>
      </c>
      <c r="BL128" s="69" t="s">
        <v>160</v>
      </c>
      <c r="BM128" s="69" t="s">
        <v>160</v>
      </c>
      <c r="BN128" s="69" t="s">
        <v>160</v>
      </c>
      <c r="BO128" s="69" t="s">
        <v>160</v>
      </c>
      <c r="BP128" s="69" t="s">
        <v>160</v>
      </c>
      <c r="BQ128" s="69" t="s">
        <v>160</v>
      </c>
      <c r="BR128" s="69" t="s">
        <v>160</v>
      </c>
      <c r="BS128" s="69" t="s">
        <v>160</v>
      </c>
      <c r="BT128" s="69" t="s">
        <v>160</v>
      </c>
      <c r="BU128" s="69" t="s">
        <v>160</v>
      </c>
      <c r="BV128" s="69" t="s">
        <v>160</v>
      </c>
      <c r="BW128" s="69" t="s">
        <v>160</v>
      </c>
      <c r="BX128" s="69" t="s">
        <v>160</v>
      </c>
      <c r="BY128" s="69" t="s">
        <v>160</v>
      </c>
      <c r="BZ128" s="69" t="s">
        <v>160</v>
      </c>
      <c r="CA128" s="69" t="s">
        <v>160</v>
      </c>
      <c r="CB128" s="69" t="s">
        <v>160</v>
      </c>
      <c r="CC128" s="69" t="s">
        <v>160</v>
      </c>
      <c r="CD128" s="69" t="s">
        <v>160</v>
      </c>
      <c r="CE128" s="69" t="s">
        <v>160</v>
      </c>
      <c r="CF128" s="69" t="s">
        <v>160</v>
      </c>
      <c r="CG128" s="69" t="s">
        <v>160</v>
      </c>
      <c r="CH128" s="69" t="s">
        <v>160</v>
      </c>
      <c r="CI128" s="69" t="s">
        <v>160</v>
      </c>
      <c r="CJ128" s="69" t="s">
        <v>160</v>
      </c>
      <c r="CK128" s="69" t="s">
        <v>160</v>
      </c>
      <c r="CL128" s="69" t="s">
        <v>160</v>
      </c>
      <c r="CM128" s="69" t="s">
        <v>160</v>
      </c>
      <c r="CN128" s="69" t="s">
        <v>160</v>
      </c>
      <c r="CO128" s="69" t="s">
        <v>160</v>
      </c>
      <c r="CP128" s="69" t="s">
        <v>160</v>
      </c>
      <c r="CQ128" s="69" t="s">
        <v>160</v>
      </c>
      <c r="CR128" s="69" t="s">
        <v>160</v>
      </c>
      <c r="CS128" s="69" t="s">
        <v>160</v>
      </c>
      <c r="CT128" s="69" t="s">
        <v>160</v>
      </c>
      <c r="CU128" s="69" t="s">
        <v>160</v>
      </c>
      <c r="CV128" s="69" t="s">
        <v>160</v>
      </c>
      <c r="CW128" s="69" t="s">
        <v>160</v>
      </c>
      <c r="CX128" s="69" t="s">
        <v>160</v>
      </c>
      <c r="CY128" s="69" t="s">
        <v>160</v>
      </c>
      <c r="CZ128" s="69" t="s">
        <v>160</v>
      </c>
      <c r="DA128" s="69" t="s">
        <v>160</v>
      </c>
      <c r="DB128" s="69" t="s">
        <v>160</v>
      </c>
      <c r="DC128" s="69" t="s">
        <v>160</v>
      </c>
      <c r="DD128" s="69" t="s">
        <v>160</v>
      </c>
      <c r="DE128" s="69" t="s">
        <v>160</v>
      </c>
      <c r="DF128" s="69" t="s">
        <v>160</v>
      </c>
      <c r="DG128" s="69" t="s">
        <v>160</v>
      </c>
      <c r="DH128" s="69" t="s">
        <v>160</v>
      </c>
      <c r="DI128" s="69" t="s">
        <v>160</v>
      </c>
      <c r="DJ128" s="69" t="s">
        <v>160</v>
      </c>
      <c r="DK128" s="69" t="s">
        <v>160</v>
      </c>
      <c r="DL128" s="69" t="s">
        <v>160</v>
      </c>
      <c r="DM128" s="69" t="s">
        <v>160</v>
      </c>
      <c r="DN128" s="69" t="s">
        <v>160</v>
      </c>
      <c r="DO128" s="69" t="s">
        <v>160</v>
      </c>
      <c r="DP128" s="69" t="s">
        <v>160</v>
      </c>
      <c r="DQ128" s="69" t="s">
        <v>160</v>
      </c>
      <c r="DR128" s="69" t="s">
        <v>160</v>
      </c>
      <c r="DS128" s="69" t="s">
        <v>160</v>
      </c>
      <c r="DT128" s="69" t="s">
        <v>160</v>
      </c>
      <c r="DU128" s="69" t="s">
        <v>160</v>
      </c>
      <c r="DV128" s="69" t="s">
        <v>160</v>
      </c>
      <c r="DW128" s="69" t="s">
        <v>160</v>
      </c>
      <c r="DX128" s="69" t="s">
        <v>160</v>
      </c>
      <c r="DY128" s="69" t="s">
        <v>160</v>
      </c>
      <c r="DZ128" s="69" t="s">
        <v>160</v>
      </c>
      <c r="EA128" s="69" t="s">
        <v>160</v>
      </c>
      <c r="EB128" s="69" t="s">
        <v>160</v>
      </c>
      <c r="EC128" s="69" t="s">
        <v>160</v>
      </c>
      <c r="ED128" s="69" t="s">
        <v>160</v>
      </c>
      <c r="EE128" s="69" t="s">
        <v>160</v>
      </c>
      <c r="EF128" s="69" t="s">
        <v>160</v>
      </c>
      <c r="EG128" s="69" t="s">
        <v>160</v>
      </c>
      <c r="EH128" s="69" t="s">
        <v>160</v>
      </c>
      <c r="EI128" s="69" t="s">
        <v>160</v>
      </c>
      <c r="EJ128" s="69" t="s">
        <v>160</v>
      </c>
      <c r="EK128" s="69" t="s">
        <v>160</v>
      </c>
      <c r="EL128" s="69" t="s">
        <v>160</v>
      </c>
      <c r="EM128" s="69" t="s">
        <v>160</v>
      </c>
      <c r="EN128" s="69" t="s">
        <v>160</v>
      </c>
      <c r="EO128" s="69" t="s">
        <v>160</v>
      </c>
      <c r="EP128" s="69" t="s">
        <v>160</v>
      </c>
      <c r="EQ128" s="69" t="s">
        <v>160</v>
      </c>
      <c r="ER128" s="69" t="s">
        <v>160</v>
      </c>
      <c r="ES128" s="69" t="s">
        <v>160</v>
      </c>
      <c r="ET128" s="69" t="s">
        <v>160</v>
      </c>
      <c r="EU128" s="69" t="s">
        <v>160</v>
      </c>
      <c r="EV128" s="69" t="s">
        <v>160</v>
      </c>
      <c r="EW128" s="69" t="s">
        <v>160</v>
      </c>
      <c r="EX128" s="69" t="s">
        <v>160</v>
      </c>
      <c r="EY128" s="69" t="s">
        <v>160</v>
      </c>
      <c r="EZ128" s="69" t="s">
        <v>160</v>
      </c>
      <c r="FA128" s="69" t="s">
        <v>160</v>
      </c>
      <c r="FB128" s="69" t="s">
        <v>160</v>
      </c>
      <c r="FC128" s="69" t="s">
        <v>160</v>
      </c>
      <c r="FD128" s="69" t="s">
        <v>160</v>
      </c>
    </row>
    <row r="129" spans="1:160">
      <c r="A129" s="103" t="s">
        <v>530</v>
      </c>
      <c r="B129" s="20" t="s">
        <v>163</v>
      </c>
      <c r="C129" s="91" t="s">
        <v>175</v>
      </c>
      <c r="G129" s="51" t="str">
        <f t="shared" si="10"/>
        <v>Product usage guide with examples for all the functional usecases</v>
      </c>
      <c r="H129" s="51" t="s">
        <v>2</v>
      </c>
      <c r="I129" s="64">
        <v>45748</v>
      </c>
      <c r="J129" s="64">
        <v>45838</v>
      </c>
      <c r="K129" s="64"/>
      <c r="L129" s="64"/>
      <c r="M129" s="64"/>
      <c r="N129" s="64" t="b">
        <f t="shared" si="18"/>
        <v>0</v>
      </c>
      <c r="O129" s="64"/>
      <c r="P129" s="24">
        <v>0</v>
      </c>
      <c r="R129" s="51" t="s">
        <v>2</v>
      </c>
      <c r="S129" s="68" t="s">
        <v>160</v>
      </c>
      <c r="T129" s="69" t="s">
        <v>160</v>
      </c>
      <c r="U129" s="69" t="s">
        <v>160</v>
      </c>
      <c r="V129" s="69" t="s">
        <v>160</v>
      </c>
      <c r="W129" s="69" t="s">
        <v>160</v>
      </c>
      <c r="X129" s="69" t="s">
        <v>160</v>
      </c>
      <c r="Y129" s="69" t="s">
        <v>160</v>
      </c>
      <c r="Z129" s="69" t="s">
        <v>160</v>
      </c>
      <c r="AA129" s="69" t="s">
        <v>160</v>
      </c>
      <c r="AB129" s="69" t="s">
        <v>160</v>
      </c>
      <c r="AC129" s="69" t="s">
        <v>160</v>
      </c>
      <c r="AD129" s="69" t="s">
        <v>160</v>
      </c>
      <c r="AE129" s="69" t="s">
        <v>160</v>
      </c>
      <c r="AF129" s="69" t="s">
        <v>160</v>
      </c>
      <c r="AG129" s="69" t="s">
        <v>160</v>
      </c>
      <c r="AH129" s="69" t="s">
        <v>160</v>
      </c>
      <c r="AI129" s="69" t="s">
        <v>160</v>
      </c>
      <c r="AJ129" s="69" t="s">
        <v>160</v>
      </c>
      <c r="AK129" s="69" t="s">
        <v>160</v>
      </c>
      <c r="AL129" s="69" t="s">
        <v>160</v>
      </c>
      <c r="AM129" s="69" t="s">
        <v>160</v>
      </c>
      <c r="AN129" s="69" t="s">
        <v>160</v>
      </c>
      <c r="AO129" s="69" t="s">
        <v>160</v>
      </c>
      <c r="AP129" s="69" t="s">
        <v>160</v>
      </c>
      <c r="AQ129" s="69" t="s">
        <v>160</v>
      </c>
      <c r="AR129" s="69" t="s">
        <v>160</v>
      </c>
      <c r="AS129" s="69" t="s">
        <v>160</v>
      </c>
      <c r="AT129" s="69" t="s">
        <v>160</v>
      </c>
      <c r="AU129" s="69" t="s">
        <v>160</v>
      </c>
      <c r="AV129" s="69" t="s">
        <v>160</v>
      </c>
      <c r="AW129" s="69" t="s">
        <v>160</v>
      </c>
      <c r="AX129" s="69" t="s">
        <v>160</v>
      </c>
      <c r="AY129" s="69" t="s">
        <v>160</v>
      </c>
      <c r="AZ129" s="69" t="s">
        <v>160</v>
      </c>
      <c r="BA129" s="69" t="s">
        <v>160</v>
      </c>
      <c r="BB129" s="69" t="s">
        <v>160</v>
      </c>
      <c r="BC129" s="69" t="s">
        <v>160</v>
      </c>
      <c r="BD129" s="69" t="s">
        <v>160</v>
      </c>
      <c r="BE129" s="69" t="s">
        <v>160</v>
      </c>
      <c r="BF129" s="69" t="s">
        <v>160</v>
      </c>
      <c r="BG129" s="69" t="s">
        <v>160</v>
      </c>
      <c r="BH129" s="69" t="s">
        <v>160</v>
      </c>
      <c r="BI129" s="69" t="s">
        <v>160</v>
      </c>
      <c r="BJ129" s="69" t="s">
        <v>160</v>
      </c>
      <c r="BK129" s="69" t="s">
        <v>160</v>
      </c>
      <c r="BL129" s="69" t="s">
        <v>160</v>
      </c>
      <c r="BM129" s="69" t="s">
        <v>160</v>
      </c>
      <c r="BN129" s="69" t="s">
        <v>160</v>
      </c>
      <c r="BO129" s="69" t="s">
        <v>160</v>
      </c>
      <c r="BP129" s="69" t="s">
        <v>160</v>
      </c>
      <c r="BQ129" s="69" t="s">
        <v>160</v>
      </c>
      <c r="BR129" s="69" t="s">
        <v>160</v>
      </c>
      <c r="BS129" s="69" t="s">
        <v>160</v>
      </c>
      <c r="BT129" s="69" t="s">
        <v>160</v>
      </c>
      <c r="BU129" s="69" t="s">
        <v>160</v>
      </c>
      <c r="BV129" s="69" t="s">
        <v>160</v>
      </c>
      <c r="BW129" s="69" t="s">
        <v>160</v>
      </c>
      <c r="BX129" s="69" t="s">
        <v>160</v>
      </c>
      <c r="BY129" s="69" t="s">
        <v>160</v>
      </c>
      <c r="BZ129" s="69" t="s">
        <v>160</v>
      </c>
      <c r="CA129" s="69" t="s">
        <v>160</v>
      </c>
      <c r="CB129" s="69" t="s">
        <v>160</v>
      </c>
      <c r="CC129" s="69" t="s">
        <v>160</v>
      </c>
      <c r="CD129" s="69" t="s">
        <v>160</v>
      </c>
      <c r="CE129" s="69" t="s">
        <v>160</v>
      </c>
      <c r="CF129" s="69" t="s">
        <v>160</v>
      </c>
      <c r="CG129" s="69" t="s">
        <v>160</v>
      </c>
      <c r="CH129" s="69" t="s">
        <v>160</v>
      </c>
      <c r="CI129" s="69" t="s">
        <v>160</v>
      </c>
      <c r="CJ129" s="69" t="s">
        <v>160</v>
      </c>
      <c r="CK129" s="69" t="s">
        <v>160</v>
      </c>
      <c r="CL129" s="69" t="s">
        <v>160</v>
      </c>
      <c r="CM129" s="69" t="s">
        <v>160</v>
      </c>
      <c r="CN129" s="69" t="s">
        <v>160</v>
      </c>
      <c r="CO129" s="69" t="s">
        <v>160</v>
      </c>
      <c r="CP129" s="69" t="s">
        <v>160</v>
      </c>
      <c r="CQ129" s="69" t="s">
        <v>160</v>
      </c>
      <c r="CR129" s="69" t="s">
        <v>160</v>
      </c>
      <c r="CS129" s="69" t="s">
        <v>160</v>
      </c>
      <c r="CT129" s="69" t="s">
        <v>160</v>
      </c>
      <c r="CU129" s="69" t="s">
        <v>160</v>
      </c>
      <c r="CV129" s="69" t="s">
        <v>160</v>
      </c>
      <c r="CW129" s="69" t="s">
        <v>160</v>
      </c>
      <c r="CX129" s="69" t="s">
        <v>160</v>
      </c>
      <c r="CY129" s="69" t="s">
        <v>160</v>
      </c>
      <c r="CZ129" s="69" t="s">
        <v>160</v>
      </c>
      <c r="DA129" s="69" t="s">
        <v>160</v>
      </c>
      <c r="DB129" s="69" t="s">
        <v>160</v>
      </c>
      <c r="DC129" s="69" t="s">
        <v>160</v>
      </c>
      <c r="DD129" s="69" t="s">
        <v>160</v>
      </c>
      <c r="DE129" s="69" t="s">
        <v>160</v>
      </c>
      <c r="DF129" s="69" t="s">
        <v>160</v>
      </c>
      <c r="DG129" s="69" t="s">
        <v>160</v>
      </c>
      <c r="DH129" s="69" t="s">
        <v>160</v>
      </c>
      <c r="DI129" s="69" t="s">
        <v>160</v>
      </c>
      <c r="DJ129" s="69" t="s">
        <v>160</v>
      </c>
      <c r="DK129" s="69" t="s">
        <v>160</v>
      </c>
      <c r="DL129" s="69" t="s">
        <v>160</v>
      </c>
      <c r="DM129" s="69" t="s">
        <v>160</v>
      </c>
      <c r="DN129" s="69" t="s">
        <v>160</v>
      </c>
      <c r="DO129" s="69" t="s">
        <v>160</v>
      </c>
      <c r="DP129" s="69" t="s">
        <v>160</v>
      </c>
      <c r="DQ129" s="69" t="s">
        <v>160</v>
      </c>
      <c r="DR129" s="69" t="s">
        <v>160</v>
      </c>
      <c r="DS129" s="69" t="s">
        <v>160</v>
      </c>
      <c r="DT129" s="69" t="s">
        <v>160</v>
      </c>
      <c r="DU129" s="69" t="s">
        <v>160</v>
      </c>
      <c r="DV129" s="69" t="s">
        <v>160</v>
      </c>
      <c r="DW129" s="69" t="s">
        <v>160</v>
      </c>
      <c r="DX129" s="69" t="s">
        <v>160</v>
      </c>
      <c r="DY129" s="69" t="s">
        <v>160</v>
      </c>
      <c r="DZ129" s="69" t="s">
        <v>160</v>
      </c>
      <c r="EA129" s="69" t="s">
        <v>160</v>
      </c>
      <c r="EB129" s="69" t="s">
        <v>160</v>
      </c>
      <c r="EC129" s="69" t="s">
        <v>160</v>
      </c>
      <c r="ED129" s="69" t="s">
        <v>160</v>
      </c>
      <c r="EE129" s="69" t="s">
        <v>160</v>
      </c>
      <c r="EF129" s="69" t="s">
        <v>160</v>
      </c>
      <c r="EG129" s="69" t="s">
        <v>160</v>
      </c>
      <c r="EH129" s="69" t="s">
        <v>160</v>
      </c>
      <c r="EI129" s="69" t="s">
        <v>160</v>
      </c>
      <c r="EJ129" s="69" t="s">
        <v>160</v>
      </c>
      <c r="EK129" s="69" t="s">
        <v>160</v>
      </c>
      <c r="EL129" s="69" t="s">
        <v>160</v>
      </c>
      <c r="EM129" s="69" t="s">
        <v>160</v>
      </c>
      <c r="EN129" s="69" t="s">
        <v>160</v>
      </c>
      <c r="EO129" s="69" t="s">
        <v>160</v>
      </c>
      <c r="EP129" s="69" t="s">
        <v>160</v>
      </c>
      <c r="EQ129" s="69" t="s">
        <v>160</v>
      </c>
      <c r="ER129" s="69" t="s">
        <v>160</v>
      </c>
      <c r="ES129" s="69" t="s">
        <v>160</v>
      </c>
      <c r="ET129" s="69" t="s">
        <v>160</v>
      </c>
      <c r="EU129" s="69" t="s">
        <v>160</v>
      </c>
      <c r="EV129" s="69" t="s">
        <v>160</v>
      </c>
      <c r="EW129" s="69" t="s">
        <v>160</v>
      </c>
      <c r="EX129" s="69" t="s">
        <v>160</v>
      </c>
      <c r="EY129" s="69" t="s">
        <v>160</v>
      </c>
      <c r="EZ129" s="69" t="s">
        <v>160</v>
      </c>
      <c r="FA129" s="69" t="s">
        <v>160</v>
      </c>
      <c r="FB129" s="69" t="s">
        <v>160</v>
      </c>
      <c r="FC129" s="69" t="s">
        <v>160</v>
      </c>
      <c r="FD129" s="69" t="s">
        <v>160</v>
      </c>
    </row>
    <row r="130" spans="1:160" s="71" customFormat="1" ht="18.5" thickBot="1">
      <c r="A130" s="104" t="s">
        <v>524</v>
      </c>
      <c r="B130" s="105" t="s">
        <v>163</v>
      </c>
      <c r="C130" s="92" t="s">
        <v>176</v>
      </c>
      <c r="G130" s="71" t="str">
        <f t="shared" si="10"/>
        <v xml:space="preserve">Test report </v>
      </c>
      <c r="H130" s="71" t="s">
        <v>2</v>
      </c>
      <c r="I130" s="72">
        <v>45748</v>
      </c>
      <c r="J130" s="72">
        <v>45838</v>
      </c>
      <c r="K130" s="72"/>
      <c r="L130" s="72"/>
      <c r="M130" s="72"/>
      <c r="N130" s="72" t="b">
        <f t="shared" si="18"/>
        <v>0</v>
      </c>
      <c r="O130" s="72"/>
      <c r="P130" s="89">
        <v>0</v>
      </c>
      <c r="Q130" s="89"/>
      <c r="R130" s="71" t="s">
        <v>2</v>
      </c>
      <c r="S130" s="74" t="s">
        <v>160</v>
      </c>
      <c r="T130" s="75" t="s">
        <v>160</v>
      </c>
      <c r="U130" s="75" t="s">
        <v>160</v>
      </c>
      <c r="V130" s="75" t="s">
        <v>160</v>
      </c>
      <c r="W130" s="75" t="s">
        <v>160</v>
      </c>
      <c r="X130" s="75" t="s">
        <v>160</v>
      </c>
      <c r="Y130" s="75" t="s">
        <v>160</v>
      </c>
      <c r="Z130" s="75" t="s">
        <v>160</v>
      </c>
      <c r="AA130" s="75" t="s">
        <v>160</v>
      </c>
      <c r="AB130" s="75" t="s">
        <v>160</v>
      </c>
      <c r="AC130" s="75" t="s">
        <v>160</v>
      </c>
      <c r="AD130" s="75" t="s">
        <v>160</v>
      </c>
      <c r="AE130" s="75" t="s">
        <v>160</v>
      </c>
      <c r="AF130" s="75" t="s">
        <v>160</v>
      </c>
      <c r="AG130" s="75" t="s">
        <v>160</v>
      </c>
      <c r="AH130" s="75" t="s">
        <v>160</v>
      </c>
      <c r="AI130" s="75" t="s">
        <v>160</v>
      </c>
      <c r="AJ130" s="75" t="s">
        <v>160</v>
      </c>
      <c r="AK130" s="75" t="s">
        <v>160</v>
      </c>
      <c r="AL130" s="75" t="s">
        <v>160</v>
      </c>
      <c r="AM130" s="75" t="s">
        <v>160</v>
      </c>
      <c r="AN130" s="75" t="s">
        <v>160</v>
      </c>
      <c r="AO130" s="75" t="s">
        <v>160</v>
      </c>
      <c r="AP130" s="75" t="s">
        <v>160</v>
      </c>
      <c r="AQ130" s="75" t="s">
        <v>160</v>
      </c>
      <c r="AR130" s="75" t="s">
        <v>160</v>
      </c>
      <c r="AS130" s="75" t="s">
        <v>160</v>
      </c>
      <c r="AT130" s="75" t="s">
        <v>160</v>
      </c>
      <c r="AU130" s="75" t="s">
        <v>160</v>
      </c>
      <c r="AV130" s="75" t="s">
        <v>160</v>
      </c>
      <c r="AW130" s="75" t="s">
        <v>160</v>
      </c>
      <c r="AX130" s="75" t="s">
        <v>160</v>
      </c>
      <c r="AY130" s="75" t="s">
        <v>160</v>
      </c>
      <c r="AZ130" s="75" t="s">
        <v>160</v>
      </c>
      <c r="BA130" s="75" t="s">
        <v>160</v>
      </c>
      <c r="BB130" s="75" t="s">
        <v>160</v>
      </c>
      <c r="BC130" s="75" t="s">
        <v>160</v>
      </c>
      <c r="BD130" s="75" t="s">
        <v>160</v>
      </c>
      <c r="BE130" s="75" t="s">
        <v>160</v>
      </c>
      <c r="BF130" s="75" t="s">
        <v>160</v>
      </c>
      <c r="BG130" s="75" t="s">
        <v>160</v>
      </c>
      <c r="BH130" s="75" t="s">
        <v>160</v>
      </c>
      <c r="BI130" s="75" t="s">
        <v>160</v>
      </c>
      <c r="BJ130" s="75" t="s">
        <v>160</v>
      </c>
      <c r="BK130" s="75" t="s">
        <v>160</v>
      </c>
      <c r="BL130" s="75" t="s">
        <v>160</v>
      </c>
      <c r="BM130" s="75" t="s">
        <v>160</v>
      </c>
      <c r="BN130" s="75" t="s">
        <v>160</v>
      </c>
      <c r="BO130" s="75" t="s">
        <v>160</v>
      </c>
      <c r="BP130" s="75" t="s">
        <v>160</v>
      </c>
      <c r="BQ130" s="75" t="s">
        <v>160</v>
      </c>
      <c r="BR130" s="75" t="s">
        <v>160</v>
      </c>
      <c r="BS130" s="75" t="s">
        <v>160</v>
      </c>
      <c r="BT130" s="75" t="s">
        <v>160</v>
      </c>
      <c r="BU130" s="75" t="s">
        <v>160</v>
      </c>
      <c r="BV130" s="75" t="s">
        <v>160</v>
      </c>
      <c r="BW130" s="75" t="s">
        <v>160</v>
      </c>
      <c r="BX130" s="75" t="s">
        <v>160</v>
      </c>
      <c r="BY130" s="75" t="s">
        <v>160</v>
      </c>
      <c r="BZ130" s="75" t="s">
        <v>160</v>
      </c>
      <c r="CA130" s="75" t="s">
        <v>160</v>
      </c>
      <c r="CB130" s="75" t="s">
        <v>160</v>
      </c>
      <c r="CC130" s="75" t="s">
        <v>160</v>
      </c>
      <c r="CD130" s="75" t="s">
        <v>160</v>
      </c>
      <c r="CE130" s="75" t="s">
        <v>160</v>
      </c>
      <c r="CF130" s="75" t="s">
        <v>160</v>
      </c>
      <c r="CG130" s="75" t="s">
        <v>160</v>
      </c>
      <c r="CH130" s="75" t="s">
        <v>160</v>
      </c>
      <c r="CI130" s="75" t="s">
        <v>160</v>
      </c>
      <c r="CJ130" s="75" t="s">
        <v>160</v>
      </c>
      <c r="CK130" s="75" t="s">
        <v>160</v>
      </c>
      <c r="CL130" s="75" t="s">
        <v>160</v>
      </c>
      <c r="CM130" s="75" t="s">
        <v>160</v>
      </c>
      <c r="CN130" s="75" t="s">
        <v>160</v>
      </c>
      <c r="CO130" s="75" t="s">
        <v>160</v>
      </c>
      <c r="CP130" s="75" t="s">
        <v>160</v>
      </c>
      <c r="CQ130" s="75" t="s">
        <v>160</v>
      </c>
      <c r="CR130" s="75" t="s">
        <v>160</v>
      </c>
      <c r="CS130" s="75" t="s">
        <v>160</v>
      </c>
      <c r="CT130" s="75" t="s">
        <v>160</v>
      </c>
      <c r="CU130" s="75" t="s">
        <v>160</v>
      </c>
      <c r="CV130" s="75" t="s">
        <v>160</v>
      </c>
      <c r="CW130" s="75" t="s">
        <v>160</v>
      </c>
      <c r="CX130" s="75" t="s">
        <v>160</v>
      </c>
      <c r="CY130" s="75" t="s">
        <v>160</v>
      </c>
      <c r="CZ130" s="75" t="s">
        <v>160</v>
      </c>
      <c r="DA130" s="75" t="s">
        <v>160</v>
      </c>
      <c r="DB130" s="75" t="s">
        <v>160</v>
      </c>
      <c r="DC130" s="75" t="s">
        <v>160</v>
      </c>
      <c r="DD130" s="75" t="s">
        <v>160</v>
      </c>
      <c r="DE130" s="75" t="s">
        <v>160</v>
      </c>
      <c r="DF130" s="75" t="s">
        <v>160</v>
      </c>
      <c r="DG130" s="75" t="s">
        <v>160</v>
      </c>
      <c r="DH130" s="75" t="s">
        <v>160</v>
      </c>
      <c r="DI130" s="75" t="s">
        <v>160</v>
      </c>
      <c r="DJ130" s="75" t="s">
        <v>160</v>
      </c>
      <c r="DK130" s="75" t="s">
        <v>160</v>
      </c>
      <c r="DL130" s="75" t="s">
        <v>160</v>
      </c>
      <c r="DM130" s="75" t="s">
        <v>160</v>
      </c>
      <c r="DN130" s="75" t="s">
        <v>160</v>
      </c>
      <c r="DO130" s="75" t="s">
        <v>160</v>
      </c>
      <c r="DP130" s="75" t="s">
        <v>160</v>
      </c>
      <c r="DQ130" s="75" t="s">
        <v>160</v>
      </c>
      <c r="DR130" s="75" t="s">
        <v>160</v>
      </c>
      <c r="DS130" s="75" t="s">
        <v>160</v>
      </c>
      <c r="DT130" s="75" t="s">
        <v>160</v>
      </c>
      <c r="DU130" s="75" t="s">
        <v>160</v>
      </c>
      <c r="DV130" s="75" t="s">
        <v>160</v>
      </c>
      <c r="DW130" s="75" t="s">
        <v>160</v>
      </c>
      <c r="DX130" s="75" t="s">
        <v>160</v>
      </c>
      <c r="DY130" s="75" t="s">
        <v>160</v>
      </c>
      <c r="DZ130" s="75" t="s">
        <v>160</v>
      </c>
      <c r="EA130" s="75" t="s">
        <v>160</v>
      </c>
      <c r="EB130" s="75" t="s">
        <v>160</v>
      </c>
      <c r="EC130" s="75" t="s">
        <v>160</v>
      </c>
      <c r="ED130" s="75" t="s">
        <v>160</v>
      </c>
      <c r="EE130" s="75" t="s">
        <v>160</v>
      </c>
      <c r="EF130" s="75" t="s">
        <v>160</v>
      </c>
      <c r="EG130" s="75" t="s">
        <v>160</v>
      </c>
      <c r="EH130" s="75" t="s">
        <v>160</v>
      </c>
      <c r="EI130" s="75" t="s">
        <v>160</v>
      </c>
      <c r="EJ130" s="75" t="s">
        <v>160</v>
      </c>
      <c r="EK130" s="75" t="s">
        <v>160</v>
      </c>
      <c r="EL130" s="75" t="s">
        <v>160</v>
      </c>
      <c r="EM130" s="75" t="s">
        <v>160</v>
      </c>
      <c r="EN130" s="75" t="s">
        <v>160</v>
      </c>
      <c r="EO130" s="75" t="s">
        <v>160</v>
      </c>
      <c r="EP130" s="75" t="s">
        <v>160</v>
      </c>
      <c r="EQ130" s="75" t="s">
        <v>160</v>
      </c>
      <c r="ER130" s="75" t="s">
        <v>160</v>
      </c>
      <c r="ES130" s="75" t="s">
        <v>160</v>
      </c>
      <c r="ET130" s="75" t="s">
        <v>160</v>
      </c>
      <c r="EU130" s="75" t="s">
        <v>160</v>
      </c>
      <c r="EV130" s="75" t="s">
        <v>160</v>
      </c>
      <c r="EW130" s="75" t="s">
        <v>160</v>
      </c>
      <c r="EX130" s="75" t="s">
        <v>160</v>
      </c>
      <c r="EY130" s="75" t="s">
        <v>160</v>
      </c>
      <c r="EZ130" s="75" t="s">
        <v>160</v>
      </c>
      <c r="FA130" s="75" t="s">
        <v>160</v>
      </c>
      <c r="FB130" s="75" t="s">
        <v>160</v>
      </c>
      <c r="FC130" s="75" t="s">
        <v>160</v>
      </c>
      <c r="FD130" s="75" t="s">
        <v>160</v>
      </c>
    </row>
    <row r="131" spans="1:160">
      <c r="A131" s="103" t="s">
        <v>532</v>
      </c>
      <c r="B131" s="20" t="s">
        <v>218</v>
      </c>
      <c r="G131" s="51" t="str">
        <f t="shared" si="10"/>
        <v>M17. Stakeholder management and updated usecases WebUI</v>
      </c>
      <c r="H131" s="51" t="s">
        <v>2</v>
      </c>
      <c r="I131" s="64">
        <f ca="1">IF(SUM(I132:INDIRECT("I"&amp;$O131))=0,"",MIN(I132:INDIRECT("I"&amp;$O131)))</f>
        <v>44835</v>
      </c>
      <c r="J131" s="64">
        <f ca="1">IF(SUM(J132:INDIRECT("J"&amp;$O131))=0,"",MAX(J132:INDIRECT("J"&amp;$O131)))</f>
        <v>44924</v>
      </c>
      <c r="K131" s="64" t="str">
        <f ca="1">IF(SUM(K132:INDIRECT("K"&amp;$O131))=0,"",MIN(K132:INDIRECT("K"&amp;$O131)))</f>
        <v/>
      </c>
      <c r="L131" s="64" t="str">
        <f ca="1">IF(SUM(L132:INDIRECT("L"&amp;$O131))=0,"",MAX(L132:INDIRECT("L"&amp;$O131)))</f>
        <v/>
      </c>
      <c r="M131" s="64" t="str">
        <f ca="1">IF(N131,TODAY(),IF(SUM(M132:INDIRECT("M"&amp;$O131))=0,"",MAX(M132:INDIRECT("M"&amp;$O131))))</f>
        <v/>
      </c>
      <c r="N131" s="64" t="b">
        <f ca="1">OR(N132:INDIRECT("N"&amp;O131))</f>
        <v>0</v>
      </c>
      <c r="O131" s="65">
        <f>ROW()+COUNTA(N132:N139)</f>
        <v>139</v>
      </c>
      <c r="P131" s="66">
        <f>AVERAGE(P132:P139)</f>
        <v>0</v>
      </c>
      <c r="R131" s="51" t="s">
        <v>2</v>
      </c>
      <c r="S131" s="68" t="s">
        <v>160</v>
      </c>
      <c r="T131" s="69" t="s">
        <v>160</v>
      </c>
      <c r="U131" s="69" t="s">
        <v>160</v>
      </c>
      <c r="V131" s="69" t="s">
        <v>160</v>
      </c>
      <c r="W131" s="69" t="s">
        <v>160</v>
      </c>
      <c r="X131" s="69" t="s">
        <v>160</v>
      </c>
      <c r="Y131" s="69" t="s">
        <v>160</v>
      </c>
      <c r="Z131" s="69" t="s">
        <v>160</v>
      </c>
      <c r="AA131" s="69" t="s">
        <v>160</v>
      </c>
      <c r="AB131" s="69" t="s">
        <v>160</v>
      </c>
      <c r="AC131" s="69" t="s">
        <v>160</v>
      </c>
      <c r="AD131" s="69" t="s">
        <v>160</v>
      </c>
      <c r="AE131" s="69" t="s">
        <v>160</v>
      </c>
      <c r="AF131" s="69" t="s">
        <v>160</v>
      </c>
      <c r="AG131" s="69" t="s">
        <v>160</v>
      </c>
      <c r="AH131" s="69" t="s">
        <v>160</v>
      </c>
      <c r="AI131" s="69" t="s">
        <v>160</v>
      </c>
      <c r="AJ131" s="69" t="s">
        <v>160</v>
      </c>
      <c r="AK131" s="69" t="s">
        <v>160</v>
      </c>
      <c r="AL131" s="69" t="s">
        <v>160</v>
      </c>
      <c r="AM131" s="69" t="s">
        <v>160</v>
      </c>
      <c r="AN131" s="69" t="s">
        <v>160</v>
      </c>
      <c r="AO131" s="69" t="s">
        <v>160</v>
      </c>
      <c r="AP131" s="69" t="s">
        <v>160</v>
      </c>
      <c r="AQ131" s="69" t="s">
        <v>160</v>
      </c>
      <c r="AR131" s="69" t="s">
        <v>160</v>
      </c>
      <c r="AS131" s="69" t="s">
        <v>160</v>
      </c>
      <c r="AT131" s="69" t="s">
        <v>160</v>
      </c>
      <c r="AU131" s="69" t="s">
        <v>160</v>
      </c>
      <c r="AV131" s="69" t="s">
        <v>160</v>
      </c>
      <c r="AW131" s="69" t="s">
        <v>160</v>
      </c>
      <c r="AX131" s="69" t="s">
        <v>160</v>
      </c>
      <c r="AY131" s="69" t="s">
        <v>160</v>
      </c>
      <c r="AZ131" s="69" t="s">
        <v>160</v>
      </c>
      <c r="BA131" s="69" t="s">
        <v>160</v>
      </c>
      <c r="BB131" s="69" t="s">
        <v>160</v>
      </c>
      <c r="BC131" s="69" t="s">
        <v>160</v>
      </c>
      <c r="BD131" s="69" t="s">
        <v>160</v>
      </c>
      <c r="BE131" s="69" t="s">
        <v>160</v>
      </c>
      <c r="BF131" s="69" t="s">
        <v>160</v>
      </c>
      <c r="BG131" s="69" t="s">
        <v>160</v>
      </c>
      <c r="BH131" s="69" t="s">
        <v>160</v>
      </c>
      <c r="BI131" s="69" t="s">
        <v>160</v>
      </c>
      <c r="BJ131" s="69" t="s">
        <v>160</v>
      </c>
      <c r="BK131" s="69" t="s">
        <v>160</v>
      </c>
      <c r="BL131" s="69" t="s">
        <v>160</v>
      </c>
      <c r="BM131" s="69" t="s">
        <v>160</v>
      </c>
      <c r="BN131" s="69" t="s">
        <v>160</v>
      </c>
      <c r="BO131" s="69" t="s">
        <v>160</v>
      </c>
      <c r="BP131" s="69" t="s">
        <v>160</v>
      </c>
      <c r="BQ131" s="69" t="s">
        <v>160</v>
      </c>
      <c r="BR131" s="69" t="s">
        <v>160</v>
      </c>
      <c r="BS131" s="69" t="s">
        <v>160</v>
      </c>
      <c r="BT131" s="69" t="s">
        <v>160</v>
      </c>
      <c r="BU131" s="69" t="s">
        <v>160</v>
      </c>
      <c r="BV131" s="69" t="s">
        <v>160</v>
      </c>
      <c r="BW131" s="69" t="s">
        <v>160</v>
      </c>
      <c r="BX131" s="69" t="s">
        <v>160</v>
      </c>
      <c r="BY131" s="69" t="s">
        <v>160</v>
      </c>
      <c r="BZ131" s="69" t="s">
        <v>160</v>
      </c>
      <c r="CA131" s="69" t="s">
        <v>160</v>
      </c>
      <c r="CB131" s="69" t="s">
        <v>160</v>
      </c>
      <c r="CC131" s="69" t="s">
        <v>160</v>
      </c>
      <c r="CD131" s="69" t="s">
        <v>160</v>
      </c>
      <c r="CE131" s="69" t="s">
        <v>160</v>
      </c>
      <c r="CF131" s="69" t="s">
        <v>160</v>
      </c>
      <c r="CG131" s="69" t="s">
        <v>160</v>
      </c>
      <c r="CH131" s="69" t="s">
        <v>160</v>
      </c>
      <c r="CI131" s="69" t="s">
        <v>160</v>
      </c>
      <c r="CJ131" s="69" t="s">
        <v>160</v>
      </c>
      <c r="CK131" s="69" t="s">
        <v>160</v>
      </c>
      <c r="CL131" s="69" t="s">
        <v>160</v>
      </c>
      <c r="CM131" s="69" t="s">
        <v>160</v>
      </c>
      <c r="CN131" s="69" t="s">
        <v>160</v>
      </c>
      <c r="CO131" s="69" t="s">
        <v>160</v>
      </c>
      <c r="CP131" s="69" t="s">
        <v>160</v>
      </c>
      <c r="CQ131" s="69" t="s">
        <v>160</v>
      </c>
      <c r="CR131" s="69" t="s">
        <v>160</v>
      </c>
      <c r="CS131" s="69" t="s">
        <v>160</v>
      </c>
      <c r="CT131" s="69" t="s">
        <v>160</v>
      </c>
      <c r="CU131" s="69" t="s">
        <v>160</v>
      </c>
      <c r="CV131" s="69" t="s">
        <v>160</v>
      </c>
      <c r="CW131" s="69" t="s">
        <v>160</v>
      </c>
      <c r="CX131" s="69" t="s">
        <v>160</v>
      </c>
      <c r="CY131" s="69" t="s">
        <v>160</v>
      </c>
      <c r="CZ131" s="69" t="s">
        <v>160</v>
      </c>
      <c r="DA131" s="69" t="s">
        <v>160</v>
      </c>
      <c r="DB131" s="69" t="s">
        <v>160</v>
      </c>
      <c r="DC131" s="69" t="s">
        <v>160</v>
      </c>
      <c r="DD131" s="69" t="s">
        <v>160</v>
      </c>
      <c r="DE131" s="69" t="s">
        <v>160</v>
      </c>
      <c r="DF131" s="69" t="s">
        <v>160</v>
      </c>
      <c r="DG131" s="69" t="s">
        <v>160</v>
      </c>
      <c r="DH131" s="69" t="s">
        <v>160</v>
      </c>
      <c r="DI131" s="69" t="s">
        <v>160</v>
      </c>
      <c r="DJ131" s="69" t="s">
        <v>160</v>
      </c>
      <c r="DK131" s="69" t="s">
        <v>160</v>
      </c>
      <c r="DL131" s="69" t="s">
        <v>160</v>
      </c>
      <c r="DM131" s="69" t="s">
        <v>160</v>
      </c>
      <c r="DN131" s="69" t="s">
        <v>160</v>
      </c>
      <c r="DO131" s="69" t="s">
        <v>160</v>
      </c>
      <c r="DP131" s="69" t="s">
        <v>160</v>
      </c>
      <c r="DQ131" s="69" t="s">
        <v>160</v>
      </c>
      <c r="DR131" s="69" t="s">
        <v>160</v>
      </c>
      <c r="DS131" s="69" t="s">
        <v>160</v>
      </c>
      <c r="DT131" s="69" t="s">
        <v>160</v>
      </c>
      <c r="DU131" s="69" t="s">
        <v>160</v>
      </c>
      <c r="DV131" s="69" t="s">
        <v>160</v>
      </c>
      <c r="DW131" s="69" t="s">
        <v>160</v>
      </c>
      <c r="DX131" s="69" t="s">
        <v>160</v>
      </c>
      <c r="DY131" s="69" t="s">
        <v>160</v>
      </c>
      <c r="DZ131" s="69" t="s">
        <v>160</v>
      </c>
      <c r="EA131" s="69" t="s">
        <v>160</v>
      </c>
      <c r="EB131" s="69" t="s">
        <v>160</v>
      </c>
      <c r="EC131" s="69" t="s">
        <v>160</v>
      </c>
      <c r="ED131" s="69" t="s">
        <v>160</v>
      </c>
      <c r="EE131" s="69" t="s">
        <v>160</v>
      </c>
      <c r="EF131" s="69" t="s">
        <v>160</v>
      </c>
      <c r="EG131" s="69" t="s">
        <v>160</v>
      </c>
      <c r="EH131" s="69" t="s">
        <v>160</v>
      </c>
      <c r="EI131" s="69" t="s">
        <v>160</v>
      </c>
      <c r="EJ131" s="69" t="s">
        <v>160</v>
      </c>
      <c r="EK131" s="69" t="s">
        <v>160</v>
      </c>
      <c r="EL131" s="69" t="s">
        <v>160</v>
      </c>
      <c r="EM131" s="69" t="s">
        <v>160</v>
      </c>
      <c r="EN131" s="69" t="s">
        <v>160</v>
      </c>
      <c r="EO131" s="69" t="s">
        <v>160</v>
      </c>
      <c r="EP131" s="69" t="s">
        <v>160</v>
      </c>
      <c r="EQ131" s="69" t="s">
        <v>160</v>
      </c>
      <c r="ER131" s="69" t="s">
        <v>160</v>
      </c>
      <c r="ES131" s="69" t="s">
        <v>160</v>
      </c>
      <c r="ET131" s="69" t="s">
        <v>160</v>
      </c>
      <c r="EU131" s="69" t="s">
        <v>160</v>
      </c>
      <c r="EV131" s="69" t="s">
        <v>160</v>
      </c>
      <c r="EW131" s="69" t="s">
        <v>160</v>
      </c>
      <c r="EX131" s="69" t="s">
        <v>160</v>
      </c>
      <c r="EY131" s="69" t="s">
        <v>160</v>
      </c>
      <c r="EZ131" s="69" t="s">
        <v>160</v>
      </c>
      <c r="FA131" s="69" t="s">
        <v>160</v>
      </c>
      <c r="FB131" s="69" t="s">
        <v>160</v>
      </c>
      <c r="FC131" s="69" t="s">
        <v>160</v>
      </c>
      <c r="FD131" s="69" t="s">
        <v>160</v>
      </c>
    </row>
    <row r="132" spans="1:160">
      <c r="A132" s="103" t="s">
        <v>533</v>
      </c>
      <c r="C132" s="50" t="s">
        <v>219</v>
      </c>
      <c r="G132" s="51" t="str">
        <f t="shared" si="10"/>
        <v>Note : 1. Unit/block/cluster classification UI</v>
      </c>
      <c r="H132" s="51" t="s">
        <v>2</v>
      </c>
      <c r="I132" s="64"/>
      <c r="J132" s="64"/>
      <c r="K132" s="64"/>
      <c r="L132" s="64"/>
      <c r="M132" s="64"/>
      <c r="N132" s="64" t="b">
        <f>ISNUMBER(SEARCH("*Waiting*",M132))</f>
        <v>0</v>
      </c>
      <c r="O132" s="64"/>
      <c r="R132" s="51" t="s">
        <v>2</v>
      </c>
      <c r="S132" s="68" t="s">
        <v>160</v>
      </c>
      <c r="T132" s="69" t="s">
        <v>160</v>
      </c>
      <c r="U132" s="69" t="s">
        <v>160</v>
      </c>
      <c r="V132" s="69" t="s">
        <v>160</v>
      </c>
      <c r="W132" s="69" t="s">
        <v>160</v>
      </c>
      <c r="X132" s="69" t="s">
        <v>160</v>
      </c>
      <c r="Y132" s="69" t="s">
        <v>160</v>
      </c>
      <c r="Z132" s="69" t="s">
        <v>160</v>
      </c>
      <c r="AA132" s="69" t="s">
        <v>160</v>
      </c>
      <c r="AB132" s="69" t="s">
        <v>160</v>
      </c>
      <c r="AC132" s="69" t="s">
        <v>160</v>
      </c>
      <c r="AD132" s="69" t="s">
        <v>160</v>
      </c>
      <c r="AE132" s="69" t="s">
        <v>160</v>
      </c>
      <c r="AF132" s="69" t="s">
        <v>160</v>
      </c>
      <c r="AG132" s="69" t="s">
        <v>160</v>
      </c>
      <c r="AH132" s="69" t="s">
        <v>160</v>
      </c>
      <c r="AI132" s="69" t="s">
        <v>160</v>
      </c>
      <c r="AJ132" s="69" t="s">
        <v>160</v>
      </c>
      <c r="AK132" s="69" t="s">
        <v>160</v>
      </c>
      <c r="AL132" s="69" t="s">
        <v>160</v>
      </c>
      <c r="AM132" s="69" t="s">
        <v>160</v>
      </c>
      <c r="AN132" s="69" t="s">
        <v>160</v>
      </c>
      <c r="AO132" s="69" t="s">
        <v>160</v>
      </c>
      <c r="AP132" s="69" t="s">
        <v>160</v>
      </c>
      <c r="AQ132" s="69" t="s">
        <v>160</v>
      </c>
      <c r="AR132" s="69" t="s">
        <v>160</v>
      </c>
      <c r="AS132" s="69" t="s">
        <v>160</v>
      </c>
      <c r="AT132" s="69" t="s">
        <v>160</v>
      </c>
      <c r="AU132" s="69" t="s">
        <v>160</v>
      </c>
      <c r="AV132" s="69" t="s">
        <v>160</v>
      </c>
      <c r="AW132" s="69" t="s">
        <v>160</v>
      </c>
      <c r="AX132" s="69" t="s">
        <v>160</v>
      </c>
      <c r="AY132" s="69" t="s">
        <v>160</v>
      </c>
      <c r="AZ132" s="69" t="s">
        <v>160</v>
      </c>
      <c r="BA132" s="69" t="s">
        <v>160</v>
      </c>
      <c r="BB132" s="69" t="s">
        <v>160</v>
      </c>
      <c r="BC132" s="69" t="s">
        <v>160</v>
      </c>
      <c r="BD132" s="69" t="s">
        <v>160</v>
      </c>
      <c r="BE132" s="69" t="s">
        <v>160</v>
      </c>
      <c r="BF132" s="69" t="s">
        <v>160</v>
      </c>
      <c r="BG132" s="69" t="s">
        <v>160</v>
      </c>
      <c r="BH132" s="69" t="s">
        <v>160</v>
      </c>
      <c r="BI132" s="69" t="s">
        <v>160</v>
      </c>
      <c r="BJ132" s="69" t="s">
        <v>160</v>
      </c>
      <c r="BK132" s="69" t="s">
        <v>160</v>
      </c>
      <c r="BL132" s="69" t="s">
        <v>160</v>
      </c>
      <c r="BM132" s="69" t="s">
        <v>160</v>
      </c>
      <c r="BN132" s="69" t="s">
        <v>160</v>
      </c>
      <c r="BO132" s="69" t="s">
        <v>160</v>
      </c>
      <c r="BP132" s="69" t="s">
        <v>160</v>
      </c>
      <c r="BQ132" s="69" t="s">
        <v>160</v>
      </c>
      <c r="BR132" s="69" t="s">
        <v>160</v>
      </c>
      <c r="BS132" s="69" t="s">
        <v>160</v>
      </c>
      <c r="BT132" s="69" t="s">
        <v>160</v>
      </c>
      <c r="BU132" s="69" t="s">
        <v>160</v>
      </c>
      <c r="BV132" s="69" t="s">
        <v>160</v>
      </c>
      <c r="BW132" s="69" t="s">
        <v>160</v>
      </c>
      <c r="BX132" s="69" t="s">
        <v>160</v>
      </c>
      <c r="BY132" s="69" t="s">
        <v>160</v>
      </c>
      <c r="BZ132" s="69" t="s">
        <v>160</v>
      </c>
      <c r="CA132" s="69" t="s">
        <v>160</v>
      </c>
      <c r="CB132" s="69" t="s">
        <v>160</v>
      </c>
      <c r="CC132" s="69" t="s">
        <v>160</v>
      </c>
      <c r="CD132" s="69" t="s">
        <v>160</v>
      </c>
      <c r="CE132" s="69" t="s">
        <v>160</v>
      </c>
      <c r="CF132" s="69" t="s">
        <v>160</v>
      </c>
      <c r="CG132" s="69" t="s">
        <v>160</v>
      </c>
      <c r="CH132" s="69" t="s">
        <v>160</v>
      </c>
      <c r="CI132" s="69" t="s">
        <v>160</v>
      </c>
      <c r="CJ132" s="69" t="s">
        <v>160</v>
      </c>
      <c r="CK132" s="69" t="s">
        <v>160</v>
      </c>
      <c r="CL132" s="69" t="s">
        <v>160</v>
      </c>
      <c r="CM132" s="69" t="s">
        <v>160</v>
      </c>
      <c r="CN132" s="69" t="s">
        <v>160</v>
      </c>
      <c r="CO132" s="69" t="s">
        <v>160</v>
      </c>
      <c r="CP132" s="69" t="s">
        <v>160</v>
      </c>
      <c r="CQ132" s="69" t="s">
        <v>160</v>
      </c>
      <c r="CR132" s="69" t="s">
        <v>160</v>
      </c>
      <c r="CS132" s="69" t="s">
        <v>160</v>
      </c>
      <c r="CT132" s="69" t="s">
        <v>160</v>
      </c>
      <c r="CU132" s="69" t="s">
        <v>160</v>
      </c>
      <c r="CV132" s="69" t="s">
        <v>160</v>
      </c>
      <c r="CW132" s="69" t="s">
        <v>160</v>
      </c>
      <c r="CX132" s="69" t="s">
        <v>160</v>
      </c>
      <c r="CY132" s="69" t="s">
        <v>160</v>
      </c>
      <c r="CZ132" s="69" t="s">
        <v>160</v>
      </c>
      <c r="DA132" s="69" t="s">
        <v>160</v>
      </c>
      <c r="DB132" s="69" t="s">
        <v>160</v>
      </c>
      <c r="DC132" s="69" t="s">
        <v>160</v>
      </c>
      <c r="DD132" s="69" t="s">
        <v>160</v>
      </c>
      <c r="DE132" s="69" t="s">
        <v>160</v>
      </c>
      <c r="DF132" s="69" t="s">
        <v>160</v>
      </c>
      <c r="DG132" s="69" t="s">
        <v>160</v>
      </c>
      <c r="DH132" s="69" t="s">
        <v>160</v>
      </c>
      <c r="DI132" s="69" t="s">
        <v>160</v>
      </c>
      <c r="DJ132" s="69" t="s">
        <v>160</v>
      </c>
      <c r="DK132" s="69" t="s">
        <v>160</v>
      </c>
      <c r="DL132" s="69" t="s">
        <v>160</v>
      </c>
      <c r="DM132" s="69" t="s">
        <v>160</v>
      </c>
      <c r="DN132" s="69" t="s">
        <v>160</v>
      </c>
      <c r="DO132" s="69" t="s">
        <v>160</v>
      </c>
      <c r="DP132" s="69" t="s">
        <v>160</v>
      </c>
      <c r="DQ132" s="69" t="s">
        <v>160</v>
      </c>
      <c r="DR132" s="69" t="s">
        <v>160</v>
      </c>
      <c r="DS132" s="69" t="s">
        <v>160</v>
      </c>
      <c r="DT132" s="69" t="s">
        <v>160</v>
      </c>
      <c r="DU132" s="69" t="s">
        <v>160</v>
      </c>
      <c r="DV132" s="69" t="s">
        <v>160</v>
      </c>
      <c r="DW132" s="69" t="s">
        <v>160</v>
      </c>
      <c r="DX132" s="69" t="s">
        <v>160</v>
      </c>
      <c r="DY132" s="69" t="s">
        <v>160</v>
      </c>
      <c r="DZ132" s="69" t="s">
        <v>160</v>
      </c>
      <c r="EA132" s="69" t="s">
        <v>160</v>
      </c>
      <c r="EB132" s="69" t="s">
        <v>160</v>
      </c>
      <c r="EC132" s="69" t="s">
        <v>160</v>
      </c>
      <c r="ED132" s="69" t="s">
        <v>160</v>
      </c>
      <c r="EE132" s="69" t="s">
        <v>160</v>
      </c>
      <c r="EF132" s="69" t="s">
        <v>160</v>
      </c>
      <c r="EG132" s="69" t="s">
        <v>160</v>
      </c>
      <c r="EH132" s="69" t="s">
        <v>160</v>
      </c>
      <c r="EI132" s="69" t="s">
        <v>160</v>
      </c>
      <c r="EJ132" s="69" t="s">
        <v>160</v>
      </c>
      <c r="EK132" s="69" t="s">
        <v>160</v>
      </c>
      <c r="EL132" s="69" t="s">
        <v>160</v>
      </c>
      <c r="EM132" s="69" t="s">
        <v>160</v>
      </c>
      <c r="EN132" s="69" t="s">
        <v>160</v>
      </c>
      <c r="EO132" s="69" t="s">
        <v>160</v>
      </c>
      <c r="EP132" s="69" t="s">
        <v>160</v>
      </c>
      <c r="EQ132" s="69" t="s">
        <v>160</v>
      </c>
      <c r="ER132" s="69" t="s">
        <v>160</v>
      </c>
      <c r="ES132" s="69" t="s">
        <v>160</v>
      </c>
      <c r="ET132" s="69" t="s">
        <v>160</v>
      </c>
      <c r="EU132" s="69" t="s">
        <v>160</v>
      </c>
      <c r="EV132" s="69" t="s">
        <v>160</v>
      </c>
      <c r="EW132" s="69" t="s">
        <v>160</v>
      </c>
      <c r="EX132" s="69" t="s">
        <v>160</v>
      </c>
      <c r="EY132" s="69" t="s">
        <v>160</v>
      </c>
      <c r="EZ132" s="69" t="s">
        <v>160</v>
      </c>
      <c r="FA132" s="69" t="s">
        <v>160</v>
      </c>
      <c r="FB132" s="69" t="s">
        <v>160</v>
      </c>
      <c r="FC132" s="69" t="s">
        <v>160</v>
      </c>
      <c r="FD132" s="69" t="s">
        <v>160</v>
      </c>
    </row>
    <row r="133" spans="1:160">
      <c r="A133" s="103" t="s">
        <v>534</v>
      </c>
      <c r="C133" s="50" t="s">
        <v>220</v>
      </c>
      <c r="G133" s="51" t="str">
        <f t="shared" ref="G133:G141" si="19">IF(B133&lt;&gt;"&gt;",B133,"")&amp;C133&amp;D133&amp;E133&amp;F133</f>
        <v>Note : 2. User Management UI</v>
      </c>
      <c r="H133" s="51" t="s">
        <v>2</v>
      </c>
      <c r="I133" s="64"/>
      <c r="J133" s="64"/>
      <c r="K133" s="64"/>
      <c r="L133" s="64"/>
      <c r="M133" s="64"/>
      <c r="N133" s="64" t="b">
        <f t="shared" ref="N133:N141" si="20">ISNUMBER(SEARCH("*Waiting*",M133))</f>
        <v>0</v>
      </c>
      <c r="O133" s="64"/>
      <c r="P133" s="51"/>
      <c r="R133" s="51" t="s">
        <v>2</v>
      </c>
      <c r="S133" s="68" t="s">
        <v>160</v>
      </c>
      <c r="T133" s="69" t="s">
        <v>160</v>
      </c>
      <c r="U133" s="69" t="s">
        <v>160</v>
      </c>
      <c r="V133" s="69" t="s">
        <v>160</v>
      </c>
      <c r="W133" s="69" t="s">
        <v>160</v>
      </c>
      <c r="X133" s="69" t="s">
        <v>160</v>
      </c>
      <c r="Y133" s="69" t="s">
        <v>160</v>
      </c>
      <c r="Z133" s="69" t="s">
        <v>160</v>
      </c>
      <c r="AA133" s="69" t="s">
        <v>160</v>
      </c>
      <c r="AB133" s="69" t="s">
        <v>160</v>
      </c>
      <c r="AC133" s="69" t="s">
        <v>160</v>
      </c>
      <c r="AD133" s="69" t="s">
        <v>160</v>
      </c>
      <c r="AE133" s="69" t="s">
        <v>160</v>
      </c>
      <c r="AF133" s="69" t="s">
        <v>160</v>
      </c>
      <c r="AG133" s="69" t="s">
        <v>160</v>
      </c>
      <c r="AH133" s="69" t="s">
        <v>160</v>
      </c>
      <c r="AI133" s="69" t="s">
        <v>160</v>
      </c>
      <c r="AJ133" s="69" t="s">
        <v>160</v>
      </c>
      <c r="AK133" s="69" t="s">
        <v>160</v>
      </c>
      <c r="AL133" s="69" t="s">
        <v>160</v>
      </c>
      <c r="AM133" s="69" t="s">
        <v>160</v>
      </c>
      <c r="AN133" s="69" t="s">
        <v>160</v>
      </c>
      <c r="AO133" s="69" t="s">
        <v>160</v>
      </c>
      <c r="AP133" s="69" t="s">
        <v>160</v>
      </c>
      <c r="AQ133" s="69" t="s">
        <v>160</v>
      </c>
      <c r="AR133" s="69" t="s">
        <v>160</v>
      </c>
      <c r="AS133" s="69" t="s">
        <v>160</v>
      </c>
      <c r="AT133" s="69" t="s">
        <v>160</v>
      </c>
      <c r="AU133" s="69" t="s">
        <v>160</v>
      </c>
      <c r="AV133" s="69" t="s">
        <v>160</v>
      </c>
      <c r="AW133" s="69" t="s">
        <v>160</v>
      </c>
      <c r="AX133" s="69" t="s">
        <v>160</v>
      </c>
      <c r="AY133" s="69" t="s">
        <v>160</v>
      </c>
      <c r="AZ133" s="69" t="s">
        <v>160</v>
      </c>
      <c r="BA133" s="69" t="s">
        <v>160</v>
      </c>
      <c r="BB133" s="69" t="s">
        <v>160</v>
      </c>
      <c r="BC133" s="69" t="s">
        <v>160</v>
      </c>
      <c r="BD133" s="69" t="s">
        <v>160</v>
      </c>
      <c r="BE133" s="69" t="s">
        <v>160</v>
      </c>
      <c r="BF133" s="69" t="s">
        <v>160</v>
      </c>
      <c r="BG133" s="69" t="s">
        <v>160</v>
      </c>
      <c r="BH133" s="69" t="s">
        <v>160</v>
      </c>
      <c r="BI133" s="69" t="s">
        <v>160</v>
      </c>
      <c r="BJ133" s="69" t="s">
        <v>160</v>
      </c>
      <c r="BK133" s="69" t="s">
        <v>160</v>
      </c>
      <c r="BL133" s="69" t="s">
        <v>160</v>
      </c>
      <c r="BM133" s="69" t="s">
        <v>160</v>
      </c>
      <c r="BN133" s="69" t="s">
        <v>160</v>
      </c>
      <c r="BO133" s="69" t="s">
        <v>160</v>
      </c>
      <c r="BP133" s="69" t="s">
        <v>160</v>
      </c>
      <c r="BQ133" s="69" t="s">
        <v>160</v>
      </c>
      <c r="BR133" s="69" t="s">
        <v>160</v>
      </c>
      <c r="BS133" s="69" t="s">
        <v>160</v>
      </c>
      <c r="BT133" s="69" t="s">
        <v>160</v>
      </c>
      <c r="BU133" s="69" t="s">
        <v>160</v>
      </c>
      <c r="BV133" s="69" t="s">
        <v>160</v>
      </c>
      <c r="BW133" s="69" t="s">
        <v>160</v>
      </c>
      <c r="BX133" s="69" t="s">
        <v>160</v>
      </c>
      <c r="BY133" s="69" t="s">
        <v>160</v>
      </c>
      <c r="BZ133" s="69" t="s">
        <v>160</v>
      </c>
      <c r="CA133" s="69" t="s">
        <v>160</v>
      </c>
      <c r="CB133" s="69" t="s">
        <v>160</v>
      </c>
      <c r="CC133" s="69" t="s">
        <v>160</v>
      </c>
      <c r="CD133" s="69" t="s">
        <v>160</v>
      </c>
      <c r="CE133" s="69" t="s">
        <v>160</v>
      </c>
      <c r="CF133" s="69" t="s">
        <v>160</v>
      </c>
      <c r="CG133" s="69" t="s">
        <v>160</v>
      </c>
      <c r="CH133" s="69" t="s">
        <v>160</v>
      </c>
      <c r="CI133" s="69" t="s">
        <v>160</v>
      </c>
      <c r="CJ133" s="69" t="s">
        <v>160</v>
      </c>
      <c r="CK133" s="69" t="s">
        <v>160</v>
      </c>
      <c r="CL133" s="69" t="s">
        <v>160</v>
      </c>
      <c r="CM133" s="69" t="s">
        <v>160</v>
      </c>
      <c r="CN133" s="69" t="s">
        <v>160</v>
      </c>
      <c r="CO133" s="69" t="s">
        <v>160</v>
      </c>
      <c r="CP133" s="69" t="s">
        <v>160</v>
      </c>
      <c r="CQ133" s="69" t="s">
        <v>160</v>
      </c>
      <c r="CR133" s="69" t="s">
        <v>160</v>
      </c>
      <c r="CS133" s="69" t="s">
        <v>160</v>
      </c>
      <c r="CT133" s="69" t="s">
        <v>160</v>
      </c>
      <c r="CU133" s="69" t="s">
        <v>160</v>
      </c>
      <c r="CV133" s="69" t="s">
        <v>160</v>
      </c>
      <c r="CW133" s="69" t="s">
        <v>160</v>
      </c>
      <c r="CX133" s="69" t="s">
        <v>160</v>
      </c>
      <c r="CY133" s="69" t="s">
        <v>160</v>
      </c>
      <c r="CZ133" s="69" t="s">
        <v>160</v>
      </c>
      <c r="DA133" s="69" t="s">
        <v>160</v>
      </c>
      <c r="DB133" s="69" t="s">
        <v>160</v>
      </c>
      <c r="DC133" s="69" t="s">
        <v>160</v>
      </c>
      <c r="DD133" s="69" t="s">
        <v>160</v>
      </c>
      <c r="DE133" s="69" t="s">
        <v>160</v>
      </c>
      <c r="DF133" s="69" t="s">
        <v>160</v>
      </c>
      <c r="DG133" s="69" t="s">
        <v>160</v>
      </c>
      <c r="DH133" s="69" t="s">
        <v>160</v>
      </c>
      <c r="DI133" s="69" t="s">
        <v>160</v>
      </c>
      <c r="DJ133" s="69" t="s">
        <v>160</v>
      </c>
      <c r="DK133" s="69" t="s">
        <v>160</v>
      </c>
      <c r="DL133" s="69" t="s">
        <v>160</v>
      </c>
      <c r="DM133" s="69" t="s">
        <v>160</v>
      </c>
      <c r="DN133" s="69" t="s">
        <v>160</v>
      </c>
      <c r="DO133" s="69" t="s">
        <v>160</v>
      </c>
      <c r="DP133" s="69" t="s">
        <v>160</v>
      </c>
      <c r="DQ133" s="69" t="s">
        <v>160</v>
      </c>
      <c r="DR133" s="69" t="s">
        <v>160</v>
      </c>
      <c r="DS133" s="69" t="s">
        <v>160</v>
      </c>
      <c r="DT133" s="69" t="s">
        <v>160</v>
      </c>
      <c r="DU133" s="69" t="s">
        <v>160</v>
      </c>
      <c r="DV133" s="69" t="s">
        <v>160</v>
      </c>
      <c r="DW133" s="69" t="s">
        <v>160</v>
      </c>
      <c r="DX133" s="69" t="s">
        <v>160</v>
      </c>
      <c r="DY133" s="69" t="s">
        <v>160</v>
      </c>
      <c r="DZ133" s="69" t="s">
        <v>160</v>
      </c>
      <c r="EA133" s="69" t="s">
        <v>160</v>
      </c>
      <c r="EB133" s="69" t="s">
        <v>160</v>
      </c>
      <c r="EC133" s="69" t="s">
        <v>160</v>
      </c>
      <c r="ED133" s="69" t="s">
        <v>160</v>
      </c>
      <c r="EE133" s="69" t="s">
        <v>160</v>
      </c>
      <c r="EF133" s="69" t="s">
        <v>160</v>
      </c>
      <c r="EG133" s="69" t="s">
        <v>160</v>
      </c>
      <c r="EH133" s="69" t="s">
        <v>160</v>
      </c>
      <c r="EI133" s="69" t="s">
        <v>160</v>
      </c>
      <c r="EJ133" s="69" t="s">
        <v>160</v>
      </c>
      <c r="EK133" s="69" t="s">
        <v>160</v>
      </c>
      <c r="EL133" s="69" t="s">
        <v>160</v>
      </c>
      <c r="EM133" s="69" t="s">
        <v>160</v>
      </c>
      <c r="EN133" s="69" t="s">
        <v>160</v>
      </c>
      <c r="EO133" s="69" t="s">
        <v>160</v>
      </c>
      <c r="EP133" s="69" t="s">
        <v>160</v>
      </c>
      <c r="EQ133" s="69" t="s">
        <v>160</v>
      </c>
      <c r="ER133" s="69" t="s">
        <v>160</v>
      </c>
      <c r="ES133" s="69" t="s">
        <v>160</v>
      </c>
      <c r="ET133" s="69" t="s">
        <v>160</v>
      </c>
      <c r="EU133" s="69" t="s">
        <v>160</v>
      </c>
      <c r="EV133" s="69" t="s">
        <v>160</v>
      </c>
      <c r="EW133" s="69" t="s">
        <v>160</v>
      </c>
      <c r="EX133" s="69" t="s">
        <v>160</v>
      </c>
      <c r="EY133" s="69" t="s">
        <v>160</v>
      </c>
      <c r="EZ133" s="69" t="s">
        <v>160</v>
      </c>
      <c r="FA133" s="69" t="s">
        <v>160</v>
      </c>
      <c r="FB133" s="69" t="s">
        <v>160</v>
      </c>
      <c r="FC133" s="69" t="s">
        <v>160</v>
      </c>
      <c r="FD133" s="69" t="s">
        <v>160</v>
      </c>
    </row>
    <row r="134" spans="1:160">
      <c r="A134" s="103" t="s">
        <v>535</v>
      </c>
      <c r="C134" s="50" t="s">
        <v>221</v>
      </c>
      <c r="G134" s="51" t="str">
        <f t="shared" si="19"/>
        <v>Note : 3. Edge asset onboarding and management UI</v>
      </c>
      <c r="H134" s="51" t="s">
        <v>2</v>
      </c>
      <c r="I134" s="64"/>
      <c r="J134" s="64"/>
      <c r="K134" s="64"/>
      <c r="L134" s="64"/>
      <c r="M134" s="64"/>
      <c r="N134" s="64" t="b">
        <f t="shared" si="20"/>
        <v>0</v>
      </c>
      <c r="O134" s="64"/>
      <c r="P134" s="51"/>
      <c r="R134" s="51" t="s">
        <v>2</v>
      </c>
      <c r="S134" s="68" t="s">
        <v>160</v>
      </c>
      <c r="T134" s="69" t="s">
        <v>160</v>
      </c>
      <c r="U134" s="69" t="s">
        <v>160</v>
      </c>
      <c r="V134" s="69" t="s">
        <v>160</v>
      </c>
      <c r="W134" s="69" t="s">
        <v>160</v>
      </c>
      <c r="X134" s="69" t="s">
        <v>160</v>
      </c>
      <c r="Y134" s="69" t="s">
        <v>160</v>
      </c>
      <c r="Z134" s="69" t="s">
        <v>160</v>
      </c>
      <c r="AA134" s="69" t="s">
        <v>160</v>
      </c>
      <c r="AB134" s="69" t="s">
        <v>160</v>
      </c>
      <c r="AC134" s="69" t="s">
        <v>160</v>
      </c>
      <c r="AD134" s="69" t="s">
        <v>160</v>
      </c>
      <c r="AE134" s="69" t="s">
        <v>160</v>
      </c>
      <c r="AF134" s="69" t="s">
        <v>160</v>
      </c>
      <c r="AG134" s="69" t="s">
        <v>160</v>
      </c>
      <c r="AH134" s="69" t="s">
        <v>160</v>
      </c>
      <c r="AI134" s="69" t="s">
        <v>160</v>
      </c>
      <c r="AJ134" s="69" t="s">
        <v>160</v>
      </c>
      <c r="AK134" s="69" t="s">
        <v>160</v>
      </c>
      <c r="AL134" s="69" t="s">
        <v>160</v>
      </c>
      <c r="AM134" s="69" t="s">
        <v>160</v>
      </c>
      <c r="AN134" s="69" t="s">
        <v>160</v>
      </c>
      <c r="AO134" s="69" t="s">
        <v>160</v>
      </c>
      <c r="AP134" s="69" t="s">
        <v>160</v>
      </c>
      <c r="AQ134" s="69" t="s">
        <v>160</v>
      </c>
      <c r="AR134" s="69" t="s">
        <v>160</v>
      </c>
      <c r="AS134" s="69" t="s">
        <v>160</v>
      </c>
      <c r="AT134" s="69" t="s">
        <v>160</v>
      </c>
      <c r="AU134" s="69" t="s">
        <v>160</v>
      </c>
      <c r="AV134" s="69" t="s">
        <v>160</v>
      </c>
      <c r="AW134" s="69" t="s">
        <v>160</v>
      </c>
      <c r="AX134" s="69" t="s">
        <v>160</v>
      </c>
      <c r="AY134" s="69" t="s">
        <v>160</v>
      </c>
      <c r="AZ134" s="69" t="s">
        <v>160</v>
      </c>
      <c r="BA134" s="69" t="s">
        <v>160</v>
      </c>
      <c r="BB134" s="69" t="s">
        <v>160</v>
      </c>
      <c r="BC134" s="69" t="s">
        <v>160</v>
      </c>
      <c r="BD134" s="69" t="s">
        <v>160</v>
      </c>
      <c r="BE134" s="69" t="s">
        <v>160</v>
      </c>
      <c r="BF134" s="69" t="s">
        <v>160</v>
      </c>
      <c r="BG134" s="69" t="s">
        <v>160</v>
      </c>
      <c r="BH134" s="69" t="s">
        <v>160</v>
      </c>
      <c r="BI134" s="69" t="s">
        <v>160</v>
      </c>
      <c r="BJ134" s="69" t="s">
        <v>160</v>
      </c>
      <c r="BK134" s="69" t="s">
        <v>160</v>
      </c>
      <c r="BL134" s="69" t="s">
        <v>160</v>
      </c>
      <c r="BM134" s="69" t="s">
        <v>160</v>
      </c>
      <c r="BN134" s="69" t="s">
        <v>160</v>
      </c>
      <c r="BO134" s="69" t="s">
        <v>160</v>
      </c>
      <c r="BP134" s="69" t="s">
        <v>160</v>
      </c>
      <c r="BQ134" s="69" t="s">
        <v>160</v>
      </c>
      <c r="BR134" s="69" t="s">
        <v>160</v>
      </c>
      <c r="BS134" s="69" t="s">
        <v>160</v>
      </c>
      <c r="BT134" s="69" t="s">
        <v>160</v>
      </c>
      <c r="BU134" s="69" t="s">
        <v>160</v>
      </c>
      <c r="BV134" s="69" t="s">
        <v>160</v>
      </c>
      <c r="BW134" s="69" t="s">
        <v>160</v>
      </c>
      <c r="BX134" s="69" t="s">
        <v>160</v>
      </c>
      <c r="BY134" s="69" t="s">
        <v>160</v>
      </c>
      <c r="BZ134" s="69" t="s">
        <v>160</v>
      </c>
      <c r="CA134" s="69" t="s">
        <v>160</v>
      </c>
      <c r="CB134" s="69" t="s">
        <v>160</v>
      </c>
      <c r="CC134" s="69" t="s">
        <v>160</v>
      </c>
      <c r="CD134" s="69" t="s">
        <v>160</v>
      </c>
      <c r="CE134" s="69" t="s">
        <v>160</v>
      </c>
      <c r="CF134" s="69" t="s">
        <v>160</v>
      </c>
      <c r="CG134" s="69" t="s">
        <v>160</v>
      </c>
      <c r="CH134" s="69" t="s">
        <v>160</v>
      </c>
      <c r="CI134" s="69" t="s">
        <v>160</v>
      </c>
      <c r="CJ134" s="69" t="s">
        <v>160</v>
      </c>
      <c r="CK134" s="69" t="s">
        <v>160</v>
      </c>
      <c r="CL134" s="69" t="s">
        <v>160</v>
      </c>
      <c r="CM134" s="69" t="s">
        <v>160</v>
      </c>
      <c r="CN134" s="69" t="s">
        <v>160</v>
      </c>
      <c r="CO134" s="69" t="s">
        <v>160</v>
      </c>
      <c r="CP134" s="69" t="s">
        <v>160</v>
      </c>
      <c r="CQ134" s="69" t="s">
        <v>160</v>
      </c>
      <c r="CR134" s="69" t="s">
        <v>160</v>
      </c>
      <c r="CS134" s="69" t="s">
        <v>160</v>
      </c>
      <c r="CT134" s="69" t="s">
        <v>160</v>
      </c>
      <c r="CU134" s="69" t="s">
        <v>160</v>
      </c>
      <c r="CV134" s="69" t="s">
        <v>160</v>
      </c>
      <c r="CW134" s="69" t="s">
        <v>160</v>
      </c>
      <c r="CX134" s="69" t="s">
        <v>160</v>
      </c>
      <c r="CY134" s="69" t="s">
        <v>160</v>
      </c>
      <c r="CZ134" s="69" t="s">
        <v>160</v>
      </c>
      <c r="DA134" s="69" t="s">
        <v>160</v>
      </c>
      <c r="DB134" s="69" t="s">
        <v>160</v>
      </c>
      <c r="DC134" s="69" t="s">
        <v>160</v>
      </c>
      <c r="DD134" s="69" t="s">
        <v>160</v>
      </c>
      <c r="DE134" s="69" t="s">
        <v>160</v>
      </c>
      <c r="DF134" s="69" t="s">
        <v>160</v>
      </c>
      <c r="DG134" s="69" t="s">
        <v>160</v>
      </c>
      <c r="DH134" s="69" t="s">
        <v>160</v>
      </c>
      <c r="DI134" s="69" t="s">
        <v>160</v>
      </c>
      <c r="DJ134" s="69" t="s">
        <v>160</v>
      </c>
      <c r="DK134" s="69" t="s">
        <v>160</v>
      </c>
      <c r="DL134" s="69" t="s">
        <v>160</v>
      </c>
      <c r="DM134" s="69" t="s">
        <v>160</v>
      </c>
      <c r="DN134" s="69" t="s">
        <v>160</v>
      </c>
      <c r="DO134" s="69" t="s">
        <v>160</v>
      </c>
      <c r="DP134" s="69" t="s">
        <v>160</v>
      </c>
      <c r="DQ134" s="69" t="s">
        <v>160</v>
      </c>
      <c r="DR134" s="69" t="s">
        <v>160</v>
      </c>
      <c r="DS134" s="69" t="s">
        <v>160</v>
      </c>
      <c r="DT134" s="69" t="s">
        <v>160</v>
      </c>
      <c r="DU134" s="69" t="s">
        <v>160</v>
      </c>
      <c r="DV134" s="69" t="s">
        <v>160</v>
      </c>
      <c r="DW134" s="69" t="s">
        <v>160</v>
      </c>
      <c r="DX134" s="69" t="s">
        <v>160</v>
      </c>
      <c r="DY134" s="69" t="s">
        <v>160</v>
      </c>
      <c r="DZ134" s="69" t="s">
        <v>160</v>
      </c>
      <c r="EA134" s="69" t="s">
        <v>160</v>
      </c>
      <c r="EB134" s="69" t="s">
        <v>160</v>
      </c>
      <c r="EC134" s="69" t="s">
        <v>160</v>
      </c>
      <c r="ED134" s="69" t="s">
        <v>160</v>
      </c>
      <c r="EE134" s="69" t="s">
        <v>160</v>
      </c>
      <c r="EF134" s="69" t="s">
        <v>160</v>
      </c>
      <c r="EG134" s="69" t="s">
        <v>160</v>
      </c>
      <c r="EH134" s="69" t="s">
        <v>160</v>
      </c>
      <c r="EI134" s="69" t="s">
        <v>160</v>
      </c>
      <c r="EJ134" s="69" t="s">
        <v>160</v>
      </c>
      <c r="EK134" s="69" t="s">
        <v>160</v>
      </c>
      <c r="EL134" s="69" t="s">
        <v>160</v>
      </c>
      <c r="EM134" s="69" t="s">
        <v>160</v>
      </c>
      <c r="EN134" s="69" t="s">
        <v>160</v>
      </c>
      <c r="EO134" s="69" t="s">
        <v>160</v>
      </c>
      <c r="EP134" s="69" t="s">
        <v>160</v>
      </c>
      <c r="EQ134" s="69" t="s">
        <v>160</v>
      </c>
      <c r="ER134" s="69" t="s">
        <v>160</v>
      </c>
      <c r="ES134" s="69" t="s">
        <v>160</v>
      </c>
      <c r="ET134" s="69" t="s">
        <v>160</v>
      </c>
      <c r="EU134" s="69" t="s">
        <v>160</v>
      </c>
      <c r="EV134" s="69" t="s">
        <v>160</v>
      </c>
      <c r="EW134" s="69" t="s">
        <v>160</v>
      </c>
      <c r="EX134" s="69" t="s">
        <v>160</v>
      </c>
      <c r="EY134" s="69" t="s">
        <v>160</v>
      </c>
      <c r="EZ134" s="69" t="s">
        <v>160</v>
      </c>
      <c r="FA134" s="69" t="s">
        <v>160</v>
      </c>
      <c r="FB134" s="69" t="s">
        <v>160</v>
      </c>
      <c r="FC134" s="69" t="s">
        <v>160</v>
      </c>
      <c r="FD134" s="69" t="s">
        <v>160</v>
      </c>
    </row>
    <row r="135" spans="1:160">
      <c r="A135" s="103" t="s">
        <v>536</v>
      </c>
      <c r="B135" s="20" t="s">
        <v>163</v>
      </c>
      <c r="C135" s="91" t="s">
        <v>171</v>
      </c>
      <c r="G135" s="51" t="str">
        <f t="shared" si="19"/>
        <v>Technical design document explaining the data schema and algorithm</v>
      </c>
      <c r="H135" s="51" t="s">
        <v>2</v>
      </c>
      <c r="I135" s="64">
        <v>44835</v>
      </c>
      <c r="J135" s="64">
        <v>44924</v>
      </c>
      <c r="K135" s="64"/>
      <c r="L135" s="64"/>
      <c r="M135" s="64"/>
      <c r="N135" s="64" t="b">
        <f t="shared" si="20"/>
        <v>0</v>
      </c>
      <c r="O135" s="64"/>
      <c r="P135" s="24">
        <v>0</v>
      </c>
      <c r="R135" s="51" t="s">
        <v>2</v>
      </c>
      <c r="S135" s="68" t="s">
        <v>160</v>
      </c>
      <c r="T135" s="69" t="s">
        <v>160</v>
      </c>
      <c r="U135" s="69" t="s">
        <v>160</v>
      </c>
      <c r="V135" s="69" t="s">
        <v>160</v>
      </c>
      <c r="W135" s="69" t="s">
        <v>160</v>
      </c>
      <c r="X135" s="69" t="s">
        <v>160</v>
      </c>
      <c r="Y135" s="69" t="s">
        <v>160</v>
      </c>
      <c r="Z135" s="69" t="s">
        <v>160</v>
      </c>
      <c r="AA135" s="69" t="s">
        <v>160</v>
      </c>
      <c r="AB135" s="69" t="s">
        <v>160</v>
      </c>
      <c r="AC135" s="69" t="s">
        <v>160</v>
      </c>
      <c r="AD135" s="69" t="s">
        <v>160</v>
      </c>
      <c r="AE135" s="69" t="s">
        <v>160</v>
      </c>
      <c r="AF135" s="69" t="s">
        <v>160</v>
      </c>
      <c r="AG135" s="69" t="s">
        <v>160</v>
      </c>
      <c r="AH135" s="69" t="s">
        <v>160</v>
      </c>
      <c r="AI135" s="69" t="s">
        <v>160</v>
      </c>
      <c r="AJ135" s="69" t="s">
        <v>160</v>
      </c>
      <c r="AK135" s="69" t="s">
        <v>160</v>
      </c>
      <c r="AL135" s="69" t="s">
        <v>160</v>
      </c>
      <c r="AM135" s="69" t="s">
        <v>160</v>
      </c>
      <c r="AN135" s="69" t="s">
        <v>160</v>
      </c>
      <c r="AO135" s="69" t="s">
        <v>160</v>
      </c>
      <c r="AP135" s="69" t="s">
        <v>160</v>
      </c>
      <c r="AQ135" s="69" t="s">
        <v>160</v>
      </c>
      <c r="AR135" s="69" t="s">
        <v>160</v>
      </c>
      <c r="AS135" s="69" t="s">
        <v>160</v>
      </c>
      <c r="AT135" s="69" t="s">
        <v>160</v>
      </c>
      <c r="AU135" s="69" t="s">
        <v>160</v>
      </c>
      <c r="AV135" s="69" t="s">
        <v>160</v>
      </c>
      <c r="AW135" s="69" t="s">
        <v>160</v>
      </c>
      <c r="AX135" s="69" t="s">
        <v>160</v>
      </c>
      <c r="AY135" s="69" t="s">
        <v>160</v>
      </c>
      <c r="AZ135" s="69" t="s">
        <v>160</v>
      </c>
      <c r="BA135" s="69" t="s">
        <v>160</v>
      </c>
      <c r="BB135" s="69" t="s">
        <v>160</v>
      </c>
      <c r="BC135" s="69" t="s">
        <v>160</v>
      </c>
      <c r="BD135" s="69" t="s">
        <v>160</v>
      </c>
      <c r="BE135" s="69" t="s">
        <v>160</v>
      </c>
      <c r="BF135" s="69" t="s">
        <v>160</v>
      </c>
      <c r="BG135" s="69" t="s">
        <v>160</v>
      </c>
      <c r="BH135" s="69" t="s">
        <v>160</v>
      </c>
      <c r="BI135" s="69" t="s">
        <v>160</v>
      </c>
      <c r="BJ135" s="69" t="s">
        <v>160</v>
      </c>
      <c r="BK135" s="69" t="s">
        <v>160</v>
      </c>
      <c r="BL135" s="69" t="s">
        <v>160</v>
      </c>
      <c r="BM135" s="69" t="s">
        <v>160</v>
      </c>
      <c r="BN135" s="69" t="s">
        <v>160</v>
      </c>
      <c r="BO135" s="69" t="s">
        <v>160</v>
      </c>
      <c r="BP135" s="69" t="s">
        <v>160</v>
      </c>
      <c r="BQ135" s="69" t="s">
        <v>160</v>
      </c>
      <c r="BR135" s="69" t="s">
        <v>160</v>
      </c>
      <c r="BS135" s="69" t="s">
        <v>160</v>
      </c>
      <c r="BT135" s="69" t="s">
        <v>160</v>
      </c>
      <c r="BU135" s="69" t="s">
        <v>160</v>
      </c>
      <c r="BV135" s="69" t="s">
        <v>160</v>
      </c>
      <c r="BW135" s="69" t="s">
        <v>160</v>
      </c>
      <c r="BX135" s="69" t="s">
        <v>160</v>
      </c>
      <c r="BY135" s="69" t="s">
        <v>160</v>
      </c>
      <c r="BZ135" s="69" t="s">
        <v>160</v>
      </c>
      <c r="CA135" s="69" t="s">
        <v>160</v>
      </c>
      <c r="CB135" s="69" t="s">
        <v>160</v>
      </c>
      <c r="CC135" s="69" t="s">
        <v>160</v>
      </c>
      <c r="CD135" s="69" t="s">
        <v>160</v>
      </c>
      <c r="CE135" s="69" t="s">
        <v>160</v>
      </c>
      <c r="CF135" s="69" t="s">
        <v>160</v>
      </c>
      <c r="CG135" s="69" t="s">
        <v>160</v>
      </c>
      <c r="CH135" s="69" t="s">
        <v>160</v>
      </c>
      <c r="CI135" s="69" t="s">
        <v>160</v>
      </c>
      <c r="CJ135" s="69" t="s">
        <v>160</v>
      </c>
      <c r="CK135" s="69" t="s">
        <v>160</v>
      </c>
      <c r="CL135" s="69" t="s">
        <v>160</v>
      </c>
      <c r="CM135" s="69" t="s">
        <v>160</v>
      </c>
      <c r="CN135" s="69" t="s">
        <v>160</v>
      </c>
      <c r="CO135" s="69" t="s">
        <v>160</v>
      </c>
      <c r="CP135" s="69" t="s">
        <v>160</v>
      </c>
      <c r="CQ135" s="69" t="s">
        <v>160</v>
      </c>
      <c r="CR135" s="69" t="s">
        <v>160</v>
      </c>
      <c r="CS135" s="69" t="s">
        <v>160</v>
      </c>
      <c r="CT135" s="69" t="s">
        <v>160</v>
      </c>
      <c r="CU135" s="69" t="s">
        <v>160</v>
      </c>
      <c r="CV135" s="69" t="s">
        <v>160</v>
      </c>
      <c r="CW135" s="69" t="s">
        <v>160</v>
      </c>
      <c r="CX135" s="69" t="s">
        <v>160</v>
      </c>
      <c r="CY135" s="69" t="s">
        <v>160</v>
      </c>
      <c r="CZ135" s="69" t="s">
        <v>160</v>
      </c>
      <c r="DA135" s="69" t="s">
        <v>160</v>
      </c>
      <c r="DB135" s="69" t="s">
        <v>160</v>
      </c>
      <c r="DC135" s="69" t="s">
        <v>160</v>
      </c>
      <c r="DD135" s="69" t="s">
        <v>160</v>
      </c>
      <c r="DE135" s="69" t="s">
        <v>160</v>
      </c>
      <c r="DF135" s="69" t="s">
        <v>160</v>
      </c>
      <c r="DG135" s="69" t="s">
        <v>160</v>
      </c>
      <c r="DH135" s="69" t="s">
        <v>160</v>
      </c>
      <c r="DI135" s="69" t="s">
        <v>160</v>
      </c>
      <c r="DJ135" s="69" t="s">
        <v>160</v>
      </c>
      <c r="DK135" s="69" t="s">
        <v>160</v>
      </c>
      <c r="DL135" s="69" t="s">
        <v>160</v>
      </c>
      <c r="DM135" s="69" t="s">
        <v>160</v>
      </c>
      <c r="DN135" s="69" t="s">
        <v>160</v>
      </c>
      <c r="DO135" s="69" t="s">
        <v>160</v>
      </c>
      <c r="DP135" s="69" t="s">
        <v>160</v>
      </c>
      <c r="DQ135" s="69" t="s">
        <v>160</v>
      </c>
      <c r="DR135" s="69" t="s">
        <v>160</v>
      </c>
      <c r="DS135" s="69" t="s">
        <v>160</v>
      </c>
      <c r="DT135" s="69" t="s">
        <v>160</v>
      </c>
      <c r="DU135" s="69" t="s">
        <v>160</v>
      </c>
      <c r="DV135" s="69" t="s">
        <v>160</v>
      </c>
      <c r="DW135" s="69" t="s">
        <v>160</v>
      </c>
      <c r="DX135" s="69" t="s">
        <v>160</v>
      </c>
      <c r="DY135" s="69" t="s">
        <v>160</v>
      </c>
      <c r="DZ135" s="69" t="s">
        <v>160</v>
      </c>
      <c r="EA135" s="69" t="s">
        <v>160</v>
      </c>
      <c r="EB135" s="69" t="s">
        <v>160</v>
      </c>
      <c r="EC135" s="69" t="s">
        <v>160</v>
      </c>
      <c r="ED135" s="69" t="s">
        <v>160</v>
      </c>
      <c r="EE135" s="69" t="s">
        <v>160</v>
      </c>
      <c r="EF135" s="69" t="s">
        <v>160</v>
      </c>
      <c r="EG135" s="69" t="s">
        <v>160</v>
      </c>
      <c r="EH135" s="69" t="s">
        <v>160</v>
      </c>
      <c r="EI135" s="69" t="s">
        <v>160</v>
      </c>
      <c r="EJ135" s="69" t="s">
        <v>160</v>
      </c>
      <c r="EK135" s="69" t="s">
        <v>160</v>
      </c>
      <c r="EL135" s="69" t="s">
        <v>160</v>
      </c>
      <c r="EM135" s="69" t="s">
        <v>160</v>
      </c>
      <c r="EN135" s="69" t="s">
        <v>160</v>
      </c>
      <c r="EO135" s="69" t="s">
        <v>160</v>
      </c>
      <c r="EP135" s="69" t="s">
        <v>160</v>
      </c>
      <c r="EQ135" s="69" t="s">
        <v>160</v>
      </c>
      <c r="ER135" s="69" t="s">
        <v>160</v>
      </c>
      <c r="ES135" s="69" t="s">
        <v>160</v>
      </c>
      <c r="ET135" s="69" t="s">
        <v>160</v>
      </c>
      <c r="EU135" s="69" t="s">
        <v>160</v>
      </c>
      <c r="EV135" s="69" t="s">
        <v>160</v>
      </c>
      <c r="EW135" s="69" t="s">
        <v>160</v>
      </c>
      <c r="EX135" s="69" t="s">
        <v>160</v>
      </c>
      <c r="EY135" s="69" t="s">
        <v>160</v>
      </c>
      <c r="EZ135" s="69" t="s">
        <v>160</v>
      </c>
      <c r="FA135" s="69" t="s">
        <v>160</v>
      </c>
      <c r="FB135" s="69" t="s">
        <v>160</v>
      </c>
      <c r="FC135" s="69" t="s">
        <v>160</v>
      </c>
      <c r="FD135" s="69" t="s">
        <v>160</v>
      </c>
    </row>
    <row r="136" spans="1:160">
      <c r="A136" s="103" t="s">
        <v>537</v>
      </c>
      <c r="B136" s="20" t="s">
        <v>163</v>
      </c>
      <c r="C136" s="91" t="s">
        <v>172</v>
      </c>
      <c r="G136" s="51" t="str">
        <f t="shared" si="19"/>
        <v>Software Code</v>
      </c>
      <c r="H136" s="51" t="s">
        <v>2</v>
      </c>
      <c r="I136" s="64">
        <v>44835</v>
      </c>
      <c r="J136" s="64">
        <v>44924</v>
      </c>
      <c r="K136" s="64"/>
      <c r="L136" s="64"/>
      <c r="M136" s="64"/>
      <c r="N136" s="64" t="b">
        <f t="shared" si="20"/>
        <v>0</v>
      </c>
      <c r="O136" s="64"/>
      <c r="P136" s="24">
        <v>0</v>
      </c>
      <c r="R136" s="51" t="s">
        <v>2</v>
      </c>
      <c r="S136" s="68" t="s">
        <v>160</v>
      </c>
      <c r="T136" s="69" t="s">
        <v>160</v>
      </c>
      <c r="U136" s="69" t="s">
        <v>160</v>
      </c>
      <c r="V136" s="69" t="s">
        <v>160</v>
      </c>
      <c r="W136" s="69" t="s">
        <v>160</v>
      </c>
      <c r="X136" s="69" t="s">
        <v>160</v>
      </c>
      <c r="Y136" s="69" t="s">
        <v>160</v>
      </c>
      <c r="Z136" s="69" t="s">
        <v>160</v>
      </c>
      <c r="AA136" s="69" t="s">
        <v>160</v>
      </c>
      <c r="AB136" s="69" t="s">
        <v>160</v>
      </c>
      <c r="AC136" s="69" t="s">
        <v>160</v>
      </c>
      <c r="AD136" s="69" t="s">
        <v>160</v>
      </c>
      <c r="AE136" s="69" t="s">
        <v>160</v>
      </c>
      <c r="AF136" s="69" t="s">
        <v>160</v>
      </c>
      <c r="AG136" s="69" t="s">
        <v>160</v>
      </c>
      <c r="AH136" s="69" t="s">
        <v>160</v>
      </c>
      <c r="AI136" s="69" t="s">
        <v>160</v>
      </c>
      <c r="AJ136" s="69" t="s">
        <v>160</v>
      </c>
      <c r="AK136" s="69" t="s">
        <v>160</v>
      </c>
      <c r="AL136" s="69" t="s">
        <v>160</v>
      </c>
      <c r="AM136" s="69" t="s">
        <v>160</v>
      </c>
      <c r="AN136" s="69" t="s">
        <v>160</v>
      </c>
      <c r="AO136" s="69" t="s">
        <v>160</v>
      </c>
      <c r="AP136" s="69" t="s">
        <v>160</v>
      </c>
      <c r="AQ136" s="69" t="s">
        <v>160</v>
      </c>
      <c r="AR136" s="69" t="s">
        <v>160</v>
      </c>
      <c r="AS136" s="69" t="s">
        <v>160</v>
      </c>
      <c r="AT136" s="69" t="s">
        <v>160</v>
      </c>
      <c r="AU136" s="69" t="s">
        <v>160</v>
      </c>
      <c r="AV136" s="69" t="s">
        <v>160</v>
      </c>
      <c r="AW136" s="69" t="s">
        <v>160</v>
      </c>
      <c r="AX136" s="69" t="s">
        <v>160</v>
      </c>
      <c r="AY136" s="69" t="s">
        <v>160</v>
      </c>
      <c r="AZ136" s="69" t="s">
        <v>160</v>
      </c>
      <c r="BA136" s="69" t="s">
        <v>160</v>
      </c>
      <c r="BB136" s="69" t="s">
        <v>160</v>
      </c>
      <c r="BC136" s="69" t="s">
        <v>160</v>
      </c>
      <c r="BD136" s="69" t="s">
        <v>160</v>
      </c>
      <c r="BE136" s="69" t="s">
        <v>160</v>
      </c>
      <c r="BF136" s="69" t="s">
        <v>160</v>
      </c>
      <c r="BG136" s="69" t="s">
        <v>160</v>
      </c>
      <c r="BH136" s="69" t="s">
        <v>160</v>
      </c>
      <c r="BI136" s="69" t="s">
        <v>160</v>
      </c>
      <c r="BJ136" s="69" t="s">
        <v>160</v>
      </c>
      <c r="BK136" s="69" t="s">
        <v>160</v>
      </c>
      <c r="BL136" s="69" t="s">
        <v>160</v>
      </c>
      <c r="BM136" s="69" t="s">
        <v>160</v>
      </c>
      <c r="BN136" s="69" t="s">
        <v>160</v>
      </c>
      <c r="BO136" s="69" t="s">
        <v>160</v>
      </c>
      <c r="BP136" s="69" t="s">
        <v>160</v>
      </c>
      <c r="BQ136" s="69" t="s">
        <v>160</v>
      </c>
      <c r="BR136" s="69" t="s">
        <v>160</v>
      </c>
      <c r="BS136" s="69" t="s">
        <v>160</v>
      </c>
      <c r="BT136" s="69" t="s">
        <v>160</v>
      </c>
      <c r="BU136" s="69" t="s">
        <v>160</v>
      </c>
      <c r="BV136" s="69" t="s">
        <v>160</v>
      </c>
      <c r="BW136" s="69" t="s">
        <v>160</v>
      </c>
      <c r="BX136" s="69" t="s">
        <v>160</v>
      </c>
      <c r="BY136" s="69" t="s">
        <v>160</v>
      </c>
      <c r="BZ136" s="69" t="s">
        <v>160</v>
      </c>
      <c r="CA136" s="69" t="s">
        <v>160</v>
      </c>
      <c r="CB136" s="69" t="s">
        <v>160</v>
      </c>
      <c r="CC136" s="69" t="s">
        <v>160</v>
      </c>
      <c r="CD136" s="69" t="s">
        <v>160</v>
      </c>
      <c r="CE136" s="69" t="s">
        <v>160</v>
      </c>
      <c r="CF136" s="69" t="s">
        <v>160</v>
      </c>
      <c r="CG136" s="69" t="s">
        <v>160</v>
      </c>
      <c r="CH136" s="69" t="s">
        <v>160</v>
      </c>
      <c r="CI136" s="69" t="s">
        <v>160</v>
      </c>
      <c r="CJ136" s="69" t="s">
        <v>160</v>
      </c>
      <c r="CK136" s="69" t="s">
        <v>160</v>
      </c>
      <c r="CL136" s="69" t="s">
        <v>160</v>
      </c>
      <c r="CM136" s="69" t="s">
        <v>160</v>
      </c>
      <c r="CN136" s="69" t="s">
        <v>160</v>
      </c>
      <c r="CO136" s="69" t="s">
        <v>160</v>
      </c>
      <c r="CP136" s="69" t="s">
        <v>160</v>
      </c>
      <c r="CQ136" s="69" t="s">
        <v>160</v>
      </c>
      <c r="CR136" s="69" t="s">
        <v>160</v>
      </c>
      <c r="CS136" s="69" t="s">
        <v>160</v>
      </c>
      <c r="CT136" s="69" t="s">
        <v>160</v>
      </c>
      <c r="CU136" s="69" t="s">
        <v>160</v>
      </c>
      <c r="CV136" s="69" t="s">
        <v>160</v>
      </c>
      <c r="CW136" s="69" t="s">
        <v>160</v>
      </c>
      <c r="CX136" s="69" t="s">
        <v>160</v>
      </c>
      <c r="CY136" s="69" t="s">
        <v>160</v>
      </c>
      <c r="CZ136" s="69" t="s">
        <v>160</v>
      </c>
      <c r="DA136" s="69" t="s">
        <v>160</v>
      </c>
      <c r="DB136" s="69" t="s">
        <v>160</v>
      </c>
      <c r="DC136" s="69" t="s">
        <v>160</v>
      </c>
      <c r="DD136" s="69" t="s">
        <v>160</v>
      </c>
      <c r="DE136" s="69" t="s">
        <v>160</v>
      </c>
      <c r="DF136" s="69" t="s">
        <v>160</v>
      </c>
      <c r="DG136" s="69" t="s">
        <v>160</v>
      </c>
      <c r="DH136" s="69" t="s">
        <v>160</v>
      </c>
      <c r="DI136" s="69" t="s">
        <v>160</v>
      </c>
      <c r="DJ136" s="69" t="s">
        <v>160</v>
      </c>
      <c r="DK136" s="69" t="s">
        <v>160</v>
      </c>
      <c r="DL136" s="69" t="s">
        <v>160</v>
      </c>
      <c r="DM136" s="69" t="s">
        <v>160</v>
      </c>
      <c r="DN136" s="69" t="s">
        <v>160</v>
      </c>
      <c r="DO136" s="69" t="s">
        <v>160</v>
      </c>
      <c r="DP136" s="69" t="s">
        <v>160</v>
      </c>
      <c r="DQ136" s="69" t="s">
        <v>160</v>
      </c>
      <c r="DR136" s="69" t="s">
        <v>160</v>
      </c>
      <c r="DS136" s="69" t="s">
        <v>160</v>
      </c>
      <c r="DT136" s="69" t="s">
        <v>160</v>
      </c>
      <c r="DU136" s="69" t="s">
        <v>160</v>
      </c>
      <c r="DV136" s="69" t="s">
        <v>160</v>
      </c>
      <c r="DW136" s="69" t="s">
        <v>160</v>
      </c>
      <c r="DX136" s="69" t="s">
        <v>160</v>
      </c>
      <c r="DY136" s="69" t="s">
        <v>160</v>
      </c>
      <c r="DZ136" s="69" t="s">
        <v>160</v>
      </c>
      <c r="EA136" s="69" t="s">
        <v>160</v>
      </c>
      <c r="EB136" s="69" t="s">
        <v>160</v>
      </c>
      <c r="EC136" s="69" t="s">
        <v>160</v>
      </c>
      <c r="ED136" s="69" t="s">
        <v>160</v>
      </c>
      <c r="EE136" s="69" t="s">
        <v>160</v>
      </c>
      <c r="EF136" s="69" t="s">
        <v>160</v>
      </c>
      <c r="EG136" s="69" t="s">
        <v>160</v>
      </c>
      <c r="EH136" s="69" t="s">
        <v>160</v>
      </c>
      <c r="EI136" s="69" t="s">
        <v>160</v>
      </c>
      <c r="EJ136" s="69" t="s">
        <v>160</v>
      </c>
      <c r="EK136" s="69" t="s">
        <v>160</v>
      </c>
      <c r="EL136" s="69" t="s">
        <v>160</v>
      </c>
      <c r="EM136" s="69" t="s">
        <v>160</v>
      </c>
      <c r="EN136" s="69" t="s">
        <v>160</v>
      </c>
      <c r="EO136" s="69" t="s">
        <v>160</v>
      </c>
      <c r="EP136" s="69" t="s">
        <v>160</v>
      </c>
      <c r="EQ136" s="69" t="s">
        <v>160</v>
      </c>
      <c r="ER136" s="69" t="s">
        <v>160</v>
      </c>
      <c r="ES136" s="69" t="s">
        <v>160</v>
      </c>
      <c r="ET136" s="69" t="s">
        <v>160</v>
      </c>
      <c r="EU136" s="69" t="s">
        <v>160</v>
      </c>
      <c r="EV136" s="69" t="s">
        <v>160</v>
      </c>
      <c r="EW136" s="69" t="s">
        <v>160</v>
      </c>
      <c r="EX136" s="69" t="s">
        <v>160</v>
      </c>
      <c r="EY136" s="69" t="s">
        <v>160</v>
      </c>
      <c r="EZ136" s="69" t="s">
        <v>160</v>
      </c>
      <c r="FA136" s="69" t="s">
        <v>160</v>
      </c>
      <c r="FB136" s="69" t="s">
        <v>160</v>
      </c>
      <c r="FC136" s="69" t="s">
        <v>160</v>
      </c>
      <c r="FD136" s="69" t="s">
        <v>160</v>
      </c>
    </row>
    <row r="137" spans="1:160">
      <c r="A137" s="103" t="s">
        <v>531</v>
      </c>
      <c r="B137" s="20" t="s">
        <v>163</v>
      </c>
      <c r="C137" s="91" t="s">
        <v>173</v>
      </c>
      <c r="G137" s="51" t="str">
        <f t="shared" si="19"/>
        <v>Deployment Procedure of the code</v>
      </c>
      <c r="H137" s="51" t="s">
        <v>2</v>
      </c>
      <c r="I137" s="64">
        <v>44835</v>
      </c>
      <c r="J137" s="64">
        <v>44924</v>
      </c>
      <c r="K137" s="64"/>
      <c r="L137" s="64"/>
      <c r="M137" s="64"/>
      <c r="N137" s="64" t="b">
        <f t="shared" si="20"/>
        <v>0</v>
      </c>
      <c r="O137" s="64"/>
      <c r="P137" s="24">
        <v>0</v>
      </c>
      <c r="R137" s="51" t="s">
        <v>2</v>
      </c>
      <c r="S137" s="68" t="s">
        <v>160</v>
      </c>
      <c r="T137" s="69" t="s">
        <v>160</v>
      </c>
      <c r="U137" s="69" t="s">
        <v>160</v>
      </c>
      <c r="V137" s="69" t="s">
        <v>160</v>
      </c>
      <c r="W137" s="69" t="s">
        <v>160</v>
      </c>
      <c r="X137" s="69" t="s">
        <v>160</v>
      </c>
      <c r="Y137" s="69" t="s">
        <v>160</v>
      </c>
      <c r="Z137" s="69" t="s">
        <v>160</v>
      </c>
      <c r="AA137" s="69" t="s">
        <v>160</v>
      </c>
      <c r="AB137" s="69" t="s">
        <v>160</v>
      </c>
      <c r="AC137" s="69" t="s">
        <v>160</v>
      </c>
      <c r="AD137" s="69" t="s">
        <v>160</v>
      </c>
      <c r="AE137" s="69" t="s">
        <v>160</v>
      </c>
      <c r="AF137" s="69" t="s">
        <v>160</v>
      </c>
      <c r="AG137" s="69" t="s">
        <v>160</v>
      </c>
      <c r="AH137" s="69" t="s">
        <v>160</v>
      </c>
      <c r="AI137" s="69" t="s">
        <v>160</v>
      </c>
      <c r="AJ137" s="69" t="s">
        <v>160</v>
      </c>
      <c r="AK137" s="69" t="s">
        <v>160</v>
      </c>
      <c r="AL137" s="69" t="s">
        <v>160</v>
      </c>
      <c r="AM137" s="69" t="s">
        <v>160</v>
      </c>
      <c r="AN137" s="69" t="s">
        <v>160</v>
      </c>
      <c r="AO137" s="69" t="s">
        <v>160</v>
      </c>
      <c r="AP137" s="69" t="s">
        <v>160</v>
      </c>
      <c r="AQ137" s="69" t="s">
        <v>160</v>
      </c>
      <c r="AR137" s="69" t="s">
        <v>160</v>
      </c>
      <c r="AS137" s="69" t="s">
        <v>160</v>
      </c>
      <c r="AT137" s="69" t="s">
        <v>160</v>
      </c>
      <c r="AU137" s="69" t="s">
        <v>160</v>
      </c>
      <c r="AV137" s="69" t="s">
        <v>160</v>
      </c>
      <c r="AW137" s="69" t="s">
        <v>160</v>
      </c>
      <c r="AX137" s="69" t="s">
        <v>160</v>
      </c>
      <c r="AY137" s="69" t="s">
        <v>160</v>
      </c>
      <c r="AZ137" s="69" t="s">
        <v>160</v>
      </c>
      <c r="BA137" s="69" t="s">
        <v>160</v>
      </c>
      <c r="BB137" s="69" t="s">
        <v>160</v>
      </c>
      <c r="BC137" s="69" t="s">
        <v>160</v>
      </c>
      <c r="BD137" s="69" t="s">
        <v>160</v>
      </c>
      <c r="BE137" s="69" t="s">
        <v>160</v>
      </c>
      <c r="BF137" s="69" t="s">
        <v>160</v>
      </c>
      <c r="BG137" s="69" t="s">
        <v>160</v>
      </c>
      <c r="BH137" s="69" t="s">
        <v>160</v>
      </c>
      <c r="BI137" s="69" t="s">
        <v>160</v>
      </c>
      <c r="BJ137" s="69" t="s">
        <v>160</v>
      </c>
      <c r="BK137" s="69" t="s">
        <v>160</v>
      </c>
      <c r="BL137" s="69" t="s">
        <v>160</v>
      </c>
      <c r="BM137" s="69" t="s">
        <v>160</v>
      </c>
      <c r="BN137" s="69" t="s">
        <v>160</v>
      </c>
      <c r="BO137" s="69" t="s">
        <v>160</v>
      </c>
      <c r="BP137" s="69" t="s">
        <v>160</v>
      </c>
      <c r="BQ137" s="69" t="s">
        <v>160</v>
      </c>
      <c r="BR137" s="69" t="s">
        <v>160</v>
      </c>
      <c r="BS137" s="69" t="s">
        <v>160</v>
      </c>
      <c r="BT137" s="69" t="s">
        <v>160</v>
      </c>
      <c r="BU137" s="69" t="s">
        <v>160</v>
      </c>
      <c r="BV137" s="69" t="s">
        <v>160</v>
      </c>
      <c r="BW137" s="69" t="s">
        <v>160</v>
      </c>
      <c r="BX137" s="69" t="s">
        <v>160</v>
      </c>
      <c r="BY137" s="69" t="s">
        <v>160</v>
      </c>
      <c r="BZ137" s="69" t="s">
        <v>160</v>
      </c>
      <c r="CA137" s="69" t="s">
        <v>160</v>
      </c>
      <c r="CB137" s="69" t="s">
        <v>160</v>
      </c>
      <c r="CC137" s="69" t="s">
        <v>160</v>
      </c>
      <c r="CD137" s="69" t="s">
        <v>160</v>
      </c>
      <c r="CE137" s="69" t="s">
        <v>160</v>
      </c>
      <c r="CF137" s="69" t="s">
        <v>160</v>
      </c>
      <c r="CG137" s="69" t="s">
        <v>160</v>
      </c>
      <c r="CH137" s="69" t="s">
        <v>160</v>
      </c>
      <c r="CI137" s="69" t="s">
        <v>160</v>
      </c>
      <c r="CJ137" s="69" t="s">
        <v>160</v>
      </c>
      <c r="CK137" s="69" t="s">
        <v>160</v>
      </c>
      <c r="CL137" s="69" t="s">
        <v>160</v>
      </c>
      <c r="CM137" s="69" t="s">
        <v>160</v>
      </c>
      <c r="CN137" s="69" t="s">
        <v>160</v>
      </c>
      <c r="CO137" s="69" t="s">
        <v>160</v>
      </c>
      <c r="CP137" s="69" t="s">
        <v>160</v>
      </c>
      <c r="CQ137" s="69" t="s">
        <v>160</v>
      </c>
      <c r="CR137" s="69" t="s">
        <v>160</v>
      </c>
      <c r="CS137" s="69" t="s">
        <v>160</v>
      </c>
      <c r="CT137" s="69" t="s">
        <v>160</v>
      </c>
      <c r="CU137" s="69" t="s">
        <v>160</v>
      </c>
      <c r="CV137" s="69" t="s">
        <v>160</v>
      </c>
      <c r="CW137" s="69" t="s">
        <v>160</v>
      </c>
      <c r="CX137" s="69" t="s">
        <v>160</v>
      </c>
      <c r="CY137" s="69" t="s">
        <v>160</v>
      </c>
      <c r="CZ137" s="69" t="s">
        <v>160</v>
      </c>
      <c r="DA137" s="69" t="s">
        <v>160</v>
      </c>
      <c r="DB137" s="69" t="s">
        <v>160</v>
      </c>
      <c r="DC137" s="69" t="s">
        <v>160</v>
      </c>
      <c r="DD137" s="69" t="s">
        <v>160</v>
      </c>
      <c r="DE137" s="69" t="s">
        <v>160</v>
      </c>
      <c r="DF137" s="69" t="s">
        <v>160</v>
      </c>
      <c r="DG137" s="69" t="s">
        <v>160</v>
      </c>
      <c r="DH137" s="69" t="s">
        <v>160</v>
      </c>
      <c r="DI137" s="69" t="s">
        <v>160</v>
      </c>
      <c r="DJ137" s="69" t="s">
        <v>160</v>
      </c>
      <c r="DK137" s="69" t="s">
        <v>160</v>
      </c>
      <c r="DL137" s="69" t="s">
        <v>160</v>
      </c>
      <c r="DM137" s="69" t="s">
        <v>160</v>
      </c>
      <c r="DN137" s="69" t="s">
        <v>160</v>
      </c>
      <c r="DO137" s="69" t="s">
        <v>160</v>
      </c>
      <c r="DP137" s="69" t="s">
        <v>160</v>
      </c>
      <c r="DQ137" s="69" t="s">
        <v>160</v>
      </c>
      <c r="DR137" s="69" t="s">
        <v>160</v>
      </c>
      <c r="DS137" s="69" t="s">
        <v>160</v>
      </c>
      <c r="DT137" s="69" t="s">
        <v>160</v>
      </c>
      <c r="DU137" s="69" t="s">
        <v>160</v>
      </c>
      <c r="DV137" s="69" t="s">
        <v>160</v>
      </c>
      <c r="DW137" s="69" t="s">
        <v>160</v>
      </c>
      <c r="DX137" s="69" t="s">
        <v>160</v>
      </c>
      <c r="DY137" s="69" t="s">
        <v>160</v>
      </c>
      <c r="DZ137" s="69" t="s">
        <v>160</v>
      </c>
      <c r="EA137" s="69" t="s">
        <v>160</v>
      </c>
      <c r="EB137" s="69" t="s">
        <v>160</v>
      </c>
      <c r="EC137" s="69" t="s">
        <v>160</v>
      </c>
      <c r="ED137" s="69" t="s">
        <v>160</v>
      </c>
      <c r="EE137" s="69" t="s">
        <v>160</v>
      </c>
      <c r="EF137" s="69" t="s">
        <v>160</v>
      </c>
      <c r="EG137" s="69" t="s">
        <v>160</v>
      </c>
      <c r="EH137" s="69" t="s">
        <v>160</v>
      </c>
      <c r="EI137" s="69" t="s">
        <v>160</v>
      </c>
      <c r="EJ137" s="69" t="s">
        <v>160</v>
      </c>
      <c r="EK137" s="69" t="s">
        <v>160</v>
      </c>
      <c r="EL137" s="69" t="s">
        <v>160</v>
      </c>
      <c r="EM137" s="69" t="s">
        <v>160</v>
      </c>
      <c r="EN137" s="69" t="s">
        <v>160</v>
      </c>
      <c r="EO137" s="69" t="s">
        <v>160</v>
      </c>
      <c r="EP137" s="69" t="s">
        <v>160</v>
      </c>
      <c r="EQ137" s="69" t="s">
        <v>160</v>
      </c>
      <c r="ER137" s="69" t="s">
        <v>160</v>
      </c>
      <c r="ES137" s="69" t="s">
        <v>160</v>
      </c>
      <c r="ET137" s="69" t="s">
        <v>160</v>
      </c>
      <c r="EU137" s="69" t="s">
        <v>160</v>
      </c>
      <c r="EV137" s="69" t="s">
        <v>160</v>
      </c>
      <c r="EW137" s="69" t="s">
        <v>160</v>
      </c>
      <c r="EX137" s="69" t="s">
        <v>160</v>
      </c>
      <c r="EY137" s="69" t="s">
        <v>160</v>
      </c>
      <c r="EZ137" s="69" t="s">
        <v>160</v>
      </c>
      <c r="FA137" s="69" t="s">
        <v>160</v>
      </c>
      <c r="FB137" s="69" t="s">
        <v>160</v>
      </c>
      <c r="FC137" s="69" t="s">
        <v>160</v>
      </c>
      <c r="FD137" s="69" t="s">
        <v>160</v>
      </c>
    </row>
    <row r="138" spans="1:160">
      <c r="A138" s="103" t="s">
        <v>538</v>
      </c>
      <c r="B138" s="20" t="s">
        <v>163</v>
      </c>
      <c r="C138" s="91" t="s">
        <v>175</v>
      </c>
      <c r="G138" s="51" t="str">
        <f t="shared" si="19"/>
        <v>Product usage guide with examples for all the functional usecases</v>
      </c>
      <c r="H138" s="51" t="s">
        <v>2</v>
      </c>
      <c r="I138" s="64">
        <v>44835</v>
      </c>
      <c r="J138" s="64">
        <v>44924</v>
      </c>
      <c r="K138" s="64"/>
      <c r="L138" s="64"/>
      <c r="M138" s="64"/>
      <c r="N138" s="64" t="b">
        <f t="shared" si="20"/>
        <v>0</v>
      </c>
      <c r="O138" s="64"/>
      <c r="P138" s="24">
        <v>0</v>
      </c>
      <c r="R138" s="51" t="s">
        <v>2</v>
      </c>
      <c r="S138" s="68" t="s">
        <v>160</v>
      </c>
      <c r="T138" s="69" t="s">
        <v>160</v>
      </c>
      <c r="U138" s="69" t="s">
        <v>160</v>
      </c>
      <c r="V138" s="69" t="s">
        <v>160</v>
      </c>
      <c r="W138" s="69" t="s">
        <v>160</v>
      </c>
      <c r="X138" s="69" t="s">
        <v>160</v>
      </c>
      <c r="Y138" s="69" t="s">
        <v>160</v>
      </c>
      <c r="Z138" s="69" t="s">
        <v>160</v>
      </c>
      <c r="AA138" s="69" t="s">
        <v>160</v>
      </c>
      <c r="AB138" s="69" t="s">
        <v>160</v>
      </c>
      <c r="AC138" s="69" t="s">
        <v>160</v>
      </c>
      <c r="AD138" s="69" t="s">
        <v>160</v>
      </c>
      <c r="AE138" s="69" t="s">
        <v>160</v>
      </c>
      <c r="AF138" s="69" t="s">
        <v>160</v>
      </c>
      <c r="AG138" s="69" t="s">
        <v>160</v>
      </c>
      <c r="AH138" s="69" t="s">
        <v>160</v>
      </c>
      <c r="AI138" s="69" t="s">
        <v>160</v>
      </c>
      <c r="AJ138" s="69" t="s">
        <v>160</v>
      </c>
      <c r="AK138" s="69" t="s">
        <v>160</v>
      </c>
      <c r="AL138" s="69" t="s">
        <v>160</v>
      </c>
      <c r="AM138" s="69" t="s">
        <v>160</v>
      </c>
      <c r="AN138" s="69" t="s">
        <v>160</v>
      </c>
      <c r="AO138" s="69" t="s">
        <v>160</v>
      </c>
      <c r="AP138" s="69" t="s">
        <v>160</v>
      </c>
      <c r="AQ138" s="69" t="s">
        <v>160</v>
      </c>
      <c r="AR138" s="69" t="s">
        <v>160</v>
      </c>
      <c r="AS138" s="69" t="s">
        <v>160</v>
      </c>
      <c r="AT138" s="69" t="s">
        <v>160</v>
      </c>
      <c r="AU138" s="69" t="s">
        <v>160</v>
      </c>
      <c r="AV138" s="69" t="s">
        <v>160</v>
      </c>
      <c r="AW138" s="69" t="s">
        <v>160</v>
      </c>
      <c r="AX138" s="69" t="s">
        <v>160</v>
      </c>
      <c r="AY138" s="69" t="s">
        <v>160</v>
      </c>
      <c r="AZ138" s="69" t="s">
        <v>160</v>
      </c>
      <c r="BA138" s="69" t="s">
        <v>160</v>
      </c>
      <c r="BB138" s="69" t="s">
        <v>160</v>
      </c>
      <c r="BC138" s="69" t="s">
        <v>160</v>
      </c>
      <c r="BD138" s="69" t="s">
        <v>160</v>
      </c>
      <c r="BE138" s="69" t="s">
        <v>160</v>
      </c>
      <c r="BF138" s="69" t="s">
        <v>160</v>
      </c>
      <c r="BG138" s="69" t="s">
        <v>160</v>
      </c>
      <c r="BH138" s="69" t="s">
        <v>160</v>
      </c>
      <c r="BI138" s="69" t="s">
        <v>160</v>
      </c>
      <c r="BJ138" s="69" t="s">
        <v>160</v>
      </c>
      <c r="BK138" s="69" t="s">
        <v>160</v>
      </c>
      <c r="BL138" s="69" t="s">
        <v>160</v>
      </c>
      <c r="BM138" s="69" t="s">
        <v>160</v>
      </c>
      <c r="BN138" s="69" t="s">
        <v>160</v>
      </c>
      <c r="BO138" s="69" t="s">
        <v>160</v>
      </c>
      <c r="BP138" s="69" t="s">
        <v>160</v>
      </c>
      <c r="BQ138" s="69" t="s">
        <v>160</v>
      </c>
      <c r="BR138" s="69" t="s">
        <v>160</v>
      </c>
      <c r="BS138" s="69" t="s">
        <v>160</v>
      </c>
      <c r="BT138" s="69" t="s">
        <v>160</v>
      </c>
      <c r="BU138" s="69" t="s">
        <v>160</v>
      </c>
      <c r="BV138" s="69" t="s">
        <v>160</v>
      </c>
      <c r="BW138" s="69" t="s">
        <v>160</v>
      </c>
      <c r="BX138" s="69" t="s">
        <v>160</v>
      </c>
      <c r="BY138" s="69" t="s">
        <v>160</v>
      </c>
      <c r="BZ138" s="69" t="s">
        <v>160</v>
      </c>
      <c r="CA138" s="69" t="s">
        <v>160</v>
      </c>
      <c r="CB138" s="69" t="s">
        <v>160</v>
      </c>
      <c r="CC138" s="69" t="s">
        <v>160</v>
      </c>
      <c r="CD138" s="69" t="s">
        <v>160</v>
      </c>
      <c r="CE138" s="69" t="s">
        <v>160</v>
      </c>
      <c r="CF138" s="69" t="s">
        <v>160</v>
      </c>
      <c r="CG138" s="69" t="s">
        <v>160</v>
      </c>
      <c r="CH138" s="69" t="s">
        <v>160</v>
      </c>
      <c r="CI138" s="69" t="s">
        <v>160</v>
      </c>
      <c r="CJ138" s="69" t="s">
        <v>160</v>
      </c>
      <c r="CK138" s="69" t="s">
        <v>160</v>
      </c>
      <c r="CL138" s="69" t="s">
        <v>160</v>
      </c>
      <c r="CM138" s="69" t="s">
        <v>160</v>
      </c>
      <c r="CN138" s="69" t="s">
        <v>160</v>
      </c>
      <c r="CO138" s="69" t="s">
        <v>160</v>
      </c>
      <c r="CP138" s="69" t="s">
        <v>160</v>
      </c>
      <c r="CQ138" s="69" t="s">
        <v>160</v>
      </c>
      <c r="CR138" s="69" t="s">
        <v>160</v>
      </c>
      <c r="CS138" s="69" t="s">
        <v>160</v>
      </c>
      <c r="CT138" s="69" t="s">
        <v>160</v>
      </c>
      <c r="CU138" s="69" t="s">
        <v>160</v>
      </c>
      <c r="CV138" s="69" t="s">
        <v>160</v>
      </c>
      <c r="CW138" s="69" t="s">
        <v>160</v>
      </c>
      <c r="CX138" s="69" t="s">
        <v>160</v>
      </c>
      <c r="CY138" s="69" t="s">
        <v>160</v>
      </c>
      <c r="CZ138" s="69" t="s">
        <v>160</v>
      </c>
      <c r="DA138" s="69" t="s">
        <v>160</v>
      </c>
      <c r="DB138" s="69" t="s">
        <v>160</v>
      </c>
      <c r="DC138" s="69" t="s">
        <v>160</v>
      </c>
      <c r="DD138" s="69" t="s">
        <v>160</v>
      </c>
      <c r="DE138" s="69" t="s">
        <v>160</v>
      </c>
      <c r="DF138" s="69" t="s">
        <v>160</v>
      </c>
      <c r="DG138" s="69" t="s">
        <v>160</v>
      </c>
      <c r="DH138" s="69" t="s">
        <v>160</v>
      </c>
      <c r="DI138" s="69" t="s">
        <v>160</v>
      </c>
      <c r="DJ138" s="69" t="s">
        <v>160</v>
      </c>
      <c r="DK138" s="69" t="s">
        <v>160</v>
      </c>
      <c r="DL138" s="69" t="s">
        <v>160</v>
      </c>
      <c r="DM138" s="69" t="s">
        <v>160</v>
      </c>
      <c r="DN138" s="69" t="s">
        <v>160</v>
      </c>
      <c r="DO138" s="69" t="s">
        <v>160</v>
      </c>
      <c r="DP138" s="69" t="s">
        <v>160</v>
      </c>
      <c r="DQ138" s="69" t="s">
        <v>160</v>
      </c>
      <c r="DR138" s="69" t="s">
        <v>160</v>
      </c>
      <c r="DS138" s="69" t="s">
        <v>160</v>
      </c>
      <c r="DT138" s="69" t="s">
        <v>160</v>
      </c>
      <c r="DU138" s="69" t="s">
        <v>160</v>
      </c>
      <c r="DV138" s="69" t="s">
        <v>160</v>
      </c>
      <c r="DW138" s="69" t="s">
        <v>160</v>
      </c>
      <c r="DX138" s="69" t="s">
        <v>160</v>
      </c>
      <c r="DY138" s="69" t="s">
        <v>160</v>
      </c>
      <c r="DZ138" s="69" t="s">
        <v>160</v>
      </c>
      <c r="EA138" s="69" t="s">
        <v>160</v>
      </c>
      <c r="EB138" s="69" t="s">
        <v>160</v>
      </c>
      <c r="EC138" s="69" t="s">
        <v>160</v>
      </c>
      <c r="ED138" s="69" t="s">
        <v>160</v>
      </c>
      <c r="EE138" s="69" t="s">
        <v>160</v>
      </c>
      <c r="EF138" s="69" t="s">
        <v>160</v>
      </c>
      <c r="EG138" s="69" t="s">
        <v>160</v>
      </c>
      <c r="EH138" s="69" t="s">
        <v>160</v>
      </c>
      <c r="EI138" s="69" t="s">
        <v>160</v>
      </c>
      <c r="EJ138" s="69" t="s">
        <v>160</v>
      </c>
      <c r="EK138" s="69" t="s">
        <v>160</v>
      </c>
      <c r="EL138" s="69" t="s">
        <v>160</v>
      </c>
      <c r="EM138" s="69" t="s">
        <v>160</v>
      </c>
      <c r="EN138" s="69" t="s">
        <v>160</v>
      </c>
      <c r="EO138" s="69" t="s">
        <v>160</v>
      </c>
      <c r="EP138" s="69" t="s">
        <v>160</v>
      </c>
      <c r="EQ138" s="69" t="s">
        <v>160</v>
      </c>
      <c r="ER138" s="69" t="s">
        <v>160</v>
      </c>
      <c r="ES138" s="69" t="s">
        <v>160</v>
      </c>
      <c r="ET138" s="69" t="s">
        <v>160</v>
      </c>
      <c r="EU138" s="69" t="s">
        <v>160</v>
      </c>
      <c r="EV138" s="69" t="s">
        <v>160</v>
      </c>
      <c r="EW138" s="69" t="s">
        <v>160</v>
      </c>
      <c r="EX138" s="69" t="s">
        <v>160</v>
      </c>
      <c r="EY138" s="69" t="s">
        <v>160</v>
      </c>
      <c r="EZ138" s="69" t="s">
        <v>160</v>
      </c>
      <c r="FA138" s="69" t="s">
        <v>160</v>
      </c>
      <c r="FB138" s="69" t="s">
        <v>160</v>
      </c>
      <c r="FC138" s="69" t="s">
        <v>160</v>
      </c>
      <c r="FD138" s="69" t="s">
        <v>160</v>
      </c>
    </row>
    <row r="139" spans="1:160" s="71" customFormat="1" ht="18.5" thickBot="1">
      <c r="A139" s="104" t="s">
        <v>539</v>
      </c>
      <c r="B139" s="105" t="s">
        <v>163</v>
      </c>
      <c r="C139" s="92" t="s">
        <v>176</v>
      </c>
      <c r="G139" s="71" t="str">
        <f t="shared" si="19"/>
        <v xml:space="preserve">Test report </v>
      </c>
      <c r="H139" s="71" t="s">
        <v>2</v>
      </c>
      <c r="I139" s="72">
        <v>44835</v>
      </c>
      <c r="J139" s="72">
        <v>44924</v>
      </c>
      <c r="K139" s="72"/>
      <c r="L139" s="72"/>
      <c r="M139" s="72"/>
      <c r="N139" s="72" t="b">
        <f t="shared" si="20"/>
        <v>0</v>
      </c>
      <c r="O139" s="72"/>
      <c r="P139" s="89">
        <v>0</v>
      </c>
      <c r="Q139" s="89"/>
      <c r="R139" s="71" t="s">
        <v>2</v>
      </c>
      <c r="S139" s="74" t="s">
        <v>160</v>
      </c>
      <c r="T139" s="75" t="s">
        <v>160</v>
      </c>
      <c r="U139" s="75" t="s">
        <v>160</v>
      </c>
      <c r="V139" s="75" t="s">
        <v>160</v>
      </c>
      <c r="W139" s="75" t="s">
        <v>160</v>
      </c>
      <c r="X139" s="75" t="s">
        <v>160</v>
      </c>
      <c r="Y139" s="75" t="s">
        <v>160</v>
      </c>
      <c r="Z139" s="75" t="s">
        <v>160</v>
      </c>
      <c r="AA139" s="75" t="s">
        <v>160</v>
      </c>
      <c r="AB139" s="75" t="s">
        <v>160</v>
      </c>
      <c r="AC139" s="75" t="s">
        <v>160</v>
      </c>
      <c r="AD139" s="75" t="s">
        <v>160</v>
      </c>
      <c r="AE139" s="75" t="s">
        <v>160</v>
      </c>
      <c r="AF139" s="75" t="s">
        <v>160</v>
      </c>
      <c r="AG139" s="75" t="s">
        <v>160</v>
      </c>
      <c r="AH139" s="75" t="s">
        <v>160</v>
      </c>
      <c r="AI139" s="75" t="s">
        <v>160</v>
      </c>
      <c r="AJ139" s="75" t="s">
        <v>160</v>
      </c>
      <c r="AK139" s="75" t="s">
        <v>160</v>
      </c>
      <c r="AL139" s="75" t="s">
        <v>160</v>
      </c>
      <c r="AM139" s="75" t="s">
        <v>160</v>
      </c>
      <c r="AN139" s="75" t="s">
        <v>160</v>
      </c>
      <c r="AO139" s="75" t="s">
        <v>160</v>
      </c>
      <c r="AP139" s="75" t="s">
        <v>160</v>
      </c>
      <c r="AQ139" s="75" t="s">
        <v>160</v>
      </c>
      <c r="AR139" s="75" t="s">
        <v>160</v>
      </c>
      <c r="AS139" s="75" t="s">
        <v>160</v>
      </c>
      <c r="AT139" s="75" t="s">
        <v>160</v>
      </c>
      <c r="AU139" s="75" t="s">
        <v>160</v>
      </c>
      <c r="AV139" s="75" t="s">
        <v>160</v>
      </c>
      <c r="AW139" s="75" t="s">
        <v>160</v>
      </c>
      <c r="AX139" s="75" t="s">
        <v>160</v>
      </c>
      <c r="AY139" s="75" t="s">
        <v>160</v>
      </c>
      <c r="AZ139" s="75" t="s">
        <v>160</v>
      </c>
      <c r="BA139" s="75" t="s">
        <v>160</v>
      </c>
      <c r="BB139" s="75" t="s">
        <v>160</v>
      </c>
      <c r="BC139" s="75" t="s">
        <v>160</v>
      </c>
      <c r="BD139" s="75" t="s">
        <v>160</v>
      </c>
      <c r="BE139" s="75" t="s">
        <v>160</v>
      </c>
      <c r="BF139" s="75" t="s">
        <v>160</v>
      </c>
      <c r="BG139" s="75" t="s">
        <v>160</v>
      </c>
      <c r="BH139" s="75" t="s">
        <v>160</v>
      </c>
      <c r="BI139" s="75" t="s">
        <v>160</v>
      </c>
      <c r="BJ139" s="75" t="s">
        <v>160</v>
      </c>
      <c r="BK139" s="75" t="s">
        <v>160</v>
      </c>
      <c r="BL139" s="75" t="s">
        <v>160</v>
      </c>
      <c r="BM139" s="75" t="s">
        <v>160</v>
      </c>
      <c r="BN139" s="75" t="s">
        <v>160</v>
      </c>
      <c r="BO139" s="75" t="s">
        <v>160</v>
      </c>
      <c r="BP139" s="75" t="s">
        <v>160</v>
      </c>
      <c r="BQ139" s="75" t="s">
        <v>160</v>
      </c>
      <c r="BR139" s="75" t="s">
        <v>160</v>
      </c>
      <c r="BS139" s="75" t="s">
        <v>160</v>
      </c>
      <c r="BT139" s="75" t="s">
        <v>160</v>
      </c>
      <c r="BU139" s="75" t="s">
        <v>160</v>
      </c>
      <c r="BV139" s="75" t="s">
        <v>160</v>
      </c>
      <c r="BW139" s="75" t="s">
        <v>160</v>
      </c>
      <c r="BX139" s="75" t="s">
        <v>160</v>
      </c>
      <c r="BY139" s="75" t="s">
        <v>160</v>
      </c>
      <c r="BZ139" s="75" t="s">
        <v>160</v>
      </c>
      <c r="CA139" s="75" t="s">
        <v>160</v>
      </c>
      <c r="CB139" s="75" t="s">
        <v>160</v>
      </c>
      <c r="CC139" s="75" t="s">
        <v>160</v>
      </c>
      <c r="CD139" s="75" t="s">
        <v>160</v>
      </c>
      <c r="CE139" s="75" t="s">
        <v>160</v>
      </c>
      <c r="CF139" s="75" t="s">
        <v>160</v>
      </c>
      <c r="CG139" s="75" t="s">
        <v>160</v>
      </c>
      <c r="CH139" s="75" t="s">
        <v>160</v>
      </c>
      <c r="CI139" s="75" t="s">
        <v>160</v>
      </c>
      <c r="CJ139" s="75" t="s">
        <v>160</v>
      </c>
      <c r="CK139" s="75" t="s">
        <v>160</v>
      </c>
      <c r="CL139" s="75" t="s">
        <v>160</v>
      </c>
      <c r="CM139" s="75" t="s">
        <v>160</v>
      </c>
      <c r="CN139" s="75" t="s">
        <v>160</v>
      </c>
      <c r="CO139" s="75" t="s">
        <v>160</v>
      </c>
      <c r="CP139" s="75" t="s">
        <v>160</v>
      </c>
      <c r="CQ139" s="75" t="s">
        <v>160</v>
      </c>
      <c r="CR139" s="75" t="s">
        <v>160</v>
      </c>
      <c r="CS139" s="75" t="s">
        <v>160</v>
      </c>
      <c r="CT139" s="75" t="s">
        <v>160</v>
      </c>
      <c r="CU139" s="75" t="s">
        <v>160</v>
      </c>
      <c r="CV139" s="75" t="s">
        <v>160</v>
      </c>
      <c r="CW139" s="75" t="s">
        <v>160</v>
      </c>
      <c r="CX139" s="75" t="s">
        <v>160</v>
      </c>
      <c r="CY139" s="75" t="s">
        <v>160</v>
      </c>
      <c r="CZ139" s="75" t="s">
        <v>160</v>
      </c>
      <c r="DA139" s="75" t="s">
        <v>160</v>
      </c>
      <c r="DB139" s="75" t="s">
        <v>160</v>
      </c>
      <c r="DC139" s="75" t="s">
        <v>160</v>
      </c>
      <c r="DD139" s="75" t="s">
        <v>160</v>
      </c>
      <c r="DE139" s="75" t="s">
        <v>160</v>
      </c>
      <c r="DF139" s="75" t="s">
        <v>160</v>
      </c>
      <c r="DG139" s="75" t="s">
        <v>160</v>
      </c>
      <c r="DH139" s="75" t="s">
        <v>160</v>
      </c>
      <c r="DI139" s="75" t="s">
        <v>160</v>
      </c>
      <c r="DJ139" s="75" t="s">
        <v>160</v>
      </c>
      <c r="DK139" s="75" t="s">
        <v>160</v>
      </c>
      <c r="DL139" s="75" t="s">
        <v>160</v>
      </c>
      <c r="DM139" s="75" t="s">
        <v>160</v>
      </c>
      <c r="DN139" s="75" t="s">
        <v>160</v>
      </c>
      <c r="DO139" s="75" t="s">
        <v>160</v>
      </c>
      <c r="DP139" s="75" t="s">
        <v>160</v>
      </c>
      <c r="DQ139" s="75" t="s">
        <v>160</v>
      </c>
      <c r="DR139" s="75" t="s">
        <v>160</v>
      </c>
      <c r="DS139" s="75" t="s">
        <v>160</v>
      </c>
      <c r="DT139" s="75" t="s">
        <v>160</v>
      </c>
      <c r="DU139" s="75" t="s">
        <v>160</v>
      </c>
      <c r="DV139" s="75" t="s">
        <v>160</v>
      </c>
      <c r="DW139" s="75" t="s">
        <v>160</v>
      </c>
      <c r="DX139" s="75" t="s">
        <v>160</v>
      </c>
      <c r="DY139" s="75" t="s">
        <v>160</v>
      </c>
      <c r="DZ139" s="75" t="s">
        <v>160</v>
      </c>
      <c r="EA139" s="75" t="s">
        <v>160</v>
      </c>
      <c r="EB139" s="75" t="s">
        <v>160</v>
      </c>
      <c r="EC139" s="75" t="s">
        <v>160</v>
      </c>
      <c r="ED139" s="75" t="s">
        <v>160</v>
      </c>
      <c r="EE139" s="75" t="s">
        <v>160</v>
      </c>
      <c r="EF139" s="75" t="s">
        <v>160</v>
      </c>
      <c r="EG139" s="75" t="s">
        <v>160</v>
      </c>
      <c r="EH139" s="75" t="s">
        <v>160</v>
      </c>
      <c r="EI139" s="75" t="s">
        <v>160</v>
      </c>
      <c r="EJ139" s="75" t="s">
        <v>160</v>
      </c>
      <c r="EK139" s="75" t="s">
        <v>160</v>
      </c>
      <c r="EL139" s="75" t="s">
        <v>160</v>
      </c>
      <c r="EM139" s="75" t="s">
        <v>160</v>
      </c>
      <c r="EN139" s="75" t="s">
        <v>160</v>
      </c>
      <c r="EO139" s="75" t="s">
        <v>160</v>
      </c>
      <c r="EP139" s="75" t="s">
        <v>160</v>
      </c>
      <c r="EQ139" s="75" t="s">
        <v>160</v>
      </c>
      <c r="ER139" s="75" t="s">
        <v>160</v>
      </c>
      <c r="ES139" s="75" t="s">
        <v>160</v>
      </c>
      <c r="ET139" s="75" t="s">
        <v>160</v>
      </c>
      <c r="EU139" s="75" t="s">
        <v>160</v>
      </c>
      <c r="EV139" s="75" t="s">
        <v>160</v>
      </c>
      <c r="EW139" s="75" t="s">
        <v>160</v>
      </c>
      <c r="EX139" s="75" t="s">
        <v>160</v>
      </c>
      <c r="EY139" s="75" t="s">
        <v>160</v>
      </c>
      <c r="EZ139" s="75" t="s">
        <v>160</v>
      </c>
      <c r="FA139" s="75" t="s">
        <v>160</v>
      </c>
      <c r="FB139" s="75" t="s">
        <v>160</v>
      </c>
      <c r="FC139" s="75" t="s">
        <v>160</v>
      </c>
      <c r="FD139" s="75" t="s">
        <v>160</v>
      </c>
    </row>
    <row r="140" spans="1:160">
      <c r="A140" s="103" t="s">
        <v>540</v>
      </c>
      <c r="B140" s="20" t="s">
        <v>222</v>
      </c>
      <c r="G140" s="51" t="str">
        <f t="shared" si="19"/>
        <v>M18. Final Report</v>
      </c>
      <c r="H140" s="51" t="s">
        <v>2</v>
      </c>
      <c r="I140" s="64">
        <f ca="1">IF(SUM(I141:INDIRECT("I"&amp;$O140))=0,"",MIN(I141:INDIRECT("I"&amp;$O140)))</f>
        <v>45839</v>
      </c>
      <c r="J140" s="64">
        <f ca="1">IF(SUM(J141:INDIRECT("J"&amp;$O140))=0,"",MAX(J141:INDIRECT("J"&amp;$O140)))</f>
        <v>45899</v>
      </c>
      <c r="K140" s="64" t="str">
        <f ca="1">IF(SUM(K141:INDIRECT("K"&amp;$O140))=0,"",MIN(K141:INDIRECT("K"&amp;$O140)))</f>
        <v/>
      </c>
      <c r="L140" s="64" t="str">
        <f ca="1">IF(SUM(L141:INDIRECT("L"&amp;$O140))=0,"",MAX(L141:INDIRECT("L"&amp;$O140)))</f>
        <v/>
      </c>
      <c r="M140" s="64" t="str">
        <f ca="1">IF(N140,TODAY(),IF(SUM(M141:INDIRECT("M"&amp;$O140))=0,"",MAX(M141:INDIRECT("M"&amp;$O140))))</f>
        <v/>
      </c>
      <c r="N140" s="64" t="b">
        <f ca="1">OR(N141:INDIRECT("N"&amp;O140))</f>
        <v>0</v>
      </c>
      <c r="O140" s="65">
        <f>ROW()+COUNTA(N141)</f>
        <v>141</v>
      </c>
      <c r="P140" s="66">
        <f>AVERAGE(P141:P141)</f>
        <v>0</v>
      </c>
      <c r="R140" s="51" t="s">
        <v>2</v>
      </c>
      <c r="S140" s="68" t="s">
        <v>160</v>
      </c>
      <c r="T140" s="69" t="s">
        <v>160</v>
      </c>
      <c r="U140" s="69" t="s">
        <v>160</v>
      </c>
      <c r="V140" s="69" t="s">
        <v>160</v>
      </c>
      <c r="W140" s="69" t="s">
        <v>160</v>
      </c>
      <c r="X140" s="69" t="s">
        <v>160</v>
      </c>
      <c r="Y140" s="69" t="s">
        <v>160</v>
      </c>
      <c r="Z140" s="69" t="s">
        <v>160</v>
      </c>
      <c r="AA140" s="69" t="s">
        <v>160</v>
      </c>
      <c r="AB140" s="69" t="s">
        <v>160</v>
      </c>
      <c r="AC140" s="69" t="s">
        <v>160</v>
      </c>
      <c r="AD140" s="69" t="s">
        <v>160</v>
      </c>
      <c r="AE140" s="69" t="s">
        <v>160</v>
      </c>
      <c r="AF140" s="69" t="s">
        <v>160</v>
      </c>
      <c r="AG140" s="69" t="s">
        <v>160</v>
      </c>
      <c r="AH140" s="69" t="s">
        <v>160</v>
      </c>
      <c r="AI140" s="69" t="s">
        <v>160</v>
      </c>
      <c r="AJ140" s="69" t="s">
        <v>160</v>
      </c>
      <c r="AK140" s="69" t="s">
        <v>160</v>
      </c>
      <c r="AL140" s="69" t="s">
        <v>160</v>
      </c>
      <c r="AM140" s="69" t="s">
        <v>160</v>
      </c>
      <c r="AN140" s="69" t="s">
        <v>160</v>
      </c>
      <c r="AO140" s="69" t="s">
        <v>160</v>
      </c>
      <c r="AP140" s="69" t="s">
        <v>160</v>
      </c>
      <c r="AQ140" s="69" t="s">
        <v>160</v>
      </c>
      <c r="AR140" s="69" t="s">
        <v>160</v>
      </c>
      <c r="AS140" s="69" t="s">
        <v>160</v>
      </c>
      <c r="AT140" s="69" t="s">
        <v>160</v>
      </c>
      <c r="AU140" s="69" t="s">
        <v>160</v>
      </c>
      <c r="AV140" s="69" t="s">
        <v>160</v>
      </c>
      <c r="AW140" s="69" t="s">
        <v>160</v>
      </c>
      <c r="AX140" s="69" t="s">
        <v>160</v>
      </c>
      <c r="AY140" s="69" t="s">
        <v>160</v>
      </c>
      <c r="AZ140" s="69" t="s">
        <v>160</v>
      </c>
      <c r="BA140" s="69" t="s">
        <v>160</v>
      </c>
      <c r="BB140" s="69" t="s">
        <v>160</v>
      </c>
      <c r="BC140" s="69" t="s">
        <v>160</v>
      </c>
      <c r="BD140" s="69" t="s">
        <v>160</v>
      </c>
      <c r="BE140" s="69" t="s">
        <v>160</v>
      </c>
      <c r="BF140" s="69" t="s">
        <v>160</v>
      </c>
      <c r="BG140" s="69" t="s">
        <v>160</v>
      </c>
      <c r="BH140" s="69" t="s">
        <v>160</v>
      </c>
      <c r="BI140" s="69" t="s">
        <v>160</v>
      </c>
      <c r="BJ140" s="69" t="s">
        <v>160</v>
      </c>
      <c r="BK140" s="69" t="s">
        <v>160</v>
      </c>
      <c r="BL140" s="69" t="s">
        <v>160</v>
      </c>
      <c r="BM140" s="69" t="s">
        <v>160</v>
      </c>
      <c r="BN140" s="69" t="s">
        <v>160</v>
      </c>
      <c r="BO140" s="69" t="s">
        <v>160</v>
      </c>
      <c r="BP140" s="69" t="s">
        <v>160</v>
      </c>
      <c r="BQ140" s="69" t="s">
        <v>160</v>
      </c>
      <c r="BR140" s="69" t="s">
        <v>160</v>
      </c>
      <c r="BS140" s="69" t="s">
        <v>160</v>
      </c>
      <c r="BT140" s="69" t="s">
        <v>160</v>
      </c>
      <c r="BU140" s="69" t="s">
        <v>160</v>
      </c>
      <c r="BV140" s="69" t="s">
        <v>160</v>
      </c>
      <c r="BW140" s="69" t="s">
        <v>160</v>
      </c>
      <c r="BX140" s="69" t="s">
        <v>160</v>
      </c>
      <c r="BY140" s="69" t="s">
        <v>160</v>
      </c>
      <c r="BZ140" s="69" t="s">
        <v>160</v>
      </c>
      <c r="CA140" s="69" t="s">
        <v>160</v>
      </c>
      <c r="CB140" s="69" t="s">
        <v>160</v>
      </c>
      <c r="CC140" s="69" t="s">
        <v>160</v>
      </c>
      <c r="CD140" s="69" t="s">
        <v>160</v>
      </c>
      <c r="CE140" s="69" t="s">
        <v>160</v>
      </c>
      <c r="CF140" s="69" t="s">
        <v>160</v>
      </c>
      <c r="CG140" s="69" t="s">
        <v>160</v>
      </c>
      <c r="CH140" s="69" t="s">
        <v>160</v>
      </c>
      <c r="CI140" s="69" t="s">
        <v>160</v>
      </c>
      <c r="CJ140" s="69" t="s">
        <v>160</v>
      </c>
      <c r="CK140" s="69" t="s">
        <v>160</v>
      </c>
      <c r="CL140" s="69" t="s">
        <v>160</v>
      </c>
      <c r="CM140" s="69" t="s">
        <v>160</v>
      </c>
      <c r="CN140" s="69" t="s">
        <v>160</v>
      </c>
      <c r="CO140" s="69" t="s">
        <v>160</v>
      </c>
      <c r="CP140" s="69" t="s">
        <v>160</v>
      </c>
      <c r="CQ140" s="69" t="s">
        <v>160</v>
      </c>
      <c r="CR140" s="69" t="s">
        <v>160</v>
      </c>
      <c r="CS140" s="69" t="s">
        <v>160</v>
      </c>
      <c r="CT140" s="69" t="s">
        <v>160</v>
      </c>
      <c r="CU140" s="69" t="s">
        <v>160</v>
      </c>
      <c r="CV140" s="69" t="s">
        <v>160</v>
      </c>
      <c r="CW140" s="69" t="s">
        <v>160</v>
      </c>
      <c r="CX140" s="69" t="s">
        <v>160</v>
      </c>
      <c r="CY140" s="69" t="s">
        <v>160</v>
      </c>
      <c r="CZ140" s="69" t="s">
        <v>160</v>
      </c>
      <c r="DA140" s="69" t="s">
        <v>160</v>
      </c>
      <c r="DB140" s="69" t="s">
        <v>160</v>
      </c>
      <c r="DC140" s="69" t="s">
        <v>160</v>
      </c>
      <c r="DD140" s="69" t="s">
        <v>160</v>
      </c>
      <c r="DE140" s="69" t="s">
        <v>160</v>
      </c>
      <c r="DF140" s="69" t="s">
        <v>160</v>
      </c>
      <c r="DG140" s="69" t="s">
        <v>160</v>
      </c>
      <c r="DH140" s="69" t="s">
        <v>160</v>
      </c>
      <c r="DI140" s="69" t="s">
        <v>160</v>
      </c>
      <c r="DJ140" s="69" t="s">
        <v>160</v>
      </c>
      <c r="DK140" s="69" t="s">
        <v>160</v>
      </c>
      <c r="DL140" s="69" t="s">
        <v>160</v>
      </c>
      <c r="DM140" s="69" t="s">
        <v>160</v>
      </c>
      <c r="DN140" s="69" t="s">
        <v>160</v>
      </c>
      <c r="DO140" s="69" t="s">
        <v>160</v>
      </c>
      <c r="DP140" s="69" t="s">
        <v>160</v>
      </c>
      <c r="DQ140" s="69" t="s">
        <v>160</v>
      </c>
      <c r="DR140" s="69" t="s">
        <v>160</v>
      </c>
      <c r="DS140" s="69" t="s">
        <v>160</v>
      </c>
      <c r="DT140" s="69" t="s">
        <v>160</v>
      </c>
      <c r="DU140" s="69" t="s">
        <v>160</v>
      </c>
      <c r="DV140" s="69" t="s">
        <v>160</v>
      </c>
      <c r="DW140" s="69" t="s">
        <v>160</v>
      </c>
      <c r="DX140" s="69" t="s">
        <v>160</v>
      </c>
      <c r="DY140" s="69" t="s">
        <v>160</v>
      </c>
      <c r="DZ140" s="69" t="s">
        <v>160</v>
      </c>
      <c r="EA140" s="69" t="s">
        <v>160</v>
      </c>
      <c r="EB140" s="69" t="s">
        <v>160</v>
      </c>
      <c r="EC140" s="69" t="s">
        <v>160</v>
      </c>
      <c r="ED140" s="69" t="s">
        <v>160</v>
      </c>
      <c r="EE140" s="69" t="s">
        <v>160</v>
      </c>
      <c r="EF140" s="69" t="s">
        <v>160</v>
      </c>
      <c r="EG140" s="69" t="s">
        <v>160</v>
      </c>
      <c r="EH140" s="69" t="s">
        <v>160</v>
      </c>
      <c r="EI140" s="69" t="s">
        <v>160</v>
      </c>
      <c r="EJ140" s="69" t="s">
        <v>160</v>
      </c>
      <c r="EK140" s="69" t="s">
        <v>160</v>
      </c>
      <c r="EL140" s="69" t="s">
        <v>160</v>
      </c>
      <c r="EM140" s="69" t="s">
        <v>160</v>
      </c>
      <c r="EN140" s="69" t="s">
        <v>160</v>
      </c>
      <c r="EO140" s="69" t="s">
        <v>160</v>
      </c>
      <c r="EP140" s="69" t="s">
        <v>160</v>
      </c>
      <c r="EQ140" s="69" t="s">
        <v>160</v>
      </c>
      <c r="ER140" s="69" t="s">
        <v>160</v>
      </c>
      <c r="ES140" s="69" t="s">
        <v>160</v>
      </c>
      <c r="ET140" s="69" t="s">
        <v>160</v>
      </c>
      <c r="EU140" s="69" t="s">
        <v>160</v>
      </c>
      <c r="EV140" s="69" t="s">
        <v>160</v>
      </c>
      <c r="EW140" s="69" t="s">
        <v>160</v>
      </c>
      <c r="EX140" s="69" t="s">
        <v>160</v>
      </c>
      <c r="EY140" s="69" t="s">
        <v>160</v>
      </c>
      <c r="EZ140" s="69" t="s">
        <v>160</v>
      </c>
      <c r="FA140" s="69" t="s">
        <v>160</v>
      </c>
      <c r="FB140" s="69" t="s">
        <v>160</v>
      </c>
      <c r="FC140" s="69" t="s">
        <v>160</v>
      </c>
      <c r="FD140" s="69" t="s">
        <v>160</v>
      </c>
    </row>
    <row r="141" spans="1:160" s="71" customFormat="1" ht="18.5" thickBot="1">
      <c r="A141" s="104" t="s">
        <v>541</v>
      </c>
      <c r="B141" s="105" t="s">
        <v>163</v>
      </c>
      <c r="C141" s="92" t="s">
        <v>223</v>
      </c>
      <c r="G141" s="71" t="str">
        <f t="shared" si="19"/>
        <v>Final version of WP4 report - compiled</v>
      </c>
      <c r="H141" s="71" t="s">
        <v>2</v>
      </c>
      <c r="I141" s="72">
        <v>45839</v>
      </c>
      <c r="J141" s="72">
        <v>45899</v>
      </c>
      <c r="K141" s="72"/>
      <c r="L141" s="72"/>
      <c r="M141" s="72"/>
      <c r="N141" s="72" t="b">
        <f t="shared" si="20"/>
        <v>0</v>
      </c>
      <c r="O141" s="72"/>
      <c r="P141" s="89">
        <v>0</v>
      </c>
      <c r="Q141" s="89"/>
      <c r="R141" s="71" t="s">
        <v>2</v>
      </c>
      <c r="S141" s="74" t="s">
        <v>160</v>
      </c>
      <c r="T141" s="75" t="s">
        <v>160</v>
      </c>
      <c r="U141" s="75" t="s">
        <v>160</v>
      </c>
      <c r="V141" s="75" t="s">
        <v>160</v>
      </c>
      <c r="W141" s="75" t="s">
        <v>160</v>
      </c>
      <c r="X141" s="75" t="s">
        <v>160</v>
      </c>
      <c r="Y141" s="75" t="s">
        <v>160</v>
      </c>
      <c r="Z141" s="75" t="s">
        <v>160</v>
      </c>
      <c r="AA141" s="75" t="s">
        <v>160</v>
      </c>
      <c r="AB141" s="75" t="s">
        <v>160</v>
      </c>
      <c r="AC141" s="75" t="s">
        <v>160</v>
      </c>
      <c r="AD141" s="75" t="s">
        <v>160</v>
      </c>
      <c r="AE141" s="75" t="s">
        <v>160</v>
      </c>
      <c r="AF141" s="75" t="s">
        <v>160</v>
      </c>
      <c r="AG141" s="75" t="s">
        <v>160</v>
      </c>
      <c r="AH141" s="75" t="s">
        <v>160</v>
      </c>
      <c r="AI141" s="75" t="s">
        <v>160</v>
      </c>
      <c r="AJ141" s="75" t="s">
        <v>160</v>
      </c>
      <c r="AK141" s="75" t="s">
        <v>160</v>
      </c>
      <c r="AL141" s="75" t="s">
        <v>160</v>
      </c>
      <c r="AM141" s="75" t="s">
        <v>160</v>
      </c>
      <c r="AN141" s="75" t="s">
        <v>160</v>
      </c>
      <c r="AO141" s="75" t="s">
        <v>160</v>
      </c>
      <c r="AP141" s="75" t="s">
        <v>160</v>
      </c>
      <c r="AQ141" s="75" t="s">
        <v>160</v>
      </c>
      <c r="AR141" s="75" t="s">
        <v>160</v>
      </c>
      <c r="AS141" s="75" t="s">
        <v>160</v>
      </c>
      <c r="AT141" s="75" t="s">
        <v>160</v>
      </c>
      <c r="AU141" s="75" t="s">
        <v>160</v>
      </c>
      <c r="AV141" s="75" t="s">
        <v>160</v>
      </c>
      <c r="AW141" s="75" t="s">
        <v>160</v>
      </c>
      <c r="AX141" s="75" t="s">
        <v>160</v>
      </c>
      <c r="AY141" s="75" t="s">
        <v>160</v>
      </c>
      <c r="AZ141" s="75" t="s">
        <v>160</v>
      </c>
      <c r="BA141" s="75" t="s">
        <v>160</v>
      </c>
      <c r="BB141" s="75" t="s">
        <v>160</v>
      </c>
      <c r="BC141" s="75" t="s">
        <v>160</v>
      </c>
      <c r="BD141" s="75" t="s">
        <v>160</v>
      </c>
      <c r="BE141" s="75" t="s">
        <v>160</v>
      </c>
      <c r="BF141" s="75" t="s">
        <v>160</v>
      </c>
      <c r="BG141" s="75" t="s">
        <v>160</v>
      </c>
      <c r="BH141" s="75" t="s">
        <v>160</v>
      </c>
      <c r="BI141" s="75" t="s">
        <v>160</v>
      </c>
      <c r="BJ141" s="75" t="s">
        <v>160</v>
      </c>
      <c r="BK141" s="75" t="s">
        <v>160</v>
      </c>
      <c r="BL141" s="75" t="s">
        <v>160</v>
      </c>
      <c r="BM141" s="75" t="s">
        <v>160</v>
      </c>
      <c r="BN141" s="75" t="s">
        <v>160</v>
      </c>
      <c r="BO141" s="75" t="s">
        <v>160</v>
      </c>
      <c r="BP141" s="75" t="s">
        <v>160</v>
      </c>
      <c r="BQ141" s="75" t="s">
        <v>160</v>
      </c>
      <c r="BR141" s="75" t="s">
        <v>160</v>
      </c>
      <c r="BS141" s="75" t="s">
        <v>160</v>
      </c>
      <c r="BT141" s="75" t="s">
        <v>160</v>
      </c>
      <c r="BU141" s="75" t="s">
        <v>160</v>
      </c>
      <c r="BV141" s="75" t="s">
        <v>160</v>
      </c>
      <c r="BW141" s="75" t="s">
        <v>160</v>
      </c>
      <c r="BX141" s="75" t="s">
        <v>160</v>
      </c>
      <c r="BY141" s="75" t="s">
        <v>160</v>
      </c>
      <c r="BZ141" s="75" t="s">
        <v>160</v>
      </c>
      <c r="CA141" s="75" t="s">
        <v>160</v>
      </c>
      <c r="CB141" s="75" t="s">
        <v>160</v>
      </c>
      <c r="CC141" s="75" t="s">
        <v>160</v>
      </c>
      <c r="CD141" s="75" t="s">
        <v>160</v>
      </c>
      <c r="CE141" s="75" t="s">
        <v>160</v>
      </c>
      <c r="CF141" s="75" t="s">
        <v>160</v>
      </c>
      <c r="CG141" s="75" t="s">
        <v>160</v>
      </c>
      <c r="CH141" s="75" t="s">
        <v>160</v>
      </c>
      <c r="CI141" s="75" t="s">
        <v>160</v>
      </c>
      <c r="CJ141" s="75" t="s">
        <v>160</v>
      </c>
      <c r="CK141" s="75" t="s">
        <v>160</v>
      </c>
      <c r="CL141" s="75" t="s">
        <v>160</v>
      </c>
      <c r="CM141" s="75" t="s">
        <v>160</v>
      </c>
      <c r="CN141" s="75" t="s">
        <v>160</v>
      </c>
      <c r="CO141" s="75" t="s">
        <v>160</v>
      </c>
      <c r="CP141" s="75" t="s">
        <v>160</v>
      </c>
      <c r="CQ141" s="75" t="s">
        <v>160</v>
      </c>
      <c r="CR141" s="75" t="s">
        <v>160</v>
      </c>
      <c r="CS141" s="75" t="s">
        <v>160</v>
      </c>
      <c r="CT141" s="75" t="s">
        <v>160</v>
      </c>
      <c r="CU141" s="75" t="s">
        <v>160</v>
      </c>
      <c r="CV141" s="75" t="s">
        <v>160</v>
      </c>
      <c r="CW141" s="75" t="s">
        <v>160</v>
      </c>
      <c r="CX141" s="75" t="s">
        <v>160</v>
      </c>
      <c r="CY141" s="75" t="s">
        <v>160</v>
      </c>
      <c r="CZ141" s="75" t="s">
        <v>160</v>
      </c>
      <c r="DA141" s="75" t="s">
        <v>160</v>
      </c>
      <c r="DB141" s="75" t="s">
        <v>160</v>
      </c>
      <c r="DC141" s="75" t="s">
        <v>160</v>
      </c>
      <c r="DD141" s="75" t="s">
        <v>160</v>
      </c>
      <c r="DE141" s="75" t="s">
        <v>160</v>
      </c>
      <c r="DF141" s="75" t="s">
        <v>160</v>
      </c>
      <c r="DG141" s="75" t="s">
        <v>160</v>
      </c>
      <c r="DH141" s="75" t="s">
        <v>160</v>
      </c>
      <c r="DI141" s="75" t="s">
        <v>160</v>
      </c>
      <c r="DJ141" s="75" t="s">
        <v>160</v>
      </c>
      <c r="DK141" s="75" t="s">
        <v>160</v>
      </c>
      <c r="DL141" s="75" t="s">
        <v>160</v>
      </c>
      <c r="DM141" s="75" t="s">
        <v>160</v>
      </c>
      <c r="DN141" s="75" t="s">
        <v>160</v>
      </c>
      <c r="DO141" s="75" t="s">
        <v>160</v>
      </c>
      <c r="DP141" s="75" t="s">
        <v>160</v>
      </c>
      <c r="DQ141" s="75" t="s">
        <v>160</v>
      </c>
      <c r="DR141" s="75" t="s">
        <v>160</v>
      </c>
      <c r="DS141" s="75" t="s">
        <v>160</v>
      </c>
      <c r="DT141" s="75" t="s">
        <v>160</v>
      </c>
      <c r="DU141" s="75" t="s">
        <v>160</v>
      </c>
      <c r="DV141" s="75" t="s">
        <v>160</v>
      </c>
      <c r="DW141" s="75" t="s">
        <v>160</v>
      </c>
      <c r="DX141" s="75" t="s">
        <v>160</v>
      </c>
      <c r="DY141" s="75" t="s">
        <v>160</v>
      </c>
      <c r="DZ141" s="75" t="s">
        <v>160</v>
      </c>
      <c r="EA141" s="75" t="s">
        <v>160</v>
      </c>
      <c r="EB141" s="75" t="s">
        <v>160</v>
      </c>
      <c r="EC141" s="75" t="s">
        <v>160</v>
      </c>
      <c r="ED141" s="75" t="s">
        <v>160</v>
      </c>
      <c r="EE141" s="75" t="s">
        <v>160</v>
      </c>
      <c r="EF141" s="75" t="s">
        <v>160</v>
      </c>
      <c r="EG141" s="75" t="s">
        <v>160</v>
      </c>
      <c r="EH141" s="75" t="s">
        <v>160</v>
      </c>
      <c r="EI141" s="75" t="s">
        <v>160</v>
      </c>
      <c r="EJ141" s="75" t="s">
        <v>160</v>
      </c>
      <c r="EK141" s="75" t="s">
        <v>160</v>
      </c>
      <c r="EL141" s="75" t="s">
        <v>160</v>
      </c>
      <c r="EM141" s="75" t="s">
        <v>160</v>
      </c>
      <c r="EN141" s="75" t="s">
        <v>160</v>
      </c>
      <c r="EO141" s="75" t="s">
        <v>160</v>
      </c>
      <c r="EP141" s="75" t="s">
        <v>160</v>
      </c>
      <c r="EQ141" s="75" t="s">
        <v>160</v>
      </c>
      <c r="ER141" s="75" t="s">
        <v>160</v>
      </c>
      <c r="ES141" s="75" t="s">
        <v>160</v>
      </c>
      <c r="ET141" s="75" t="s">
        <v>160</v>
      </c>
      <c r="EU141" s="75" t="s">
        <v>160</v>
      </c>
      <c r="EV141" s="75" t="s">
        <v>160</v>
      </c>
      <c r="EW141" s="75" t="s">
        <v>160</v>
      </c>
      <c r="EX141" s="75" t="s">
        <v>160</v>
      </c>
      <c r="EY141" s="75" t="s">
        <v>160</v>
      </c>
      <c r="EZ141" s="75" t="s">
        <v>160</v>
      </c>
      <c r="FA141" s="75" t="s">
        <v>160</v>
      </c>
      <c r="FB141" s="75" t="s">
        <v>160</v>
      </c>
      <c r="FC141" s="75" t="s">
        <v>160</v>
      </c>
      <c r="FD141" s="75" t="s">
        <v>160</v>
      </c>
    </row>
  </sheetData>
  <autoFilter ref="A3:Q139"/>
  <mergeCells count="12">
    <mergeCell ref="C40:F40"/>
    <mergeCell ref="C41:F41"/>
    <mergeCell ref="C35:F35"/>
    <mergeCell ref="C36:F36"/>
    <mergeCell ref="C37:F37"/>
    <mergeCell ref="C38:F38"/>
    <mergeCell ref="C39:F39"/>
    <mergeCell ref="C48:F48"/>
    <mergeCell ref="C49:F49"/>
    <mergeCell ref="C45:F45"/>
    <mergeCell ref="C46:F46"/>
    <mergeCell ref="C47:F47"/>
  </mergeCells>
  <conditionalFormatting sqref="P1:Q132 P140:Q1048576 Q133:Q139 P135:P139">
    <cfRule type="dataBar" priority="6">
      <dataBar>
        <cfvo type="percent" val="0"/>
        <cfvo type="percent" val="100"/>
        <color rgb="FFFFC000"/>
      </dataBar>
      <extLst>
        <ext xmlns:x14="http://schemas.microsoft.com/office/spreadsheetml/2009/9/main" uri="{B025F937-C7B1-47D3-B67F-A62EFF666E3E}">
          <x14:id>{912DD1F6-93C7-4C2D-AE19-070A6F9190A5}</x14:id>
        </ext>
      </extLst>
    </cfRule>
  </conditionalFormatting>
  <conditionalFormatting sqref="B45:C49 FE1:XFD1048576 P1:FD2 B50:F50 G45:H50 I31:O31 B31:H34 B42:H44 G38:G41 H35:H41 B35:C41 N32:O48 I39:I49 B30:O30 I50:O50 N1:O29 A1:M3 J39:M44 L45:M48 L49:O49 J45:K49 I32:M38 A142:FD1048576 P3:R132 P140:R141 Q133:R139 P135:P139 B4:M29 B51:O141">
    <cfRule type="containsText" dxfId="7" priority="4" operator="containsText" text="[?]">
      <formula>NOT(ISERROR(SEARCH("[?]",A1)))</formula>
    </cfRule>
    <cfRule type="expression" dxfId="6" priority="5">
      <formula>_xlfn.ISFORMULA(A1)</formula>
    </cfRule>
  </conditionalFormatting>
  <conditionalFormatting sqref="G35:G41">
    <cfRule type="containsText" dxfId="5" priority="2" operator="containsText" text="[?]">
      <formula>NOT(ISERROR(SEARCH("[?]",G35)))</formula>
    </cfRule>
    <cfRule type="expression" dxfId="4" priority="3">
      <formula>_xlfn.ISFORMULA(G35)</formula>
    </cfRule>
  </conditionalFormatting>
  <conditionalFormatting sqref="M1:M1048576">
    <cfRule type="containsText" dxfId="3" priority="1" operator="containsText" text="Waiting">
      <formula>NOT(ISERROR(SEARCH("Waiting",M1)))</formula>
    </cfRule>
  </conditionalFormatting>
  <hyperlinks>
    <hyperlink ref="C21" r:id="rId1"/>
    <hyperlink ref="C29" r:id="rId2"/>
    <hyperlink ref="B41" r:id="rId3"/>
    <hyperlink ref="B8" r:id="rId4"/>
    <hyperlink ref="B12" r:id="rId5"/>
    <hyperlink ref="C41" r:id="rId6"/>
    <hyperlink ref="B40" r:id="rId7"/>
    <hyperlink ref="B28" r:id="rId8"/>
    <hyperlink ref="B20" r:id="rId9"/>
    <hyperlink ref="B7" r:id="rId10"/>
    <hyperlink ref="B19" r:id="rId11"/>
    <hyperlink ref="B27" r:id="rId12"/>
    <hyperlink ref="B39" r:id="rId13"/>
    <hyperlink ref="B17" r:id="rId14"/>
    <hyperlink ref="B23" r:id="rId15"/>
    <hyperlink ref="B35" r:id="rId16"/>
    <hyperlink ref="B52" r:id="rId17"/>
    <hyperlink ref="B54" r:id="rId18"/>
    <hyperlink ref="B55" r:id="rId19"/>
    <hyperlink ref="B56" r:id="rId20"/>
    <hyperlink ref="B59" r:id="rId21"/>
    <hyperlink ref="B62" r:id="rId22"/>
    <hyperlink ref="B61" r:id="rId23"/>
    <hyperlink ref="B63" r:id="rId24"/>
  </hyperlinks>
  <pageMargins left="0.7" right="0.7" top="0.75" bottom="0.75" header="0.3" footer="0.3"/>
  <pageSetup paperSize="9" orientation="portrait" r:id="rId25"/>
  <legacyDrawing r:id="rId26"/>
  <extLst>
    <ext xmlns:x14="http://schemas.microsoft.com/office/spreadsheetml/2009/9/main" uri="{78C0D931-6437-407d-A8EE-F0AAD7539E65}">
      <x14:conditionalFormattings>
        <x14:conditionalFormatting xmlns:xm="http://schemas.microsoft.com/office/excel/2006/main">
          <x14:cfRule type="dataBar" id="{912DD1F6-93C7-4C2D-AE19-070A6F9190A5}">
            <x14:dataBar minLength="0" maxLength="100" gradient="0">
              <x14:cfvo type="percent">
                <xm:f>0</xm:f>
              </x14:cfvo>
              <x14:cfvo type="percent">
                <xm:f>100</xm:f>
              </x14:cfvo>
              <x14:negativeFillColor rgb="FFFF0000"/>
              <x14:axisColor rgb="FF000000"/>
            </x14:dataBar>
          </x14:cfRule>
          <xm:sqref>P1:Q132 P140:Q1048576 Q133:Q139 P135:P139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115"/>
  <sheetViews>
    <sheetView zoomScale="60" zoomScaleNormal="60" workbookViewId="0">
      <pane ySplit="2" topLeftCell="A550" activePane="bottomLeft" state="frozen"/>
      <selection pane="bottomLeft" activeCell="G1115" sqref="A2:G1115"/>
    </sheetView>
  </sheetViews>
  <sheetFormatPr defaultRowHeight="14.5"/>
  <cols>
    <col min="2" max="3" width="2.6328125" customWidth="1"/>
    <col min="5" max="5" width="18.81640625" style="110" customWidth="1"/>
    <col min="6" max="6" width="64.26953125" style="110" customWidth="1"/>
    <col min="7" max="7" width="2.6328125" customWidth="1"/>
    <col min="8" max="9" width="5" customWidth="1"/>
    <col min="10" max="10" width="9.6328125" style="99" customWidth="1"/>
    <col min="11" max="11" width="6.6328125" customWidth="1"/>
    <col min="12" max="12" width="5.1796875" style="98" customWidth="1"/>
  </cols>
  <sheetData>
    <row r="1" spans="1:13" ht="15" thickBot="1">
      <c r="B1" t="s">
        <v>365</v>
      </c>
      <c r="E1" s="110" t="s">
        <v>378</v>
      </c>
      <c r="F1" s="110" t="str">
        <f>"has formula"</f>
        <v>has formula</v>
      </c>
      <c r="I1" t="s">
        <v>544</v>
      </c>
      <c r="J1" s="97" t="s">
        <v>543</v>
      </c>
      <c r="K1" s="1" t="s">
        <v>542</v>
      </c>
      <c r="L1" s="96"/>
    </row>
    <row r="2" spans="1:13" ht="15" thickBot="1">
      <c r="A2" s="35"/>
      <c r="B2" s="26"/>
      <c r="C2" s="26" t="s">
        <v>360</v>
      </c>
      <c r="D2" s="26"/>
      <c r="E2" s="41"/>
      <c r="F2" s="41"/>
      <c r="G2" s="27"/>
      <c r="I2">
        <v>8</v>
      </c>
      <c r="J2" s="99">
        <v>2</v>
      </c>
    </row>
    <row r="3" spans="1:13">
      <c r="A3" s="31"/>
      <c r="B3" s="32"/>
      <c r="C3" s="32"/>
      <c r="D3" s="32" t="s">
        <v>361</v>
      </c>
      <c r="E3" s="114"/>
      <c r="F3" s="114"/>
      <c r="G3" s="33"/>
    </row>
    <row r="4" spans="1:13">
      <c r="A4" s="31"/>
      <c r="B4" s="32"/>
      <c r="C4" s="32"/>
      <c r="D4" s="32"/>
      <c r="E4" s="37" t="str">
        <f ca="1">"id: "&amp;K4</f>
        <v>id: "1"</v>
      </c>
      <c r="F4" s="37"/>
      <c r="G4" s="33" t="s">
        <v>366</v>
      </c>
      <c r="J4" s="101">
        <f>$J$2+COUNTA($J$1:J3)</f>
        <v>4</v>
      </c>
      <c r="K4" s="32" t="str">
        <f ca="1">CHAR(34)&amp;L4&amp;CHAR(34)&amp;IF(F10&lt;&gt;"","",CHAR(44))</f>
        <v>"1"</v>
      </c>
      <c r="L4" s="100" t="str">
        <f ca="1">INDIRECT("Dashboard!A"&amp;J4)</f>
        <v>1</v>
      </c>
      <c r="M4" s="32" t="str">
        <f ca="1">VLOOKUP(L4,Dashboard!A:G,7,FALSE)</f>
        <v>M0. Kick off - Benchmarking and project requirement analysis</v>
      </c>
    </row>
    <row r="5" spans="1:13">
      <c r="A5" s="31"/>
      <c r="B5" s="32"/>
      <c r="C5" s="32"/>
      <c r="D5" s="32"/>
      <c r="E5" s="37" t="s">
        <v>369</v>
      </c>
      <c r="F5" s="102">
        <f>IF(F10="",2,1)</f>
        <v>1</v>
      </c>
      <c r="G5" s="33" t="s">
        <v>366</v>
      </c>
    </row>
    <row r="6" spans="1:13">
      <c r="A6" s="31"/>
      <c r="B6" s="32"/>
      <c r="C6" s="32"/>
      <c r="D6" s="32"/>
      <c r="E6" s="37" t="s">
        <v>368</v>
      </c>
      <c r="F6" s="37" t="str">
        <f ca="1">M4</f>
        <v>M0. Kick off - Benchmarking and project requirement analysis</v>
      </c>
      <c r="G6" s="33" t="s">
        <v>367</v>
      </c>
    </row>
    <row r="7" spans="1:13">
      <c r="A7" s="31"/>
      <c r="B7" s="32"/>
      <c r="C7" s="32"/>
      <c r="D7" s="32"/>
      <c r="E7" s="37" t="s">
        <v>374</v>
      </c>
      <c r="F7" s="37"/>
      <c r="G7" s="33" t="s">
        <v>367</v>
      </c>
    </row>
    <row r="8" spans="1:13">
      <c r="A8" s="31"/>
      <c r="B8" s="32"/>
      <c r="C8" s="32"/>
      <c r="D8" s="32"/>
      <c r="E8" s="37" t="s">
        <v>395</v>
      </c>
      <c r="F8" s="37" t="s">
        <v>394</v>
      </c>
      <c r="G8" s="33" t="s">
        <v>366</v>
      </c>
      <c r="H8" s="32"/>
      <c r="I8" s="32"/>
      <c r="K8" s="32"/>
    </row>
    <row r="9" spans="1:13">
      <c r="A9" s="31"/>
      <c r="B9" s="32"/>
      <c r="C9" s="32"/>
      <c r="D9" s="32"/>
      <c r="E9" s="37" t="s">
        <v>386</v>
      </c>
      <c r="F9" s="37" t="str">
        <f ca="1">IF(VLOOKUP(L4,Dashboard!A:G,2,FALSE)&lt;&gt;"","'plan': true"&amp;CHAR(44)&amp;"'actual': false","")</f>
        <v>'plan': true,'actual': false</v>
      </c>
      <c r="G9" s="33" t="s">
        <v>385</v>
      </c>
      <c r="H9" s="32"/>
      <c r="I9" s="32" t="s">
        <v>571</v>
      </c>
      <c r="K9" s="32"/>
    </row>
    <row r="10" spans="1:13" ht="15" thickBot="1">
      <c r="A10" s="31"/>
      <c r="B10" s="32"/>
      <c r="C10" s="32"/>
      <c r="D10" s="32"/>
      <c r="E10" s="43" t="str">
        <f>IF(F10="","//","")&amp;"nestedGroups: ["</f>
        <v>nestedGroups: [</v>
      </c>
      <c r="F10" s="37" t="str">
        <f>nestedGroups(5,I10*$I$2,", ")</f>
        <v>1, 0, 0, 1, 0, 0, 1, 0, 0, 1, 0, 0, 1, 0, 0, 1, 0, 0, 1, 0, 0, 1, 0, 0, 1</v>
      </c>
      <c r="G10" s="33" t="s">
        <v>370</v>
      </c>
      <c r="I10" s="3">
        <v>3</v>
      </c>
    </row>
    <row r="11" spans="1:13">
      <c r="A11" s="31"/>
      <c r="B11" s="32"/>
      <c r="C11" s="32"/>
      <c r="D11" s="25" t="s">
        <v>362</v>
      </c>
      <c r="E11" s="41"/>
      <c r="F11" s="41"/>
      <c r="G11" s="27"/>
      <c r="H11" s="31"/>
      <c r="I11" s="32"/>
      <c r="J11" s="101"/>
      <c r="K11" s="32"/>
      <c r="L11" s="100"/>
    </row>
    <row r="12" spans="1:13">
      <c r="A12" s="31"/>
      <c r="B12" s="32"/>
      <c r="C12" s="32"/>
      <c r="D12" s="31"/>
      <c r="E12" s="37" t="str">
        <f ca="1">"id: "&amp;K12</f>
        <v>id: "1.1"</v>
      </c>
      <c r="F12" s="37"/>
      <c r="G12" s="33" t="s">
        <v>366</v>
      </c>
      <c r="H12" s="31"/>
      <c r="I12" s="32"/>
      <c r="J12" s="101">
        <f>$J$2+COUNTA($J$1:J11)</f>
        <v>5</v>
      </c>
      <c r="K12" s="32" t="str">
        <f ca="1">CHAR(34)&amp;L12&amp;CHAR(34)</f>
        <v>"1.1"</v>
      </c>
      <c r="L12" s="100" t="str">
        <f ca="1">INDIRECT("Dashboard!A"&amp;J12)</f>
        <v>1.1</v>
      </c>
      <c r="M12" s="32" t="str">
        <f ca="1">VLOOKUP(L12,Dashboard!A:G,7,FALSE)</f>
        <v>Conducting Platform Benchmarking Analysis, Green Nudges frameworks, Data standards, Gateways and Sensor recommendations</v>
      </c>
    </row>
    <row r="13" spans="1:13">
      <c r="A13" s="31"/>
      <c r="B13" s="32"/>
      <c r="C13" s="32"/>
      <c r="D13" s="31"/>
      <c r="E13" s="37" t="s">
        <v>369</v>
      </c>
      <c r="F13" s="102">
        <f>IF(F18="",2,1)</f>
        <v>2</v>
      </c>
      <c r="G13" s="33" t="s">
        <v>366</v>
      </c>
      <c r="H13" s="31"/>
      <c r="I13" s="32"/>
      <c r="K13" s="32"/>
    </row>
    <row r="14" spans="1:13">
      <c r="A14" s="31"/>
      <c r="B14" s="32"/>
      <c r="C14" s="32"/>
      <c r="D14" s="31"/>
      <c r="E14" s="37" t="s">
        <v>368</v>
      </c>
      <c r="F14" s="37" t="str">
        <f ca="1">M12</f>
        <v>Conducting Platform Benchmarking Analysis, Green Nudges frameworks, Data standards, Gateways and Sensor recommendations</v>
      </c>
      <c r="G14" s="33" t="s">
        <v>367</v>
      </c>
      <c r="H14" s="31"/>
      <c r="I14" s="32"/>
      <c r="J14" s="101"/>
      <c r="K14" s="32"/>
      <c r="L14" s="100"/>
    </row>
    <row r="15" spans="1:13">
      <c r="A15" s="31"/>
      <c r="B15" s="32"/>
      <c r="C15" s="32"/>
      <c r="D15" s="31"/>
      <c r="E15" s="37" t="s">
        <v>374</v>
      </c>
      <c r="F15" s="37"/>
      <c r="G15" s="33" t="s">
        <v>367</v>
      </c>
      <c r="H15" s="31"/>
      <c r="I15" s="32"/>
      <c r="J15" s="101"/>
      <c r="K15" s="32"/>
      <c r="L15" s="100"/>
    </row>
    <row r="16" spans="1:13">
      <c r="A16" s="31"/>
      <c r="B16" s="32"/>
      <c r="C16" s="32"/>
      <c r="D16" s="31"/>
      <c r="E16" s="37" t="s">
        <v>395</v>
      </c>
      <c r="F16" s="37" t="s">
        <v>394</v>
      </c>
      <c r="G16" s="33" t="s">
        <v>366</v>
      </c>
      <c r="H16" s="31"/>
      <c r="I16" s="32"/>
      <c r="J16" s="101"/>
      <c r="K16" s="32"/>
      <c r="L16" s="100"/>
    </row>
    <row r="17" spans="1:13">
      <c r="A17" s="31"/>
      <c r="B17" s="32"/>
      <c r="C17" s="32"/>
      <c r="D17" s="31"/>
      <c r="E17" s="37" t="s">
        <v>386</v>
      </c>
      <c r="F17" s="37" t="str">
        <f ca="1">IF(VLOOKUP(L12,Dashboard!A:G,2,FALSE)&lt;&gt;"","'plan': true"&amp;CHAR(44)&amp;"'actual': false","")</f>
        <v/>
      </c>
      <c r="G17" s="33" t="s">
        <v>385</v>
      </c>
      <c r="H17" s="31"/>
      <c r="I17" s="32"/>
      <c r="J17" s="101"/>
      <c r="K17" s="32"/>
      <c r="L17" s="100"/>
    </row>
    <row r="18" spans="1:13" ht="15" thickBot="1">
      <c r="A18" s="31"/>
      <c r="B18" s="32"/>
      <c r="C18" s="32"/>
      <c r="D18" s="28"/>
      <c r="E18" s="43" t="str">
        <f>IF(F18="","//","")&amp;"nestedGroups: ["</f>
        <v>//nestedGroups: [</v>
      </c>
      <c r="F18" s="43"/>
      <c r="G18" s="30" t="s">
        <v>370</v>
      </c>
      <c r="H18" s="31"/>
      <c r="I18" s="32"/>
      <c r="J18" s="101"/>
      <c r="K18" s="32"/>
      <c r="L18" s="100"/>
    </row>
    <row r="19" spans="1:13">
      <c r="A19" s="31"/>
      <c r="B19" s="32"/>
      <c r="C19" s="32"/>
      <c r="D19" s="25" t="s">
        <v>362</v>
      </c>
      <c r="E19" s="41"/>
      <c r="F19" s="41"/>
      <c r="G19" s="27"/>
      <c r="H19" s="31"/>
      <c r="I19" s="32"/>
      <c r="J19" s="101"/>
      <c r="K19" s="32"/>
      <c r="L19" s="100"/>
    </row>
    <row r="20" spans="1:13">
      <c r="A20" s="31"/>
      <c r="B20" s="32"/>
      <c r="C20" s="32"/>
      <c r="D20" s="31"/>
      <c r="E20" s="37" t="str">
        <f ca="1">"id: "&amp;K20</f>
        <v>id: "1.2"</v>
      </c>
      <c r="F20" s="37"/>
      <c r="G20" s="33" t="s">
        <v>366</v>
      </c>
      <c r="H20" s="31"/>
      <c r="I20" s="32"/>
      <c r="J20" s="101">
        <f>$J$2+COUNTA($J$1:J19)</f>
        <v>6</v>
      </c>
      <c r="K20" s="32" t="str">
        <f ca="1">CHAR(34)&amp;L20&amp;CHAR(34)</f>
        <v>"1.2"</v>
      </c>
      <c r="L20" s="100" t="str">
        <f ca="1">INDIRECT("Dashboard!A"&amp;J20)</f>
        <v>1.2</v>
      </c>
      <c r="M20" s="32" t="str">
        <f ca="1">VLOOKUP(L20,Dashboard!A:G,7,FALSE)</f>
        <v>Note : This has to be quantitatively differentiated atleast by end of 1st year after completion of tests by NTU team.</v>
      </c>
    </row>
    <row r="21" spans="1:13">
      <c r="A21" s="31"/>
      <c r="B21" s="32"/>
      <c r="C21" s="32"/>
      <c r="D21" s="31"/>
      <c r="E21" s="37" t="s">
        <v>369</v>
      </c>
      <c r="F21" s="102">
        <f>IF(F26="",2,1)</f>
        <v>2</v>
      </c>
      <c r="G21" s="33" t="s">
        <v>366</v>
      </c>
      <c r="H21" s="31"/>
      <c r="I21" s="32"/>
      <c r="J21" s="101"/>
      <c r="K21" s="32"/>
      <c r="L21" s="100"/>
    </row>
    <row r="22" spans="1:13">
      <c r="A22" s="31"/>
      <c r="B22" s="32"/>
      <c r="C22" s="32"/>
      <c r="D22" s="31"/>
      <c r="E22" s="37" t="s">
        <v>368</v>
      </c>
      <c r="F22" s="37" t="str">
        <f ca="1">M20</f>
        <v>Note : This has to be quantitatively differentiated atleast by end of 1st year after completion of tests by NTU team.</v>
      </c>
      <c r="G22" s="33" t="s">
        <v>367</v>
      </c>
      <c r="H22" s="31"/>
      <c r="I22" s="32"/>
      <c r="J22" s="101"/>
      <c r="K22" s="32"/>
      <c r="L22" s="100"/>
    </row>
    <row r="23" spans="1:13">
      <c r="A23" s="31"/>
      <c r="B23" s="32"/>
      <c r="C23" s="32"/>
      <c r="D23" s="31"/>
      <c r="E23" s="37" t="s">
        <v>374</v>
      </c>
      <c r="F23" s="37"/>
      <c r="G23" s="33" t="s">
        <v>367</v>
      </c>
      <c r="H23" s="31"/>
      <c r="I23" s="32"/>
      <c r="J23" s="101"/>
      <c r="K23" s="32"/>
      <c r="L23" s="100"/>
    </row>
    <row r="24" spans="1:13">
      <c r="A24" s="31"/>
      <c r="B24" s="32"/>
      <c r="C24" s="32"/>
      <c r="D24" s="31"/>
      <c r="E24" s="37" t="s">
        <v>395</v>
      </c>
      <c r="F24" s="37" t="s">
        <v>394</v>
      </c>
      <c r="G24" s="33" t="s">
        <v>366</v>
      </c>
      <c r="H24" s="31"/>
      <c r="I24" s="32"/>
      <c r="J24" s="101"/>
      <c r="K24" s="32"/>
      <c r="L24" s="100"/>
    </row>
    <row r="25" spans="1:13">
      <c r="A25" s="31"/>
      <c r="B25" s="32"/>
      <c r="C25" s="32"/>
      <c r="D25" s="31"/>
      <c r="E25" s="37" t="s">
        <v>386</v>
      </c>
      <c r="F25" s="37" t="str">
        <f ca="1">IF(VLOOKUP(L20,Dashboard!A:G,2,FALSE)&lt;&gt;"","'plan': true"&amp;CHAR(44)&amp;"'actual': false","")</f>
        <v/>
      </c>
      <c r="G25" s="33" t="s">
        <v>385</v>
      </c>
      <c r="H25" s="31"/>
      <c r="I25" s="32"/>
      <c r="J25" s="101"/>
      <c r="K25" s="32"/>
      <c r="L25" s="100"/>
    </row>
    <row r="26" spans="1:13" ht="15" thickBot="1">
      <c r="A26" s="31"/>
      <c r="B26" s="32"/>
      <c r="C26" s="32"/>
      <c r="D26" s="28"/>
      <c r="E26" s="43" t="str">
        <f>IF(F26="","//","")&amp;"nestedGroups: ["</f>
        <v>//nestedGroups: [</v>
      </c>
      <c r="F26" s="43"/>
      <c r="G26" s="30" t="s">
        <v>370</v>
      </c>
      <c r="H26" s="31"/>
      <c r="I26" s="32"/>
      <c r="J26" s="101"/>
      <c r="K26" s="32"/>
      <c r="L26" s="100"/>
    </row>
    <row r="27" spans="1:13">
      <c r="A27" s="31"/>
      <c r="B27" s="32"/>
      <c r="C27" s="32"/>
      <c r="D27" s="25" t="s">
        <v>362</v>
      </c>
      <c r="E27" s="41"/>
      <c r="F27" s="41"/>
      <c r="G27" s="27"/>
      <c r="H27" s="31"/>
      <c r="I27" s="32"/>
      <c r="J27" s="101"/>
      <c r="K27" s="32"/>
      <c r="L27" s="100"/>
    </row>
    <row r="28" spans="1:13">
      <c r="A28" s="31"/>
      <c r="B28" s="32"/>
      <c r="C28" s="32"/>
      <c r="D28" s="31"/>
      <c r="E28" s="37" t="str">
        <f ca="1">"id: "&amp;K28</f>
        <v>id: "1.3"</v>
      </c>
      <c r="F28" s="37"/>
      <c r="G28" s="33" t="s">
        <v>366</v>
      </c>
      <c r="H28" s="31"/>
      <c r="I28" s="32"/>
      <c r="J28" s="101">
        <f>$J$2+COUNTA($J$1:J27)</f>
        <v>7</v>
      </c>
      <c r="K28" s="32" t="str">
        <f ca="1">CHAR(34)&amp;L28&amp;CHAR(34)</f>
        <v>"1.3"</v>
      </c>
      <c r="L28" s="100" t="str">
        <f ca="1">INDIRECT("Dashboard!A"&amp;J28)</f>
        <v>1.3</v>
      </c>
      <c r="M28" s="32" t="str">
        <f ca="1">VLOOKUP(L28,Dashboard!A:G,7,FALSE)</f>
        <v>Benchmark Report</v>
      </c>
    </row>
    <row r="29" spans="1:13">
      <c r="A29" s="31"/>
      <c r="B29" s="32"/>
      <c r="C29" s="32"/>
      <c r="D29" s="31"/>
      <c r="E29" s="37" t="s">
        <v>369</v>
      </c>
      <c r="F29" s="102">
        <f>IF(F34="",2,1)</f>
        <v>2</v>
      </c>
      <c r="G29" s="33" t="s">
        <v>366</v>
      </c>
      <c r="H29" s="31"/>
      <c r="I29" s="32"/>
      <c r="J29" s="101"/>
      <c r="K29" s="32"/>
      <c r="L29" s="100"/>
    </row>
    <row r="30" spans="1:13">
      <c r="A30" s="31"/>
      <c r="B30" s="32"/>
      <c r="C30" s="32"/>
      <c r="D30" s="31"/>
      <c r="E30" s="37" t="s">
        <v>368</v>
      </c>
      <c r="F30" s="37" t="str">
        <f ca="1">M28</f>
        <v>Benchmark Report</v>
      </c>
      <c r="G30" s="33" t="s">
        <v>367</v>
      </c>
      <c r="H30" s="31"/>
      <c r="I30" s="32"/>
      <c r="J30" s="101"/>
      <c r="K30" s="32"/>
      <c r="L30" s="100"/>
    </row>
    <row r="31" spans="1:13">
      <c r="A31" s="31"/>
      <c r="B31" s="32"/>
      <c r="C31" s="32"/>
      <c r="D31" s="31"/>
      <c r="E31" s="37" t="s">
        <v>374</v>
      </c>
      <c r="F31" s="37"/>
      <c r="G31" s="33" t="s">
        <v>367</v>
      </c>
      <c r="H31" s="31"/>
      <c r="I31" s="32"/>
      <c r="J31" s="101"/>
      <c r="K31" s="32"/>
      <c r="L31" s="100"/>
    </row>
    <row r="32" spans="1:13">
      <c r="A32" s="31"/>
      <c r="B32" s="32"/>
      <c r="C32" s="32"/>
      <c r="D32" s="31"/>
      <c r="E32" s="37" t="s">
        <v>395</v>
      </c>
      <c r="F32" s="37" t="s">
        <v>394</v>
      </c>
      <c r="G32" s="33" t="s">
        <v>366</v>
      </c>
      <c r="H32" s="31"/>
      <c r="I32" s="32"/>
      <c r="J32" s="101"/>
      <c r="K32" s="32"/>
      <c r="L32" s="100"/>
    </row>
    <row r="33" spans="1:13">
      <c r="A33" s="31"/>
      <c r="B33" s="32"/>
      <c r="C33" s="32"/>
      <c r="D33" s="31"/>
      <c r="E33" s="37" t="s">
        <v>386</v>
      </c>
      <c r="F33" s="37" t="str">
        <f ca="1">IF(VLOOKUP(L28,Dashboard!A:G,2,FALSE)&lt;&gt;"","'plan': true"&amp;CHAR(44)&amp;"'actual': false","")</f>
        <v>'plan': true,'actual': false</v>
      </c>
      <c r="G33" s="33" t="s">
        <v>385</v>
      </c>
      <c r="H33" s="31"/>
      <c r="I33" s="32"/>
      <c r="J33" s="101"/>
      <c r="K33" s="32"/>
      <c r="L33" s="100"/>
    </row>
    <row r="34" spans="1:13" ht="15" thickBot="1">
      <c r="A34" s="31"/>
      <c r="B34" s="32"/>
      <c r="C34" s="32"/>
      <c r="D34" s="28"/>
      <c r="E34" s="43" t="str">
        <f>IF(F34="","//","")&amp;"nestedGroups: ["</f>
        <v>//nestedGroups: [</v>
      </c>
      <c r="F34" s="43"/>
      <c r="G34" s="30" t="s">
        <v>370</v>
      </c>
      <c r="H34" s="31"/>
      <c r="I34" s="32"/>
      <c r="J34" s="101"/>
      <c r="K34" s="32"/>
      <c r="L34" s="100"/>
    </row>
    <row r="35" spans="1:13">
      <c r="A35" s="31"/>
      <c r="B35" s="32"/>
      <c r="C35" s="32"/>
      <c r="D35" s="25" t="s">
        <v>362</v>
      </c>
      <c r="E35" s="114"/>
      <c r="F35" s="114"/>
      <c r="G35" s="27"/>
      <c r="H35" s="31"/>
      <c r="I35" s="32"/>
      <c r="J35" s="101"/>
      <c r="K35" s="32"/>
      <c r="L35" s="100"/>
    </row>
    <row r="36" spans="1:13">
      <c r="A36" s="31"/>
      <c r="B36" s="32"/>
      <c r="C36" s="32"/>
      <c r="D36" s="31"/>
      <c r="E36" s="37" t="str">
        <f ca="1">"id: "&amp;K36</f>
        <v>id: "2"</v>
      </c>
      <c r="F36" s="37"/>
      <c r="G36" s="33" t="s">
        <v>366</v>
      </c>
      <c r="H36" s="31"/>
      <c r="I36" s="32"/>
      <c r="J36" s="101">
        <f>$J$2+COUNTA($J$1:J35)</f>
        <v>8</v>
      </c>
      <c r="K36" s="32" t="str">
        <f ca="1">CHAR(34)&amp;L36&amp;CHAR(34)</f>
        <v>"2"</v>
      </c>
      <c r="L36" s="100" t="str">
        <f ca="1">INDIRECT("Dashboard!A"&amp;J36)</f>
        <v>2</v>
      </c>
      <c r="M36" s="32" t="str">
        <f ca="1">VLOOKUP(L36,Dashboard!A:G,7,FALSE)</f>
        <v>M1. Functional Requirement Specification (Project Requirement Document)</v>
      </c>
    </row>
    <row r="37" spans="1:13">
      <c r="A37" s="31"/>
      <c r="B37" s="32"/>
      <c r="C37" s="32"/>
      <c r="D37" s="31"/>
      <c r="E37" s="37" t="s">
        <v>369</v>
      </c>
      <c r="F37" s="102">
        <f>IF(F42="",2,1)</f>
        <v>1</v>
      </c>
      <c r="G37" s="33" t="s">
        <v>366</v>
      </c>
      <c r="H37" s="31"/>
      <c r="I37" s="32"/>
      <c r="J37" s="101"/>
      <c r="K37" s="32"/>
      <c r="L37" s="100"/>
    </row>
    <row r="38" spans="1:13">
      <c r="A38" s="31"/>
      <c r="B38" s="32"/>
      <c r="C38" s="32"/>
      <c r="D38" s="31"/>
      <c r="E38" s="37" t="s">
        <v>368</v>
      </c>
      <c r="F38" s="37" t="str">
        <f ca="1">M36</f>
        <v>M1. Functional Requirement Specification (Project Requirement Document)</v>
      </c>
      <c r="G38" s="33" t="s">
        <v>367</v>
      </c>
      <c r="H38" s="31"/>
      <c r="I38" s="32"/>
      <c r="J38" s="101"/>
      <c r="K38" s="32"/>
      <c r="L38" s="100"/>
    </row>
    <row r="39" spans="1:13">
      <c r="A39" s="31"/>
      <c r="B39" s="32"/>
      <c r="C39" s="32"/>
      <c r="D39" s="31"/>
      <c r="E39" s="37" t="s">
        <v>374</v>
      </c>
      <c r="F39" s="37"/>
      <c r="G39" s="33" t="s">
        <v>367</v>
      </c>
      <c r="H39" s="31"/>
      <c r="I39" s="32"/>
      <c r="J39" s="101"/>
      <c r="K39" s="32"/>
      <c r="L39" s="100"/>
    </row>
    <row r="40" spans="1:13">
      <c r="A40" s="31"/>
      <c r="B40" s="32"/>
      <c r="C40" s="32"/>
      <c r="D40" s="31"/>
      <c r="E40" s="37" t="s">
        <v>395</v>
      </c>
      <c r="F40" s="37" t="s">
        <v>394</v>
      </c>
      <c r="G40" s="33" t="s">
        <v>366</v>
      </c>
      <c r="H40" s="31"/>
      <c r="I40" s="32"/>
      <c r="J40" s="101"/>
      <c r="K40" s="32"/>
      <c r="L40" s="100"/>
    </row>
    <row r="41" spans="1:13">
      <c r="A41" s="31"/>
      <c r="B41" s="32"/>
      <c r="C41" s="32"/>
      <c r="D41" s="31"/>
      <c r="E41" s="37" t="s">
        <v>386</v>
      </c>
      <c r="F41" s="37" t="str">
        <f ca="1">IF(VLOOKUP(L36,Dashboard!A:G,2,FALSE)&lt;&gt;"","'plan': true"&amp;CHAR(44)&amp;"'actual': false","")</f>
        <v>'plan': true,'actual': false</v>
      </c>
      <c r="G41" s="33" t="s">
        <v>385</v>
      </c>
      <c r="H41" s="31"/>
      <c r="I41" s="32" t="s">
        <v>571</v>
      </c>
      <c r="J41" s="101"/>
      <c r="K41" s="32"/>
      <c r="L41" s="100"/>
    </row>
    <row r="42" spans="1:13" ht="15" thickBot="1">
      <c r="A42" s="31"/>
      <c r="B42" s="32"/>
      <c r="C42" s="32"/>
      <c r="D42" s="28"/>
      <c r="E42" s="43" t="str">
        <f>IF(F42="","//","")&amp;"nestedGroups: ["</f>
        <v>nestedGroups: [</v>
      </c>
      <c r="F42" s="37" t="str">
        <f>nestedGroups(5,I42*$I$2,", ")</f>
        <v>0, 1, 0, 0, 1, 0, 0, 1, 0, 0, 1, 0, 0, 1, 0, 0, 1, 0, 0, 1, 0, 0, 1, 0, 0</v>
      </c>
      <c r="G42" s="30" t="s">
        <v>370</v>
      </c>
      <c r="H42" s="31"/>
      <c r="I42" s="3">
        <v>3</v>
      </c>
      <c r="J42" s="101"/>
      <c r="K42" s="32"/>
      <c r="L42" s="100"/>
    </row>
    <row r="43" spans="1:13">
      <c r="A43" s="31"/>
      <c r="B43" s="32"/>
      <c r="C43" s="32"/>
      <c r="D43" s="25" t="s">
        <v>362</v>
      </c>
      <c r="E43" s="41"/>
      <c r="F43" s="41"/>
      <c r="G43" s="27"/>
      <c r="H43" s="31"/>
      <c r="I43" s="32"/>
      <c r="J43" s="101"/>
      <c r="K43" s="32"/>
      <c r="L43" s="100"/>
    </row>
    <row r="44" spans="1:13">
      <c r="A44" s="31"/>
      <c r="B44" s="32"/>
      <c r="C44" s="32"/>
      <c r="D44" s="31"/>
      <c r="E44" s="37" t="str">
        <f ca="1">"id: "&amp;K44</f>
        <v>id: "2.1"</v>
      </c>
      <c r="F44" s="37"/>
      <c r="G44" s="33" t="s">
        <v>366</v>
      </c>
      <c r="H44" s="31"/>
      <c r="I44" s="32"/>
      <c r="J44" s="101">
        <f>$J$2+COUNTA($J$1:J43)</f>
        <v>9</v>
      </c>
      <c r="K44" s="32" t="str">
        <f ca="1">CHAR(34)&amp;L44&amp;CHAR(34)</f>
        <v>"2.1"</v>
      </c>
      <c r="L44" s="100" t="str">
        <f ca="1">INDIRECT("Dashboard!A"&amp;J44)</f>
        <v>2.1</v>
      </c>
      <c r="M44" s="32" t="str">
        <f ca="1">VLOOKUP(L44,Dashboard!A:G,7,FALSE)</f>
        <v>Note : A PRD document stating the contents agreeable by both parties to cover all the functional aspects of Data fusion core platform and its architecture, smart home fusion use case, smart grid fusion use cases, supported protocols, UI requirements, deliverables in detail.</v>
      </c>
    </row>
    <row r="45" spans="1:13">
      <c r="A45" s="31"/>
      <c r="B45" s="32"/>
      <c r="C45" s="32"/>
      <c r="D45" s="31"/>
      <c r="E45" s="37" t="s">
        <v>369</v>
      </c>
      <c r="F45" s="102">
        <f>IF(F50="",2,1)</f>
        <v>2</v>
      </c>
      <c r="G45" s="33" t="s">
        <v>366</v>
      </c>
      <c r="H45" s="31"/>
      <c r="I45" s="32"/>
      <c r="J45" s="101"/>
      <c r="K45" s="32"/>
      <c r="L45" s="100"/>
    </row>
    <row r="46" spans="1:13">
      <c r="A46" s="31"/>
      <c r="B46" s="32"/>
      <c r="C46" s="32"/>
      <c r="D46" s="31"/>
      <c r="E46" s="37" t="s">
        <v>368</v>
      </c>
      <c r="F46" s="37" t="str">
        <f ca="1">M44</f>
        <v>Note : A PRD document stating the contents agreeable by both parties to cover all the functional aspects of Data fusion core platform and its architecture, smart home fusion use case, smart grid fusion use cases, supported protocols, UI requirements, deliverables in detail.</v>
      </c>
      <c r="G46" s="33" t="s">
        <v>367</v>
      </c>
      <c r="H46" s="31"/>
      <c r="I46" s="32"/>
      <c r="J46" s="101"/>
      <c r="K46" s="32"/>
      <c r="L46" s="100"/>
    </row>
    <row r="47" spans="1:13">
      <c r="A47" s="31"/>
      <c r="B47" s="32"/>
      <c r="C47" s="32"/>
      <c r="D47" s="31"/>
      <c r="E47" s="37" t="s">
        <v>374</v>
      </c>
      <c r="F47" s="37"/>
      <c r="G47" s="33" t="s">
        <v>367</v>
      </c>
      <c r="H47" s="31"/>
      <c r="I47" s="32"/>
      <c r="J47" s="101"/>
      <c r="K47" s="32"/>
      <c r="L47" s="100"/>
    </row>
    <row r="48" spans="1:13">
      <c r="A48" s="31"/>
      <c r="B48" s="32"/>
      <c r="C48" s="32"/>
      <c r="D48" s="31"/>
      <c r="E48" s="37" t="s">
        <v>395</v>
      </c>
      <c r="F48" s="37" t="s">
        <v>394</v>
      </c>
      <c r="G48" s="33" t="s">
        <v>366</v>
      </c>
      <c r="H48" s="31"/>
      <c r="I48" s="32"/>
      <c r="J48" s="101"/>
      <c r="K48" s="32"/>
      <c r="L48" s="100"/>
    </row>
    <row r="49" spans="1:13">
      <c r="A49" s="31"/>
      <c r="B49" s="32"/>
      <c r="C49" s="32"/>
      <c r="D49" s="31"/>
      <c r="E49" s="37" t="s">
        <v>386</v>
      </c>
      <c r="F49" s="37" t="str">
        <f ca="1">IF(VLOOKUP(L44,Dashboard!A:G,2,FALSE)&lt;&gt;"","'plan': true"&amp;CHAR(44)&amp;"'actual': false","")</f>
        <v/>
      </c>
      <c r="G49" s="33" t="s">
        <v>385</v>
      </c>
      <c r="H49" s="31"/>
      <c r="I49" s="32"/>
      <c r="J49" s="101"/>
      <c r="K49" s="32"/>
      <c r="L49" s="100"/>
    </row>
    <row r="50" spans="1:13" ht="15" thickBot="1">
      <c r="A50" s="31"/>
      <c r="B50" s="32"/>
      <c r="C50" s="32"/>
      <c r="D50" s="28"/>
      <c r="E50" s="43" t="str">
        <f>IF(F50="","//","")&amp;"nestedGroups: ["</f>
        <v>//nestedGroups: [</v>
      </c>
      <c r="F50" s="43"/>
      <c r="G50" s="30" t="s">
        <v>370</v>
      </c>
      <c r="H50" s="31"/>
      <c r="I50" s="32"/>
      <c r="J50" s="101"/>
      <c r="K50" s="32"/>
      <c r="L50" s="100"/>
    </row>
    <row r="51" spans="1:13">
      <c r="A51" s="31"/>
      <c r="B51" s="32"/>
      <c r="C51" s="32"/>
      <c r="D51" s="25" t="s">
        <v>362</v>
      </c>
      <c r="E51" s="41"/>
      <c r="F51" s="41"/>
      <c r="G51" s="27"/>
      <c r="H51" s="31"/>
      <c r="I51" s="32"/>
      <c r="J51" s="101"/>
      <c r="K51" s="32"/>
      <c r="L51" s="100"/>
    </row>
    <row r="52" spans="1:13">
      <c r="A52" s="31"/>
      <c r="B52" s="32"/>
      <c r="C52" s="32"/>
      <c r="D52" s="31"/>
      <c r="E52" s="37" t="str">
        <f ca="1">"id: "&amp;K52</f>
        <v>id: "2.2"</v>
      </c>
      <c r="F52" s="37"/>
      <c r="G52" s="33" t="s">
        <v>366</v>
      </c>
      <c r="H52" s="31"/>
      <c r="I52" s="32"/>
      <c r="J52" s="101">
        <f>$J$2+COUNTA($J$1:J51)</f>
        <v>10</v>
      </c>
      <c r="K52" s="32" t="str">
        <f ca="1">CHAR(34)&amp;L52&amp;CHAR(34)</f>
        <v>"2.2"</v>
      </c>
      <c r="L52" s="100" t="str">
        <f ca="1">INDIRECT("Dashboard!A"&amp;J52)</f>
        <v>2.2</v>
      </c>
      <c r="M52" s="32" t="str">
        <f ca="1">VLOOKUP(L52,Dashboard!A:G,7,FALSE)</f>
        <v>PRD V1.0, covers : M5, M8, M9, M10, M11, M12, M13</v>
      </c>
    </row>
    <row r="53" spans="1:13">
      <c r="A53" s="31"/>
      <c r="B53" s="32"/>
      <c r="C53" s="32"/>
      <c r="D53" s="31"/>
      <c r="E53" s="37" t="s">
        <v>369</v>
      </c>
      <c r="F53" s="102">
        <f>IF(F58="",2,1)</f>
        <v>2</v>
      </c>
      <c r="G53" s="33" t="s">
        <v>366</v>
      </c>
      <c r="H53" s="31"/>
      <c r="I53" s="32"/>
      <c r="J53" s="101"/>
      <c r="K53" s="32"/>
      <c r="L53" s="100"/>
    </row>
    <row r="54" spans="1:13">
      <c r="A54" s="31"/>
      <c r="B54" s="32"/>
      <c r="C54" s="32"/>
      <c r="D54" s="31"/>
      <c r="E54" s="37" t="s">
        <v>368</v>
      </c>
      <c r="F54" s="37" t="str">
        <f ca="1">M52</f>
        <v>PRD V1.0, covers : M5, M8, M9, M10, M11, M12, M13</v>
      </c>
      <c r="G54" s="33" t="s">
        <v>367</v>
      </c>
      <c r="H54" s="31"/>
      <c r="I54" s="32"/>
      <c r="J54" s="101"/>
      <c r="K54" s="32"/>
      <c r="L54" s="100"/>
    </row>
    <row r="55" spans="1:13">
      <c r="A55" s="31"/>
      <c r="B55" s="32"/>
      <c r="C55" s="32"/>
      <c r="D55" s="31"/>
      <c r="E55" s="37" t="s">
        <v>374</v>
      </c>
      <c r="F55" s="37"/>
      <c r="G55" s="33" t="s">
        <v>367</v>
      </c>
      <c r="H55" s="31"/>
      <c r="I55" s="32"/>
      <c r="J55" s="101"/>
      <c r="K55" s="32"/>
      <c r="L55" s="100"/>
    </row>
    <row r="56" spans="1:13">
      <c r="A56" s="31"/>
      <c r="B56" s="32"/>
      <c r="C56" s="32"/>
      <c r="D56" s="31"/>
      <c r="E56" s="37" t="s">
        <v>395</v>
      </c>
      <c r="F56" s="37" t="s">
        <v>394</v>
      </c>
      <c r="G56" s="33" t="s">
        <v>366</v>
      </c>
      <c r="H56" s="31"/>
      <c r="I56" s="32"/>
      <c r="J56" s="101"/>
      <c r="K56" s="32"/>
      <c r="L56" s="100"/>
    </row>
    <row r="57" spans="1:13">
      <c r="A57" s="31"/>
      <c r="B57" s="32"/>
      <c r="C57" s="32"/>
      <c r="D57" s="31"/>
      <c r="E57" s="37" t="s">
        <v>386</v>
      </c>
      <c r="F57" s="37" t="str">
        <f ca="1">IF(VLOOKUP(L52,Dashboard!A:G,2,FALSE)&lt;&gt;"","'plan': true"&amp;CHAR(44)&amp;"'actual': false","")</f>
        <v>'plan': true,'actual': false</v>
      </c>
      <c r="G57" s="33" t="s">
        <v>385</v>
      </c>
      <c r="H57" s="31"/>
      <c r="I57" s="32"/>
      <c r="J57" s="101"/>
      <c r="K57" s="32"/>
      <c r="L57" s="100"/>
    </row>
    <row r="58" spans="1:13" ht="15" thickBot="1">
      <c r="A58" s="31"/>
      <c r="B58" s="32"/>
      <c r="C58" s="32"/>
      <c r="D58" s="28"/>
      <c r="E58" s="43" t="str">
        <f>IF(F58="","//","")&amp;"nestedGroups: ["</f>
        <v>//nestedGroups: [</v>
      </c>
      <c r="F58" s="43"/>
      <c r="G58" s="30" t="s">
        <v>370</v>
      </c>
      <c r="H58" s="31"/>
      <c r="I58" s="32"/>
      <c r="J58" s="101"/>
      <c r="K58" s="32"/>
      <c r="L58" s="100"/>
    </row>
    <row r="59" spans="1:13">
      <c r="A59" s="31"/>
      <c r="B59" s="32"/>
      <c r="C59" s="32"/>
      <c r="D59" s="25" t="s">
        <v>362</v>
      </c>
      <c r="E59" s="41"/>
      <c r="F59" s="41"/>
      <c r="G59" s="27"/>
      <c r="H59" s="31"/>
      <c r="I59" s="32"/>
      <c r="J59" s="101"/>
      <c r="K59" s="32"/>
      <c r="L59" s="100"/>
    </row>
    <row r="60" spans="1:13">
      <c r="A60" s="31"/>
      <c r="B60" s="32"/>
      <c r="C60" s="32"/>
      <c r="D60" s="31"/>
      <c r="E60" s="37" t="str">
        <f ca="1">"id: "&amp;K60</f>
        <v>id: "2.3"</v>
      </c>
      <c r="F60" s="37"/>
      <c r="G60" s="33" t="s">
        <v>366</v>
      </c>
      <c r="H60" s="31"/>
      <c r="I60" s="32"/>
      <c r="J60" s="101">
        <f>$J$2+COUNTA($J$1:J59)</f>
        <v>11</v>
      </c>
      <c r="K60" s="32" t="str">
        <f ca="1">CHAR(34)&amp;L60&amp;CHAR(34)</f>
        <v>"2.3"</v>
      </c>
      <c r="L60" s="100" t="str">
        <f ca="1">INDIRECT("Dashboard!A"&amp;J60)</f>
        <v>2.3</v>
      </c>
      <c r="M60" s="32" t="str">
        <f ca="1">VLOOKUP(L60,Dashboard!A:G,7,FALSE)</f>
        <v>PRD V2.0, covers : M14, M15, M16</v>
      </c>
    </row>
    <row r="61" spans="1:13">
      <c r="A61" s="31"/>
      <c r="B61" s="32"/>
      <c r="C61" s="32"/>
      <c r="D61" s="31"/>
      <c r="E61" s="37" t="s">
        <v>369</v>
      </c>
      <c r="F61" s="102">
        <f>IF(F66="",2,1)</f>
        <v>2</v>
      </c>
      <c r="G61" s="33" t="s">
        <v>366</v>
      </c>
      <c r="H61" s="31"/>
      <c r="I61" s="32"/>
      <c r="J61" s="101"/>
      <c r="K61" s="32"/>
      <c r="L61" s="100"/>
    </row>
    <row r="62" spans="1:13">
      <c r="A62" s="31"/>
      <c r="B62" s="32"/>
      <c r="C62" s="32"/>
      <c r="D62" s="31"/>
      <c r="E62" s="37" t="s">
        <v>368</v>
      </c>
      <c r="F62" s="37" t="str">
        <f ca="1">M60</f>
        <v>PRD V2.0, covers : M14, M15, M16</v>
      </c>
      <c r="G62" s="33" t="s">
        <v>367</v>
      </c>
      <c r="H62" s="31"/>
      <c r="I62" s="32"/>
      <c r="J62" s="101"/>
      <c r="K62" s="32"/>
      <c r="L62" s="100"/>
    </row>
    <row r="63" spans="1:13">
      <c r="A63" s="31"/>
      <c r="B63" s="32"/>
      <c r="C63" s="32"/>
      <c r="D63" s="31"/>
      <c r="E63" s="37" t="s">
        <v>374</v>
      </c>
      <c r="F63" s="37"/>
      <c r="G63" s="33" t="s">
        <v>367</v>
      </c>
      <c r="H63" s="31"/>
      <c r="I63" s="32"/>
      <c r="J63" s="101"/>
      <c r="K63" s="32"/>
      <c r="L63" s="100"/>
    </row>
    <row r="64" spans="1:13">
      <c r="A64" s="31"/>
      <c r="B64" s="32"/>
      <c r="C64" s="32"/>
      <c r="D64" s="31"/>
      <c r="E64" s="37" t="s">
        <v>395</v>
      </c>
      <c r="F64" s="37" t="s">
        <v>394</v>
      </c>
      <c r="G64" s="33" t="s">
        <v>366</v>
      </c>
      <c r="H64" s="31"/>
      <c r="I64" s="32"/>
      <c r="J64" s="101"/>
      <c r="K64" s="32"/>
      <c r="L64" s="100"/>
    </row>
    <row r="65" spans="1:13">
      <c r="A65" s="31"/>
      <c r="B65" s="32"/>
      <c r="C65" s="32"/>
      <c r="D65" s="31"/>
      <c r="E65" s="37" t="s">
        <v>386</v>
      </c>
      <c r="F65" s="37" t="str">
        <f ca="1">IF(VLOOKUP(L60,Dashboard!A:G,2,FALSE)&lt;&gt;"","'plan': true"&amp;CHAR(44)&amp;"'actual': false","")</f>
        <v>'plan': true,'actual': false</v>
      </c>
      <c r="G65" s="33" t="s">
        <v>385</v>
      </c>
      <c r="H65" s="31"/>
      <c r="I65" s="32"/>
      <c r="J65" s="101"/>
      <c r="K65" s="32"/>
      <c r="L65" s="100"/>
    </row>
    <row r="66" spans="1:13" ht="15" thickBot="1">
      <c r="A66" s="31"/>
      <c r="B66" s="32"/>
      <c r="C66" s="32"/>
      <c r="D66" s="28"/>
      <c r="E66" s="43" t="str">
        <f>IF(F66="","//","")&amp;"nestedGroups: ["</f>
        <v>//nestedGroups: [</v>
      </c>
      <c r="F66" s="43"/>
      <c r="G66" s="30" t="s">
        <v>370</v>
      </c>
      <c r="H66" s="31"/>
      <c r="I66" s="32"/>
      <c r="J66" s="101"/>
      <c r="K66" s="32"/>
      <c r="L66" s="100"/>
    </row>
    <row r="67" spans="1:13">
      <c r="A67" s="31"/>
      <c r="B67" s="32"/>
      <c r="C67" s="32"/>
      <c r="D67" s="25" t="s">
        <v>362</v>
      </c>
      <c r="E67" s="114"/>
      <c r="F67" s="114"/>
      <c r="G67" s="27"/>
      <c r="H67" s="31"/>
      <c r="I67" s="32"/>
      <c r="J67" s="101"/>
      <c r="K67" s="32"/>
      <c r="L67" s="100"/>
    </row>
    <row r="68" spans="1:13">
      <c r="A68" s="31"/>
      <c r="B68" s="32"/>
      <c r="C68" s="32"/>
      <c r="D68" s="31"/>
      <c r="E68" s="37" t="str">
        <f ca="1">"id: "&amp;K68</f>
        <v>id: "3"</v>
      </c>
      <c r="F68" s="37"/>
      <c r="G68" s="33" t="s">
        <v>366</v>
      </c>
      <c r="H68" s="31"/>
      <c r="I68" s="32"/>
      <c r="J68" s="101">
        <f>$J$2+COUNTA($J$1:J67)</f>
        <v>12</v>
      </c>
      <c r="K68" s="32" t="str">
        <f ca="1">CHAR(34)&amp;L68&amp;CHAR(34)</f>
        <v>"3"</v>
      </c>
      <c r="L68" s="100" t="str">
        <f ca="1">INDIRECT("Dashboard!A"&amp;J68)</f>
        <v>3</v>
      </c>
      <c r="M68" s="32" t="str">
        <f ca="1">VLOOKUP(L68,Dashboard!A:G,7,FALSE)</f>
        <v>M2. Data Fusion Web &amp; Mobile UX wireframe</v>
      </c>
    </row>
    <row r="69" spans="1:13">
      <c r="A69" s="31"/>
      <c r="B69" s="32"/>
      <c r="C69" s="32"/>
      <c r="D69" s="31"/>
      <c r="E69" s="37" t="s">
        <v>369</v>
      </c>
      <c r="F69" s="102">
        <f>IF(F74="",2,1)</f>
        <v>1</v>
      </c>
      <c r="G69" s="33" t="s">
        <v>366</v>
      </c>
      <c r="H69" s="31"/>
      <c r="I69" s="32"/>
      <c r="J69" s="101"/>
      <c r="K69" s="32"/>
      <c r="L69" s="100"/>
    </row>
    <row r="70" spans="1:13">
      <c r="A70" s="31"/>
      <c r="B70" s="32"/>
      <c r="C70" s="32"/>
      <c r="D70" s="31"/>
      <c r="E70" s="37" t="s">
        <v>368</v>
      </c>
      <c r="F70" s="37" t="str">
        <f ca="1">M68</f>
        <v>M2. Data Fusion Web &amp; Mobile UX wireframe</v>
      </c>
      <c r="G70" s="33" t="s">
        <v>367</v>
      </c>
      <c r="H70" s="31"/>
      <c r="I70" s="32"/>
      <c r="J70" s="101"/>
      <c r="K70" s="32"/>
      <c r="L70" s="100"/>
    </row>
    <row r="71" spans="1:13">
      <c r="A71" s="31"/>
      <c r="B71" s="32"/>
      <c r="C71" s="32"/>
      <c r="D71" s="31"/>
      <c r="E71" s="37" t="s">
        <v>374</v>
      </c>
      <c r="F71" s="37"/>
      <c r="G71" s="33" t="s">
        <v>367</v>
      </c>
      <c r="H71" s="31"/>
      <c r="I71" s="32"/>
      <c r="J71" s="101"/>
      <c r="K71" s="32"/>
      <c r="L71" s="100"/>
    </row>
    <row r="72" spans="1:13">
      <c r="A72" s="31"/>
      <c r="B72" s="32"/>
      <c r="C72" s="32"/>
      <c r="D72" s="31"/>
      <c r="E72" s="37" t="s">
        <v>395</v>
      </c>
      <c r="F72" s="37" t="s">
        <v>394</v>
      </c>
      <c r="G72" s="33" t="s">
        <v>366</v>
      </c>
      <c r="H72" s="31"/>
      <c r="I72" s="32"/>
      <c r="J72" s="101"/>
      <c r="K72" s="32"/>
      <c r="L72" s="100"/>
    </row>
    <row r="73" spans="1:13">
      <c r="A73" s="31"/>
      <c r="B73" s="32"/>
      <c r="C73" s="32"/>
      <c r="D73" s="31"/>
      <c r="E73" s="37" t="s">
        <v>386</v>
      </c>
      <c r="F73" s="37" t="str">
        <f ca="1">IF(VLOOKUP(L68,Dashboard!A:G,2,FALSE)&lt;&gt;"","'plan': true"&amp;CHAR(44)&amp;"'actual': false","")</f>
        <v>'plan': true,'actual': false</v>
      </c>
      <c r="G73" s="33" t="s">
        <v>385</v>
      </c>
      <c r="H73" s="31"/>
      <c r="I73" s="32" t="s">
        <v>571</v>
      </c>
      <c r="J73" s="101"/>
      <c r="K73" s="32"/>
      <c r="L73" s="100"/>
    </row>
    <row r="74" spans="1:13" ht="15" thickBot="1">
      <c r="A74" s="31"/>
      <c r="B74" s="32"/>
      <c r="C74" s="32"/>
      <c r="D74" s="28"/>
      <c r="E74" s="43" t="str">
        <f>IF(F74="","//","")&amp;"nestedGroups: ["</f>
        <v>nestedGroups: [</v>
      </c>
      <c r="F74" s="37" t="str">
        <f>nestedGroups(5,I74*$I$2,", ")</f>
        <v>0, 0, 1, 0, 0, 1, 0, 0, 1, 0, 0, 1, 0, 0, 1, 0, 0, 1, 0, 0, 1, 0, 0, 1, 0</v>
      </c>
      <c r="G74" s="30" t="s">
        <v>370</v>
      </c>
      <c r="H74" s="31"/>
      <c r="I74" s="3">
        <v>3</v>
      </c>
      <c r="J74" s="101"/>
      <c r="K74" s="32"/>
      <c r="L74" s="100"/>
    </row>
    <row r="75" spans="1:13">
      <c r="A75" s="31"/>
      <c r="B75" s="32"/>
      <c r="C75" s="32"/>
      <c r="D75" s="25" t="s">
        <v>362</v>
      </c>
      <c r="E75" s="41"/>
      <c r="F75" s="41"/>
      <c r="G75" s="27"/>
      <c r="H75" s="31"/>
      <c r="I75" s="32"/>
      <c r="J75" s="101"/>
      <c r="K75" s="32"/>
      <c r="L75" s="100"/>
    </row>
    <row r="76" spans="1:13">
      <c r="A76" s="31"/>
      <c r="B76" s="32"/>
      <c r="C76" s="32"/>
      <c r="D76" s="31"/>
      <c r="E76" s="37" t="str">
        <f ca="1">"id: "&amp;K76</f>
        <v>id: "3.1"</v>
      </c>
      <c r="F76" s="37"/>
      <c r="G76" s="33" t="s">
        <v>366</v>
      </c>
      <c r="H76" s="31"/>
      <c r="I76" s="32"/>
      <c r="J76" s="101">
        <f>$J$2+COUNTA($J$1:J75)</f>
        <v>13</v>
      </c>
      <c r="K76" s="32" t="str">
        <f ca="1">CHAR(34)&amp;L76&amp;CHAR(34)</f>
        <v>"3.1"</v>
      </c>
      <c r="L76" s="100" t="str">
        <f ca="1">INDIRECT("Dashboard!A"&amp;J76)</f>
        <v>3.1</v>
      </c>
      <c r="M76" s="32" t="str">
        <f ca="1">VLOOKUP(L76,Dashboard!A:G,7,FALSE)</f>
        <v>Note : NTU team to work on the stories, identify suitable usecases as well with the provided usecases to design the layout</v>
      </c>
    </row>
    <row r="77" spans="1:13">
      <c r="A77" s="31"/>
      <c r="B77" s="32"/>
      <c r="C77" s="32"/>
      <c r="D77" s="31"/>
      <c r="E77" s="37" t="s">
        <v>369</v>
      </c>
      <c r="F77" s="102">
        <f>IF(F82="",2,1)</f>
        <v>2</v>
      </c>
      <c r="G77" s="33" t="s">
        <v>366</v>
      </c>
      <c r="H77" s="31"/>
      <c r="I77" s="32"/>
      <c r="J77" s="101"/>
      <c r="K77" s="32"/>
      <c r="L77" s="100"/>
    </row>
    <row r="78" spans="1:13">
      <c r="A78" s="31"/>
      <c r="B78" s="32"/>
      <c r="C78" s="32"/>
      <c r="D78" s="31"/>
      <c r="E78" s="37" t="s">
        <v>368</v>
      </c>
      <c r="F78" s="37" t="str">
        <f ca="1">M76</f>
        <v>Note : NTU team to work on the stories, identify suitable usecases as well with the provided usecases to design the layout</v>
      </c>
      <c r="G78" s="33" t="s">
        <v>367</v>
      </c>
      <c r="H78" s="31"/>
      <c r="I78" s="32"/>
      <c r="J78" s="101"/>
      <c r="K78" s="32"/>
      <c r="L78" s="100"/>
    </row>
    <row r="79" spans="1:13">
      <c r="A79" s="31"/>
      <c r="B79" s="32"/>
      <c r="C79" s="32"/>
      <c r="D79" s="31"/>
      <c r="E79" s="37" t="s">
        <v>374</v>
      </c>
      <c r="F79" s="37"/>
      <c r="G79" s="33" t="s">
        <v>367</v>
      </c>
      <c r="H79" s="31"/>
      <c r="I79" s="32"/>
      <c r="J79" s="101"/>
      <c r="K79" s="32"/>
      <c r="L79" s="100"/>
    </row>
    <row r="80" spans="1:13">
      <c r="A80" s="31"/>
      <c r="B80" s="32"/>
      <c r="C80" s="32"/>
      <c r="D80" s="31"/>
      <c r="E80" s="37" t="s">
        <v>395</v>
      </c>
      <c r="F80" s="37" t="s">
        <v>394</v>
      </c>
      <c r="G80" s="33" t="s">
        <v>366</v>
      </c>
      <c r="H80" s="31"/>
      <c r="I80" s="32"/>
      <c r="J80" s="101"/>
      <c r="K80" s="32"/>
      <c r="L80" s="100"/>
    </row>
    <row r="81" spans="1:13">
      <c r="A81" s="31"/>
      <c r="B81" s="32"/>
      <c r="C81" s="32"/>
      <c r="D81" s="31"/>
      <c r="E81" s="37" t="s">
        <v>386</v>
      </c>
      <c r="F81" s="37" t="str">
        <f ca="1">IF(VLOOKUP(L76,Dashboard!A:G,2,FALSE)&lt;&gt;"","'plan': true"&amp;CHAR(44)&amp;"'actual': false","")</f>
        <v/>
      </c>
      <c r="G81" s="33" t="s">
        <v>385</v>
      </c>
      <c r="H81" s="31"/>
      <c r="I81" s="32"/>
      <c r="J81" s="101"/>
      <c r="K81" s="32"/>
      <c r="L81" s="100"/>
    </row>
    <row r="82" spans="1:13" ht="15" thickBot="1">
      <c r="A82" s="31"/>
      <c r="B82" s="32"/>
      <c r="C82" s="32"/>
      <c r="D82" s="28"/>
      <c r="E82" s="43" t="str">
        <f>IF(F82="","//","")&amp;"nestedGroups: ["</f>
        <v>//nestedGroups: [</v>
      </c>
      <c r="F82" s="43"/>
      <c r="G82" s="30" t="s">
        <v>370</v>
      </c>
      <c r="H82" s="31"/>
      <c r="I82" s="32"/>
      <c r="J82" s="101"/>
      <c r="K82" s="32"/>
      <c r="L82" s="100"/>
    </row>
    <row r="83" spans="1:13">
      <c r="A83" s="31"/>
      <c r="B83" s="32"/>
      <c r="C83" s="32"/>
      <c r="D83" s="25" t="s">
        <v>362</v>
      </c>
      <c r="E83" s="41"/>
      <c r="F83" s="41"/>
      <c r="G83" s="27"/>
      <c r="H83" s="31"/>
      <c r="I83" s="32"/>
      <c r="J83" s="101"/>
      <c r="K83" s="32"/>
      <c r="L83" s="100"/>
    </row>
    <row r="84" spans="1:13">
      <c r="A84" s="31"/>
      <c r="B84" s="32"/>
      <c r="C84" s="32"/>
      <c r="D84" s="31"/>
      <c r="E84" s="37" t="str">
        <f ca="1">"id: "&amp;K84</f>
        <v>id: "3.2"</v>
      </c>
      <c r="F84" s="37"/>
      <c r="G84" s="33" t="s">
        <v>366</v>
      </c>
      <c r="H84" s="31"/>
      <c r="I84" s="32"/>
      <c r="J84" s="101">
        <f>$J$2+COUNTA($J$1:J83)</f>
        <v>14</v>
      </c>
      <c r="K84" s="32" t="str">
        <f ca="1">CHAR(34)&amp;L84&amp;CHAR(34)</f>
        <v>"3.2"</v>
      </c>
      <c r="L84" s="100" t="str">
        <f ca="1">INDIRECT("Dashboard!A"&amp;J84)</f>
        <v>3.2</v>
      </c>
      <c r="M84" s="32" t="str">
        <f ca="1">VLOOKUP(L84,Dashboard!A:G,7,FALSE)</f>
        <v>(V1.0) Technical design document of the UI interface for both Web and Mobile (Android) agreeable layout design</v>
      </c>
    </row>
    <row r="85" spans="1:13">
      <c r="A85" s="31"/>
      <c r="B85" s="32"/>
      <c r="C85" s="32"/>
      <c r="D85" s="31"/>
      <c r="E85" s="37" t="s">
        <v>369</v>
      </c>
      <c r="F85" s="102">
        <f>IF(F90="",2,1)</f>
        <v>2</v>
      </c>
      <c r="G85" s="33" t="s">
        <v>366</v>
      </c>
      <c r="H85" s="31"/>
      <c r="I85" s="32"/>
      <c r="J85" s="101"/>
      <c r="K85" s="32"/>
      <c r="L85" s="100"/>
    </row>
    <row r="86" spans="1:13">
      <c r="A86" s="31"/>
      <c r="B86" s="32"/>
      <c r="C86" s="32"/>
      <c r="D86" s="31"/>
      <c r="E86" s="37" t="s">
        <v>368</v>
      </c>
      <c r="F86" s="37" t="str">
        <f ca="1">M84</f>
        <v>(V1.0) Technical design document of the UI interface for both Web and Mobile (Android) agreeable layout design</v>
      </c>
      <c r="G86" s="33" t="s">
        <v>367</v>
      </c>
      <c r="H86" s="31"/>
      <c r="I86" s="32"/>
      <c r="J86" s="101"/>
      <c r="K86" s="32"/>
      <c r="L86" s="100"/>
    </row>
    <row r="87" spans="1:13">
      <c r="A87" s="31"/>
      <c r="B87" s="32"/>
      <c r="C87" s="32"/>
      <c r="D87" s="31"/>
      <c r="E87" s="37" t="s">
        <v>374</v>
      </c>
      <c r="F87" s="37"/>
      <c r="G87" s="33" t="s">
        <v>367</v>
      </c>
      <c r="H87" s="31"/>
      <c r="I87" s="32"/>
      <c r="J87" s="101"/>
      <c r="K87" s="32"/>
      <c r="L87" s="100"/>
    </row>
    <row r="88" spans="1:13">
      <c r="A88" s="31"/>
      <c r="B88" s="32"/>
      <c r="C88" s="32"/>
      <c r="D88" s="31"/>
      <c r="E88" s="37" t="s">
        <v>395</v>
      </c>
      <c r="F88" s="37" t="s">
        <v>394</v>
      </c>
      <c r="G88" s="33" t="s">
        <v>366</v>
      </c>
      <c r="H88" s="31"/>
      <c r="I88" s="32"/>
      <c r="J88" s="101"/>
      <c r="K88" s="32"/>
      <c r="L88" s="100"/>
    </row>
    <row r="89" spans="1:13">
      <c r="A89" s="31"/>
      <c r="B89" s="32"/>
      <c r="C89" s="32"/>
      <c r="D89" s="31"/>
      <c r="E89" s="37" t="s">
        <v>386</v>
      </c>
      <c r="F89" s="37" t="str">
        <f ca="1">IF(VLOOKUP(L84,Dashboard!A:G,2,FALSE)&lt;&gt;"","'plan': true"&amp;CHAR(44)&amp;"'actual': false","")</f>
        <v>'plan': true,'actual': false</v>
      </c>
      <c r="G89" s="33" t="s">
        <v>385</v>
      </c>
      <c r="H89" s="31"/>
      <c r="I89" s="32"/>
      <c r="J89" s="101"/>
      <c r="K89" s="32"/>
      <c r="L89" s="100"/>
    </row>
    <row r="90" spans="1:13" ht="15" thickBot="1">
      <c r="A90" s="31"/>
      <c r="B90" s="32"/>
      <c r="C90" s="32"/>
      <c r="D90" s="28"/>
      <c r="E90" s="43" t="str">
        <f>IF(F90="","//","")&amp;"nestedGroups: ["</f>
        <v>//nestedGroups: [</v>
      </c>
      <c r="F90" s="43"/>
      <c r="G90" s="30" t="s">
        <v>370</v>
      </c>
      <c r="H90" s="31"/>
      <c r="I90" s="32"/>
      <c r="J90" s="101"/>
      <c r="K90" s="32"/>
      <c r="L90" s="100"/>
    </row>
    <row r="91" spans="1:13">
      <c r="A91" s="31"/>
      <c r="B91" s="32"/>
      <c r="C91" s="32"/>
      <c r="D91" s="25" t="s">
        <v>362</v>
      </c>
      <c r="E91" s="41"/>
      <c r="F91" s="41"/>
      <c r="G91" s="27"/>
      <c r="H91" s="31"/>
      <c r="I91" s="32"/>
      <c r="J91" s="101"/>
      <c r="K91" s="32"/>
      <c r="L91" s="100"/>
    </row>
    <row r="92" spans="1:13">
      <c r="A92" s="31"/>
      <c r="B92" s="32"/>
      <c r="C92" s="32"/>
      <c r="D92" s="31"/>
      <c r="E92" s="37" t="str">
        <f ca="1">"id: "&amp;K92</f>
        <v>id: "3.3"</v>
      </c>
      <c r="F92" s="37"/>
      <c r="G92" s="33" t="s">
        <v>366</v>
      </c>
      <c r="H92" s="31"/>
      <c r="I92" s="32"/>
      <c r="J92" s="101">
        <f>$J$2+COUNTA($J$1:J91)</f>
        <v>15</v>
      </c>
      <c r="K92" s="32" t="str">
        <f ca="1">CHAR(34)&amp;L92&amp;CHAR(34)</f>
        <v>"3.3"</v>
      </c>
      <c r="L92" s="100" t="str">
        <f ca="1">INDIRECT("Dashboard!A"&amp;J92)</f>
        <v>3.3</v>
      </c>
      <c r="M92" s="32" t="str">
        <f ca="1">VLOOKUP(L92,Dashboard!A:G,7,FALSE)</f>
        <v>(V2.0) Technical design document of the UI interface for both Web and Mobile (Android) agreeable layout design</v>
      </c>
    </row>
    <row r="93" spans="1:13">
      <c r="A93" s="31"/>
      <c r="B93" s="32"/>
      <c r="C93" s="32"/>
      <c r="D93" s="31"/>
      <c r="E93" s="37" t="s">
        <v>369</v>
      </c>
      <c r="F93" s="102">
        <f>IF(F98="",2,1)</f>
        <v>2</v>
      </c>
      <c r="G93" s="33" t="s">
        <v>366</v>
      </c>
      <c r="H93" s="31"/>
      <c r="I93" s="32"/>
      <c r="J93" s="101"/>
      <c r="K93" s="32"/>
      <c r="L93" s="100"/>
    </row>
    <row r="94" spans="1:13">
      <c r="A94" s="31"/>
      <c r="B94" s="32"/>
      <c r="C94" s="32"/>
      <c r="D94" s="31"/>
      <c r="E94" s="37" t="s">
        <v>368</v>
      </c>
      <c r="F94" s="37" t="str">
        <f ca="1">M92</f>
        <v>(V2.0) Technical design document of the UI interface for both Web and Mobile (Android) agreeable layout design</v>
      </c>
      <c r="G94" s="33" t="s">
        <v>367</v>
      </c>
      <c r="H94" s="31"/>
      <c r="I94" s="32"/>
      <c r="J94" s="101"/>
      <c r="K94" s="32"/>
      <c r="L94" s="100"/>
    </row>
    <row r="95" spans="1:13">
      <c r="A95" s="31"/>
      <c r="B95" s="32"/>
      <c r="C95" s="32"/>
      <c r="D95" s="31"/>
      <c r="E95" s="37" t="s">
        <v>374</v>
      </c>
      <c r="F95" s="37"/>
      <c r="G95" s="33" t="s">
        <v>367</v>
      </c>
      <c r="H95" s="31"/>
      <c r="I95" s="32"/>
      <c r="J95" s="101"/>
      <c r="K95" s="32"/>
      <c r="L95" s="100"/>
    </row>
    <row r="96" spans="1:13">
      <c r="A96" s="31"/>
      <c r="B96" s="32"/>
      <c r="C96" s="32"/>
      <c r="D96" s="31"/>
      <c r="E96" s="37" t="s">
        <v>395</v>
      </c>
      <c r="F96" s="37" t="s">
        <v>394</v>
      </c>
      <c r="G96" s="33" t="s">
        <v>366</v>
      </c>
      <c r="H96" s="31"/>
      <c r="I96" s="32"/>
      <c r="J96" s="101"/>
      <c r="K96" s="32"/>
      <c r="L96" s="100"/>
    </row>
    <row r="97" spans="1:13">
      <c r="A97" s="31"/>
      <c r="B97" s="32"/>
      <c r="C97" s="32"/>
      <c r="D97" s="31"/>
      <c r="E97" s="37" t="s">
        <v>386</v>
      </c>
      <c r="F97" s="37" t="str">
        <f ca="1">IF(VLOOKUP(L92,Dashboard!A:G,2,FALSE)&lt;&gt;"","'plan': true"&amp;CHAR(44)&amp;"'actual': false","")</f>
        <v>'plan': true,'actual': false</v>
      </c>
      <c r="G97" s="33" t="s">
        <v>385</v>
      </c>
      <c r="H97" s="31"/>
      <c r="I97" s="32"/>
      <c r="J97" s="101"/>
      <c r="K97" s="32"/>
      <c r="L97" s="100"/>
    </row>
    <row r="98" spans="1:13" ht="15" thickBot="1">
      <c r="A98" s="31"/>
      <c r="B98" s="32"/>
      <c r="C98" s="32"/>
      <c r="D98" s="28"/>
      <c r="E98" s="43" t="str">
        <f>IF(F98="","//","")&amp;"nestedGroups: ["</f>
        <v>//nestedGroups: [</v>
      </c>
      <c r="F98" s="43"/>
      <c r="G98" s="30" t="s">
        <v>370</v>
      </c>
      <c r="H98" s="31"/>
      <c r="I98" s="32"/>
      <c r="J98" s="101"/>
      <c r="K98" s="32"/>
      <c r="L98" s="100"/>
    </row>
    <row r="99" spans="1:13">
      <c r="A99" s="31"/>
      <c r="B99" s="32"/>
      <c r="C99" s="32"/>
      <c r="D99" s="25" t="s">
        <v>362</v>
      </c>
      <c r="E99" s="114"/>
      <c r="F99" s="114"/>
      <c r="G99" s="27"/>
      <c r="H99" s="31"/>
      <c r="I99" s="32"/>
      <c r="J99" s="101"/>
      <c r="K99" s="32"/>
      <c r="L99" s="100"/>
    </row>
    <row r="100" spans="1:13">
      <c r="A100" s="31"/>
      <c r="B100" s="32"/>
      <c r="C100" s="32"/>
      <c r="D100" s="31"/>
      <c r="E100" s="37" t="str">
        <f ca="1">"id: "&amp;K100</f>
        <v>id: "4"</v>
      </c>
      <c r="F100" s="37"/>
      <c r="G100" s="33" t="s">
        <v>366</v>
      </c>
      <c r="H100" s="31"/>
      <c r="I100" s="32"/>
      <c r="J100" s="101">
        <f>$J$2+COUNTA($J$1:J99)</f>
        <v>16</v>
      </c>
      <c r="K100" s="32" t="str">
        <f ca="1">CHAR(34)&amp;L100&amp;CHAR(34)</f>
        <v>"4"</v>
      </c>
      <c r="L100" s="100" t="str">
        <f ca="1">INDIRECT("Dashboard!A"&amp;J100)</f>
        <v>4</v>
      </c>
      <c r="M100" s="32" t="str">
        <f ca="1">VLOOKUP(L100,Dashboard!A:G,7,FALSE)</f>
        <v>M3. Data Acquisition, Ingestion and Data Lake Framework</v>
      </c>
    </row>
    <row r="101" spans="1:13">
      <c r="A101" s="31"/>
      <c r="B101" s="32"/>
      <c r="C101" s="32"/>
      <c r="D101" s="31"/>
      <c r="E101" s="37" t="s">
        <v>369</v>
      </c>
      <c r="F101" s="102">
        <f>IF(F106="",2,1)</f>
        <v>1</v>
      </c>
      <c r="G101" s="33" t="s">
        <v>366</v>
      </c>
      <c r="H101" s="31"/>
      <c r="I101" s="32"/>
      <c r="J101" s="101"/>
      <c r="K101" s="32"/>
      <c r="L101" s="100"/>
    </row>
    <row r="102" spans="1:13">
      <c r="A102" s="31"/>
      <c r="B102" s="32"/>
      <c r="C102" s="32"/>
      <c r="D102" s="31"/>
      <c r="E102" s="37" t="s">
        <v>368</v>
      </c>
      <c r="F102" s="37" t="str">
        <f ca="1">M100</f>
        <v>M3. Data Acquisition, Ingestion and Data Lake Framework</v>
      </c>
      <c r="G102" s="33" t="s">
        <v>367</v>
      </c>
      <c r="H102" s="31"/>
      <c r="I102" s="32"/>
      <c r="J102" s="101"/>
      <c r="K102" s="32"/>
      <c r="L102" s="100"/>
    </row>
    <row r="103" spans="1:13">
      <c r="A103" s="31"/>
      <c r="B103" s="32"/>
      <c r="C103" s="32"/>
      <c r="D103" s="31"/>
      <c r="E103" s="37" t="s">
        <v>374</v>
      </c>
      <c r="F103" s="37"/>
      <c r="G103" s="33" t="s">
        <v>367</v>
      </c>
      <c r="H103" s="31"/>
      <c r="I103" s="32"/>
      <c r="J103" s="101"/>
      <c r="K103" s="32"/>
      <c r="L103" s="100"/>
    </row>
    <row r="104" spans="1:13">
      <c r="A104" s="31"/>
      <c r="B104" s="32"/>
      <c r="C104" s="32"/>
      <c r="D104" s="31"/>
      <c r="E104" s="37" t="s">
        <v>395</v>
      </c>
      <c r="F104" s="37" t="s">
        <v>394</v>
      </c>
      <c r="G104" s="33" t="s">
        <v>366</v>
      </c>
      <c r="H104" s="31"/>
      <c r="I104" s="32"/>
      <c r="J104" s="101"/>
      <c r="K104" s="32"/>
      <c r="L104" s="100"/>
    </row>
    <row r="105" spans="1:13">
      <c r="A105" s="31"/>
      <c r="B105" s="32"/>
      <c r="C105" s="32"/>
      <c r="D105" s="31"/>
      <c r="E105" s="37" t="s">
        <v>386</v>
      </c>
      <c r="F105" s="37" t="str">
        <f ca="1">IF(VLOOKUP(L100,Dashboard!A:G,2,FALSE)&lt;&gt;"","'plan': true"&amp;CHAR(44)&amp;"'actual': false","")</f>
        <v>'plan': true,'actual': false</v>
      </c>
      <c r="G105" s="33" t="s">
        <v>385</v>
      </c>
      <c r="H105" s="31"/>
      <c r="I105" s="32" t="s">
        <v>571</v>
      </c>
      <c r="J105" s="101"/>
      <c r="K105" s="32"/>
      <c r="L105" s="100"/>
    </row>
    <row r="106" spans="1:13" ht="15" thickBot="1">
      <c r="A106" s="31"/>
      <c r="B106" s="32"/>
      <c r="C106" s="32"/>
      <c r="D106" s="28"/>
      <c r="E106" s="43" t="str">
        <f>IF(F106="","//","")&amp;"nestedGroups: ["</f>
        <v>nestedGroups: [</v>
      </c>
      <c r="F106" s="37" t="str">
        <f>nestedGroups(5,I106*$I$2,", ")</f>
        <v>1, 0, 0, 1, 0, 0, 1, 0, 0, 1, 0, 0, 1, 0, 0, 1, 0, 0, 1, 0, 0, 1, 0, 0, 1, 0, 0, 1, 0, 0, 1, 0, 0, 1, 0, 0, 1, 0, 0, 1, 0</v>
      </c>
      <c r="G106" s="30" t="s">
        <v>370</v>
      </c>
      <c r="H106" s="31"/>
      <c r="I106" s="3">
        <v>5</v>
      </c>
      <c r="J106" s="101"/>
      <c r="K106" s="32"/>
      <c r="L106" s="100"/>
    </row>
    <row r="107" spans="1:13">
      <c r="A107" s="31"/>
      <c r="B107" s="32"/>
      <c r="C107" s="32"/>
      <c r="D107" s="25" t="s">
        <v>362</v>
      </c>
      <c r="E107" s="41"/>
      <c r="F107" s="41"/>
      <c r="G107" s="27"/>
      <c r="H107" s="31"/>
      <c r="I107" s="32"/>
      <c r="J107" s="101"/>
      <c r="K107" s="32"/>
      <c r="L107" s="100"/>
    </row>
    <row r="108" spans="1:13">
      <c r="A108" s="31"/>
      <c r="B108" s="32"/>
      <c r="C108" s="32"/>
      <c r="D108" s="31"/>
      <c r="E108" s="37" t="str">
        <f ca="1">"id: "&amp;K108</f>
        <v>id: "4.1"</v>
      </c>
      <c r="F108" s="37"/>
      <c r="G108" s="33" t="s">
        <v>366</v>
      </c>
      <c r="H108" s="31"/>
      <c r="I108" s="32"/>
      <c r="J108" s="101">
        <f>$J$2+COUNTA($J$1:J107)</f>
        <v>17</v>
      </c>
      <c r="K108" s="32" t="str">
        <f ca="1">CHAR(34)&amp;L108&amp;CHAR(34)</f>
        <v>"4.1"</v>
      </c>
      <c r="L108" s="100" t="str">
        <f ca="1">INDIRECT("Dashboard!A"&amp;J108)</f>
        <v>4.1</v>
      </c>
      <c r="M108" s="32" t="str">
        <f ca="1">VLOOKUP(L108,Dashboard!A:G,7,FALSE)</f>
        <v>Technical design document explaining the data schema and algorithm</v>
      </c>
    </row>
    <row r="109" spans="1:13">
      <c r="A109" s="31"/>
      <c r="B109" s="32"/>
      <c r="C109" s="32"/>
      <c r="D109" s="31"/>
      <c r="E109" s="37" t="s">
        <v>369</v>
      </c>
      <c r="F109" s="102">
        <f>IF(F114="",2,1)</f>
        <v>2</v>
      </c>
      <c r="G109" s="33" t="s">
        <v>366</v>
      </c>
      <c r="H109" s="31"/>
      <c r="I109" s="32"/>
      <c r="J109" s="101"/>
      <c r="K109" s="32"/>
      <c r="L109" s="100"/>
    </row>
    <row r="110" spans="1:13">
      <c r="A110" s="31"/>
      <c r="B110" s="32"/>
      <c r="C110" s="32"/>
      <c r="D110" s="31"/>
      <c r="E110" s="37" t="s">
        <v>368</v>
      </c>
      <c r="F110" s="37" t="str">
        <f ca="1">M108</f>
        <v>Technical design document explaining the data schema and algorithm</v>
      </c>
      <c r="G110" s="33" t="s">
        <v>367</v>
      </c>
      <c r="H110" s="31"/>
      <c r="I110" s="32"/>
      <c r="J110" s="101"/>
      <c r="K110" s="32"/>
      <c r="L110" s="100"/>
    </row>
    <row r="111" spans="1:13">
      <c r="A111" s="31"/>
      <c r="B111" s="32"/>
      <c r="C111" s="32"/>
      <c r="D111" s="31"/>
      <c r="E111" s="37" t="s">
        <v>374</v>
      </c>
      <c r="F111" s="37"/>
      <c r="G111" s="33" t="s">
        <v>367</v>
      </c>
      <c r="H111" s="31"/>
      <c r="I111" s="32"/>
      <c r="J111" s="101"/>
      <c r="K111" s="32"/>
      <c r="L111" s="100"/>
    </row>
    <row r="112" spans="1:13">
      <c r="A112" s="31"/>
      <c r="B112" s="32"/>
      <c r="C112" s="32"/>
      <c r="D112" s="31"/>
      <c r="E112" s="37" t="s">
        <v>395</v>
      </c>
      <c r="F112" s="37" t="s">
        <v>394</v>
      </c>
      <c r="G112" s="33" t="s">
        <v>366</v>
      </c>
      <c r="H112" s="31"/>
      <c r="I112" s="32"/>
      <c r="J112" s="101"/>
      <c r="K112" s="32"/>
      <c r="L112" s="100"/>
    </row>
    <row r="113" spans="1:13">
      <c r="A113" s="31"/>
      <c r="B113" s="32"/>
      <c r="C113" s="32"/>
      <c r="D113" s="31"/>
      <c r="E113" s="37" t="s">
        <v>386</v>
      </c>
      <c r="F113" s="37" t="str">
        <f ca="1">IF(VLOOKUP(L108,Dashboard!A:G,2,FALSE)&lt;&gt;"","'plan': true"&amp;CHAR(44)&amp;"'actual': false","")</f>
        <v>'plan': true,'actual': false</v>
      </c>
      <c r="G113" s="33" t="s">
        <v>385</v>
      </c>
      <c r="H113" s="31"/>
      <c r="I113" s="32"/>
      <c r="J113" s="101"/>
      <c r="K113" s="32"/>
      <c r="L113" s="100"/>
    </row>
    <row r="114" spans="1:13" ht="15" thickBot="1">
      <c r="A114" s="31"/>
      <c r="B114" s="32"/>
      <c r="C114" s="32"/>
      <c r="D114" s="28"/>
      <c r="E114" s="43" t="str">
        <f>IF(F114="","//","")&amp;"nestedGroups: ["</f>
        <v>//nestedGroups: [</v>
      </c>
      <c r="F114" s="43"/>
      <c r="G114" s="30" t="s">
        <v>370</v>
      </c>
      <c r="H114" s="31"/>
      <c r="I114" s="32"/>
      <c r="J114" s="101"/>
      <c r="K114" s="32"/>
      <c r="L114" s="100"/>
    </row>
    <row r="115" spans="1:13">
      <c r="A115" s="31"/>
      <c r="B115" s="32"/>
      <c r="C115" s="32"/>
      <c r="D115" s="25" t="s">
        <v>362</v>
      </c>
      <c r="E115" s="41"/>
      <c r="F115" s="41"/>
      <c r="G115" s="27"/>
      <c r="H115" s="31"/>
      <c r="I115" s="32"/>
      <c r="J115" s="101"/>
      <c r="K115" s="32"/>
      <c r="L115" s="100"/>
    </row>
    <row r="116" spans="1:13">
      <c r="A116" s="31"/>
      <c r="B116" s="32"/>
      <c r="C116" s="32"/>
      <c r="D116" s="31"/>
      <c r="E116" s="37" t="str">
        <f ca="1">"id: "&amp;K116</f>
        <v>id: "4.2"</v>
      </c>
      <c r="F116" s="37"/>
      <c r="G116" s="33" t="s">
        <v>366</v>
      </c>
      <c r="H116" s="31"/>
      <c r="I116" s="32"/>
      <c r="J116" s="101">
        <f>$J$2+COUNTA($J$1:J115)</f>
        <v>18</v>
      </c>
      <c r="K116" s="32" t="str">
        <f ca="1">CHAR(34)&amp;L116&amp;CHAR(34)</f>
        <v>"4.2"</v>
      </c>
      <c r="L116" s="100" t="str">
        <f ca="1">INDIRECT("Dashboard!A"&amp;J116)</f>
        <v>4.2</v>
      </c>
      <c r="M116" s="32" t="str">
        <f ca="1">VLOOKUP(L116,Dashboard!A:G,7,FALSE)</f>
        <v>Software Code</v>
      </c>
    </row>
    <row r="117" spans="1:13">
      <c r="A117" s="31"/>
      <c r="B117" s="32"/>
      <c r="C117" s="32"/>
      <c r="D117" s="31"/>
      <c r="E117" s="37" t="s">
        <v>369</v>
      </c>
      <c r="F117" s="102">
        <f>IF(F122="",2,1)</f>
        <v>2</v>
      </c>
      <c r="G117" s="33" t="s">
        <v>366</v>
      </c>
      <c r="H117" s="31"/>
      <c r="I117" s="32"/>
      <c r="J117" s="101"/>
      <c r="K117" s="32"/>
      <c r="L117" s="100"/>
    </row>
    <row r="118" spans="1:13">
      <c r="A118" s="31"/>
      <c r="B118" s="32"/>
      <c r="C118" s="32"/>
      <c r="D118" s="31"/>
      <c r="E118" s="37" t="s">
        <v>368</v>
      </c>
      <c r="F118" s="37" t="str">
        <f ca="1">M116</f>
        <v>Software Code</v>
      </c>
      <c r="G118" s="33" t="s">
        <v>367</v>
      </c>
      <c r="H118" s="31"/>
      <c r="I118" s="32"/>
      <c r="J118" s="101"/>
      <c r="K118" s="32"/>
      <c r="L118" s="100"/>
    </row>
    <row r="119" spans="1:13">
      <c r="A119" s="31"/>
      <c r="B119" s="32"/>
      <c r="C119" s="32"/>
      <c r="D119" s="31"/>
      <c r="E119" s="37" t="s">
        <v>374</v>
      </c>
      <c r="F119" s="37"/>
      <c r="G119" s="33" t="s">
        <v>367</v>
      </c>
      <c r="H119" s="31"/>
      <c r="I119" s="32"/>
      <c r="J119" s="101"/>
      <c r="K119" s="32"/>
      <c r="L119" s="100"/>
    </row>
    <row r="120" spans="1:13">
      <c r="A120" s="31"/>
      <c r="B120" s="32"/>
      <c r="C120" s="32"/>
      <c r="D120" s="31"/>
      <c r="E120" s="37" t="s">
        <v>395</v>
      </c>
      <c r="F120" s="37" t="s">
        <v>394</v>
      </c>
      <c r="G120" s="33" t="s">
        <v>366</v>
      </c>
      <c r="H120" s="31"/>
      <c r="I120" s="32"/>
      <c r="J120" s="101"/>
      <c r="K120" s="32"/>
      <c r="L120" s="100"/>
    </row>
    <row r="121" spans="1:13">
      <c r="A121" s="31"/>
      <c r="B121" s="32"/>
      <c r="C121" s="32"/>
      <c r="D121" s="31"/>
      <c r="E121" s="37" t="s">
        <v>386</v>
      </c>
      <c r="F121" s="37" t="str">
        <f ca="1">IF(VLOOKUP(L116,Dashboard!A:G,2,FALSE)&lt;&gt;"","'plan': true"&amp;CHAR(44)&amp;"'actual': false","")</f>
        <v>'plan': true,'actual': false</v>
      </c>
      <c r="G121" s="33" t="s">
        <v>385</v>
      </c>
      <c r="H121" s="31"/>
      <c r="I121" s="32"/>
      <c r="J121" s="101"/>
      <c r="K121" s="32"/>
      <c r="L121" s="100"/>
    </row>
    <row r="122" spans="1:13" ht="15" thickBot="1">
      <c r="A122" s="31"/>
      <c r="B122" s="32"/>
      <c r="C122" s="32"/>
      <c r="D122" s="28"/>
      <c r="E122" s="43" t="str">
        <f>IF(F122="","//","")&amp;"nestedGroups: ["</f>
        <v>//nestedGroups: [</v>
      </c>
      <c r="F122" s="43"/>
      <c r="G122" s="30" t="s">
        <v>370</v>
      </c>
      <c r="H122" s="31"/>
      <c r="I122" s="32"/>
      <c r="J122" s="101"/>
      <c r="K122" s="32"/>
      <c r="L122" s="100"/>
    </row>
    <row r="123" spans="1:13">
      <c r="A123" s="31"/>
      <c r="B123" s="32"/>
      <c r="C123" s="32"/>
      <c r="D123" s="25" t="s">
        <v>362</v>
      </c>
      <c r="E123" s="41"/>
      <c r="F123" s="41"/>
      <c r="G123" s="27"/>
      <c r="H123" s="31"/>
      <c r="I123" s="32"/>
      <c r="J123" s="101"/>
      <c r="K123" s="32"/>
      <c r="L123" s="100"/>
    </row>
    <row r="124" spans="1:13">
      <c r="A124" s="31"/>
      <c r="B124" s="32"/>
      <c r="C124" s="32"/>
      <c r="D124" s="31"/>
      <c r="E124" s="37" t="str">
        <f ca="1">"id: "&amp;K124</f>
        <v>id: "4.3"</v>
      </c>
      <c r="F124" s="37"/>
      <c r="G124" s="33" t="s">
        <v>366</v>
      </c>
      <c r="H124" s="31"/>
      <c r="I124" s="32"/>
      <c r="J124" s="101">
        <f>$J$2+COUNTA($J$1:J123)</f>
        <v>19</v>
      </c>
      <c r="K124" s="32" t="str">
        <f ca="1">CHAR(34)&amp;L124&amp;CHAR(34)</f>
        <v>"4.3"</v>
      </c>
      <c r="L124" s="100" t="str">
        <f ca="1">INDIRECT("Dashboard!A"&amp;J124)</f>
        <v>4.3</v>
      </c>
      <c r="M124" s="32" t="str">
        <f ca="1">VLOOKUP(L124,Dashboard!A:G,7,FALSE)</f>
        <v>Deployment Procedure of the code</v>
      </c>
    </row>
    <row r="125" spans="1:13">
      <c r="A125" s="31"/>
      <c r="B125" s="32"/>
      <c r="C125" s="32"/>
      <c r="D125" s="31"/>
      <c r="E125" s="37" t="s">
        <v>369</v>
      </c>
      <c r="F125" s="102">
        <f>IF(F130="",2,1)</f>
        <v>2</v>
      </c>
      <c r="G125" s="33" t="s">
        <v>366</v>
      </c>
      <c r="H125" s="31"/>
      <c r="I125" s="32"/>
      <c r="J125" s="101"/>
      <c r="K125" s="32"/>
      <c r="L125" s="100"/>
    </row>
    <row r="126" spans="1:13">
      <c r="A126" s="31"/>
      <c r="B126" s="32"/>
      <c r="C126" s="32"/>
      <c r="D126" s="31"/>
      <c r="E126" s="37" t="s">
        <v>368</v>
      </c>
      <c r="F126" s="37" t="str">
        <f ca="1">M124</f>
        <v>Deployment Procedure of the code</v>
      </c>
      <c r="G126" s="33" t="s">
        <v>367</v>
      </c>
      <c r="H126" s="31"/>
      <c r="I126" s="32"/>
      <c r="J126" s="101"/>
      <c r="K126" s="32"/>
      <c r="L126" s="100"/>
    </row>
    <row r="127" spans="1:13">
      <c r="A127" s="31"/>
      <c r="B127" s="32"/>
      <c r="C127" s="32"/>
      <c r="D127" s="31"/>
      <c r="E127" s="37" t="s">
        <v>374</v>
      </c>
      <c r="F127" s="37"/>
      <c r="G127" s="33" t="s">
        <v>367</v>
      </c>
      <c r="H127" s="31"/>
      <c r="I127" s="32"/>
      <c r="J127" s="101"/>
      <c r="K127" s="32"/>
      <c r="L127" s="100"/>
    </row>
    <row r="128" spans="1:13">
      <c r="A128" s="31"/>
      <c r="B128" s="32"/>
      <c r="C128" s="32"/>
      <c r="D128" s="31"/>
      <c r="E128" s="37" t="s">
        <v>395</v>
      </c>
      <c r="F128" s="37" t="s">
        <v>394</v>
      </c>
      <c r="G128" s="33" t="s">
        <v>366</v>
      </c>
      <c r="H128" s="31"/>
      <c r="I128" s="32"/>
      <c r="J128" s="101"/>
      <c r="K128" s="32"/>
      <c r="L128" s="100"/>
    </row>
    <row r="129" spans="1:13">
      <c r="A129" s="31"/>
      <c r="B129" s="32"/>
      <c r="C129" s="32"/>
      <c r="D129" s="31"/>
      <c r="E129" s="37" t="s">
        <v>386</v>
      </c>
      <c r="F129" s="37" t="str">
        <f ca="1">IF(VLOOKUP(L124,Dashboard!A:G,2,FALSE)&lt;&gt;"","'plan': true"&amp;CHAR(44)&amp;"'actual': false","")</f>
        <v>'plan': true,'actual': false</v>
      </c>
      <c r="G129" s="33" t="s">
        <v>385</v>
      </c>
      <c r="H129" s="31"/>
      <c r="I129" s="32"/>
      <c r="J129" s="101"/>
      <c r="K129" s="32"/>
      <c r="L129" s="100"/>
    </row>
    <row r="130" spans="1:13" ht="15" thickBot="1">
      <c r="A130" s="31"/>
      <c r="B130" s="32"/>
      <c r="C130" s="32"/>
      <c r="D130" s="28"/>
      <c r="E130" s="43" t="str">
        <f>IF(F130="","//","")&amp;"nestedGroups: ["</f>
        <v>//nestedGroups: [</v>
      </c>
      <c r="F130" s="43"/>
      <c r="G130" s="30" t="s">
        <v>370</v>
      </c>
      <c r="H130" s="31"/>
      <c r="I130" s="32"/>
      <c r="J130" s="101"/>
      <c r="K130" s="32"/>
      <c r="L130" s="100"/>
    </row>
    <row r="131" spans="1:13">
      <c r="A131" s="31"/>
      <c r="B131" s="32"/>
      <c r="C131" s="32"/>
      <c r="D131" s="25" t="s">
        <v>362</v>
      </c>
      <c r="E131" s="41"/>
      <c r="F131" s="41"/>
      <c r="G131" s="27"/>
      <c r="H131" s="31"/>
      <c r="I131" s="32"/>
      <c r="J131" s="101"/>
      <c r="K131" s="32"/>
      <c r="L131" s="100"/>
    </row>
    <row r="132" spans="1:13">
      <c r="A132" s="31"/>
      <c r="B132" s="32"/>
      <c r="C132" s="32"/>
      <c r="D132" s="31"/>
      <c r="E132" s="37" t="str">
        <f ca="1">"id: "&amp;K132</f>
        <v>id: "4.4"</v>
      </c>
      <c r="F132" s="37"/>
      <c r="G132" s="33" t="s">
        <v>366</v>
      </c>
      <c r="H132" s="31"/>
      <c r="I132" s="32"/>
      <c r="J132" s="101">
        <f>$J$2+COUNTA($J$1:J131)</f>
        <v>20</v>
      </c>
      <c r="K132" s="32" t="str">
        <f ca="1">CHAR(34)&amp;L132&amp;CHAR(34)</f>
        <v>"4.4"</v>
      </c>
      <c r="L132" s="100" t="str">
        <f ca="1">INDIRECT("Dashboard!A"&amp;J132)</f>
        <v>4.4</v>
      </c>
      <c r="M132" s="32" t="str">
        <f ca="1">VLOOKUP(L132,Dashboard!A:G,7,FALSE)</f>
        <v>Product usage guide with examples for all the functional usecases</v>
      </c>
    </row>
    <row r="133" spans="1:13">
      <c r="A133" s="31"/>
      <c r="B133" s="32"/>
      <c r="C133" s="32"/>
      <c r="D133" s="31"/>
      <c r="E133" s="37" t="s">
        <v>369</v>
      </c>
      <c r="F133" s="102">
        <f>IF(F138="",2,1)</f>
        <v>2</v>
      </c>
      <c r="G133" s="33" t="s">
        <v>366</v>
      </c>
      <c r="H133" s="31"/>
      <c r="I133" s="32"/>
      <c r="J133" s="101"/>
      <c r="K133" s="32"/>
      <c r="L133" s="100"/>
    </row>
    <row r="134" spans="1:13">
      <c r="A134" s="31"/>
      <c r="B134" s="32"/>
      <c r="C134" s="32"/>
      <c r="D134" s="31"/>
      <c r="E134" s="37" t="s">
        <v>368</v>
      </c>
      <c r="F134" s="37" t="str">
        <f ca="1">M132</f>
        <v>Product usage guide with examples for all the functional usecases</v>
      </c>
      <c r="G134" s="33" t="s">
        <v>367</v>
      </c>
      <c r="H134" s="31"/>
      <c r="I134" s="32"/>
      <c r="J134" s="101"/>
      <c r="K134" s="32"/>
      <c r="L134" s="100"/>
    </row>
    <row r="135" spans="1:13">
      <c r="A135" s="31"/>
      <c r="B135" s="32"/>
      <c r="C135" s="32"/>
      <c r="D135" s="31"/>
      <c r="E135" s="37" t="s">
        <v>374</v>
      </c>
      <c r="F135" s="37"/>
      <c r="G135" s="33" t="s">
        <v>367</v>
      </c>
      <c r="H135" s="31"/>
      <c r="I135" s="32"/>
      <c r="J135" s="101"/>
      <c r="K135" s="32"/>
      <c r="L135" s="100"/>
    </row>
    <row r="136" spans="1:13">
      <c r="A136" s="31"/>
      <c r="B136" s="32"/>
      <c r="C136" s="32"/>
      <c r="D136" s="31"/>
      <c r="E136" s="37" t="s">
        <v>395</v>
      </c>
      <c r="F136" s="37" t="s">
        <v>394</v>
      </c>
      <c r="G136" s="33" t="s">
        <v>366</v>
      </c>
      <c r="H136" s="31"/>
      <c r="I136" s="32"/>
      <c r="J136" s="101"/>
      <c r="K136" s="32"/>
      <c r="L136" s="100"/>
    </row>
    <row r="137" spans="1:13">
      <c r="A137" s="31"/>
      <c r="B137" s="32"/>
      <c r="C137" s="32"/>
      <c r="D137" s="31"/>
      <c r="E137" s="37" t="s">
        <v>386</v>
      </c>
      <c r="F137" s="37" t="str">
        <f ca="1">IF(VLOOKUP(L132,Dashboard!A:G,2,FALSE)&lt;&gt;"","'plan': true"&amp;CHAR(44)&amp;"'actual': false","")</f>
        <v>'plan': true,'actual': false</v>
      </c>
      <c r="G137" s="33" t="s">
        <v>385</v>
      </c>
      <c r="H137" s="31"/>
      <c r="I137" s="32"/>
      <c r="J137" s="101"/>
      <c r="K137" s="32"/>
      <c r="L137" s="100"/>
    </row>
    <row r="138" spans="1:13" ht="15" thickBot="1">
      <c r="A138" s="31"/>
      <c r="B138" s="32"/>
      <c r="C138" s="32"/>
      <c r="D138" s="28"/>
      <c r="E138" s="43" t="str">
        <f>IF(F138="","//","")&amp;"nestedGroups: ["</f>
        <v>//nestedGroups: [</v>
      </c>
      <c r="F138" s="43"/>
      <c r="G138" s="30" t="s">
        <v>370</v>
      </c>
      <c r="H138" s="31"/>
      <c r="I138" s="32"/>
      <c r="J138" s="101"/>
      <c r="K138" s="32"/>
      <c r="L138" s="100"/>
    </row>
    <row r="139" spans="1:13">
      <c r="A139" s="31"/>
      <c r="B139" s="32"/>
      <c r="C139" s="32"/>
      <c r="D139" s="25" t="s">
        <v>362</v>
      </c>
      <c r="E139" s="41"/>
      <c r="F139" s="41"/>
      <c r="G139" s="27"/>
      <c r="H139" s="31"/>
      <c r="I139" s="32"/>
      <c r="J139" s="101"/>
      <c r="K139" s="32"/>
      <c r="L139" s="100"/>
    </row>
    <row r="140" spans="1:13">
      <c r="A140" s="31"/>
      <c r="B140" s="32"/>
      <c r="C140" s="32"/>
      <c r="D140" s="31"/>
      <c r="E140" s="37" t="str">
        <f ca="1">"id: "&amp;K140</f>
        <v>id: "4.5"</v>
      </c>
      <c r="F140" s="37"/>
      <c r="G140" s="33" t="s">
        <v>366</v>
      </c>
      <c r="H140" s="31"/>
      <c r="I140" s="32"/>
      <c r="J140" s="101">
        <f>$J$2+COUNTA($J$1:J139)</f>
        <v>21</v>
      </c>
      <c r="K140" s="32" t="str">
        <f ca="1">CHAR(34)&amp;L140&amp;CHAR(34)</f>
        <v>"4.5"</v>
      </c>
      <c r="L140" s="100" t="str">
        <f ca="1">INDIRECT("Dashboard!A"&amp;J140)</f>
        <v>4.5</v>
      </c>
      <c r="M140" s="32" t="str">
        <f ca="1">VLOOKUP(L140,Dashboard!A:G,7,FALSE)</f>
        <v xml:space="preserve">Test report </v>
      </c>
    </row>
    <row r="141" spans="1:13">
      <c r="A141" s="31"/>
      <c r="B141" s="32"/>
      <c r="C141" s="32"/>
      <c r="D141" s="31"/>
      <c r="E141" s="37" t="s">
        <v>369</v>
      </c>
      <c r="F141" s="102">
        <f>IF(F146="",2,1)</f>
        <v>2</v>
      </c>
      <c r="G141" s="33" t="s">
        <v>366</v>
      </c>
      <c r="H141" s="31"/>
      <c r="I141" s="32"/>
      <c r="J141" s="101"/>
      <c r="K141" s="32"/>
      <c r="L141" s="100"/>
    </row>
    <row r="142" spans="1:13">
      <c r="A142" s="31"/>
      <c r="B142" s="32"/>
      <c r="C142" s="32"/>
      <c r="D142" s="31"/>
      <c r="E142" s="37" t="s">
        <v>368</v>
      </c>
      <c r="F142" s="37" t="str">
        <f ca="1">M140</f>
        <v xml:space="preserve">Test report </v>
      </c>
      <c r="G142" s="33" t="s">
        <v>367</v>
      </c>
      <c r="H142" s="31"/>
      <c r="I142" s="32"/>
      <c r="J142" s="101"/>
      <c r="K142" s="32"/>
      <c r="L142" s="100"/>
    </row>
    <row r="143" spans="1:13">
      <c r="A143" s="31"/>
      <c r="B143" s="32"/>
      <c r="C143" s="32"/>
      <c r="D143" s="31"/>
      <c r="E143" s="37" t="s">
        <v>374</v>
      </c>
      <c r="F143" s="37"/>
      <c r="G143" s="33" t="s">
        <v>367</v>
      </c>
      <c r="H143" s="31"/>
      <c r="I143" s="32"/>
      <c r="J143" s="101"/>
      <c r="K143" s="32"/>
      <c r="L143" s="100"/>
    </row>
    <row r="144" spans="1:13">
      <c r="A144" s="31"/>
      <c r="B144" s="32"/>
      <c r="C144" s="32"/>
      <c r="D144" s="31"/>
      <c r="E144" s="37" t="s">
        <v>395</v>
      </c>
      <c r="F144" s="37" t="s">
        <v>394</v>
      </c>
      <c r="G144" s="33" t="s">
        <v>366</v>
      </c>
      <c r="H144" s="31"/>
      <c r="I144" s="32"/>
      <c r="J144" s="101"/>
      <c r="K144" s="32"/>
      <c r="L144" s="100"/>
    </row>
    <row r="145" spans="1:13">
      <c r="A145" s="31"/>
      <c r="B145" s="32"/>
      <c r="C145" s="32"/>
      <c r="D145" s="31"/>
      <c r="E145" s="37" t="s">
        <v>386</v>
      </c>
      <c r="F145" s="37" t="str">
        <f ca="1">IF(VLOOKUP(L140,Dashboard!A:G,2,FALSE)&lt;&gt;"","'plan': true"&amp;CHAR(44)&amp;"'actual': false","")</f>
        <v>'plan': true,'actual': false</v>
      </c>
      <c r="G145" s="33" t="s">
        <v>385</v>
      </c>
      <c r="H145" s="31"/>
      <c r="I145" s="32"/>
      <c r="J145" s="101"/>
      <c r="K145" s="32"/>
      <c r="L145" s="100"/>
    </row>
    <row r="146" spans="1:13" ht="15" thickBot="1">
      <c r="A146" s="31"/>
      <c r="B146" s="32"/>
      <c r="C146" s="32"/>
      <c r="D146" s="28"/>
      <c r="E146" s="43" t="str">
        <f>IF(F146="","//","")&amp;"nestedGroups: ["</f>
        <v>//nestedGroups: [</v>
      </c>
      <c r="F146" s="43"/>
      <c r="G146" s="30" t="s">
        <v>370</v>
      </c>
      <c r="H146" s="31"/>
      <c r="I146" s="32"/>
      <c r="J146" s="101"/>
      <c r="K146" s="32"/>
      <c r="L146" s="100"/>
    </row>
    <row r="147" spans="1:13">
      <c r="A147" s="31"/>
      <c r="B147" s="32"/>
      <c r="C147" s="32"/>
      <c r="D147" s="25" t="s">
        <v>362</v>
      </c>
      <c r="E147" s="114"/>
      <c r="F147" s="114"/>
      <c r="G147" s="27"/>
      <c r="H147" s="31"/>
      <c r="I147" s="32"/>
      <c r="J147" s="101"/>
      <c r="K147" s="32"/>
      <c r="L147" s="100"/>
    </row>
    <row r="148" spans="1:13">
      <c r="A148" s="31"/>
      <c r="B148" s="32"/>
      <c r="C148" s="32"/>
      <c r="D148" s="31"/>
      <c r="E148" s="37" t="str">
        <f ca="1">"id: "&amp;K148</f>
        <v>id: "5"</v>
      </c>
      <c r="F148" s="37"/>
      <c r="G148" s="33" t="s">
        <v>366</v>
      </c>
      <c r="H148" s="31"/>
      <c r="I148" s="32"/>
      <c r="J148" s="101">
        <f>$J$2+COUNTA($J$1:J147)</f>
        <v>22</v>
      </c>
      <c r="K148" s="32" t="str">
        <f ca="1">CHAR(34)&amp;L148&amp;CHAR(34)</f>
        <v>"5"</v>
      </c>
      <c r="L148" s="100" t="str">
        <f ca="1">INDIRECT("Dashboard!A"&amp;J148)</f>
        <v>5</v>
      </c>
      <c r="M148" s="32" t="str">
        <f ca="1">VLOOKUP(L148,Dashboard!A:G,7,FALSE)</f>
        <v>M4. Data Fusion Engine Framework and integration</v>
      </c>
    </row>
    <row r="149" spans="1:13">
      <c r="A149" s="31"/>
      <c r="B149" s="32"/>
      <c r="C149" s="32"/>
      <c r="D149" s="31"/>
      <c r="E149" s="37" t="s">
        <v>369</v>
      </c>
      <c r="F149" s="102">
        <f>IF(F154="",2,1)</f>
        <v>1</v>
      </c>
      <c r="G149" s="33" t="s">
        <v>366</v>
      </c>
      <c r="H149" s="31"/>
      <c r="I149" s="32"/>
      <c r="J149" s="101"/>
      <c r="K149" s="32"/>
      <c r="L149" s="100"/>
    </row>
    <row r="150" spans="1:13">
      <c r="A150" s="31"/>
      <c r="B150" s="32"/>
      <c r="C150" s="32"/>
      <c r="D150" s="31"/>
      <c r="E150" s="37" t="s">
        <v>368</v>
      </c>
      <c r="F150" s="37" t="str">
        <f ca="1">M148</f>
        <v>M4. Data Fusion Engine Framework and integration</v>
      </c>
      <c r="G150" s="33" t="s">
        <v>367</v>
      </c>
      <c r="H150" s="31"/>
      <c r="I150" s="32"/>
      <c r="J150" s="101"/>
      <c r="K150" s="32"/>
      <c r="L150" s="100"/>
    </row>
    <row r="151" spans="1:13">
      <c r="A151" s="31"/>
      <c r="B151" s="32"/>
      <c r="C151" s="32"/>
      <c r="D151" s="31"/>
      <c r="E151" s="37" t="s">
        <v>374</v>
      </c>
      <c r="F151" s="37"/>
      <c r="G151" s="33" t="s">
        <v>367</v>
      </c>
      <c r="H151" s="31"/>
      <c r="I151" s="32"/>
      <c r="J151" s="101"/>
      <c r="K151" s="32"/>
      <c r="L151" s="100"/>
    </row>
    <row r="152" spans="1:13">
      <c r="A152" s="31"/>
      <c r="B152" s="32"/>
      <c r="C152" s="32"/>
      <c r="D152" s="31"/>
      <c r="E152" s="37" t="s">
        <v>395</v>
      </c>
      <c r="F152" s="37" t="s">
        <v>394</v>
      </c>
      <c r="G152" s="33" t="s">
        <v>366</v>
      </c>
      <c r="H152" s="31"/>
      <c r="I152" s="32"/>
      <c r="J152" s="101"/>
      <c r="K152" s="32"/>
      <c r="L152" s="100"/>
    </row>
    <row r="153" spans="1:13">
      <c r="A153" s="31"/>
      <c r="B153" s="32"/>
      <c r="C153" s="32"/>
      <c r="D153" s="31"/>
      <c r="E153" s="37" t="s">
        <v>386</v>
      </c>
      <c r="F153" s="37" t="str">
        <f ca="1">IF(VLOOKUP(L148,Dashboard!A:G,2,FALSE)&lt;&gt;"","'plan': true"&amp;CHAR(44)&amp;"'actual': false","")</f>
        <v>'plan': true,'actual': false</v>
      </c>
      <c r="G153" s="33" t="s">
        <v>385</v>
      </c>
      <c r="H153" s="31"/>
      <c r="I153" s="32" t="s">
        <v>571</v>
      </c>
      <c r="J153" s="101"/>
      <c r="K153" s="32"/>
      <c r="L153" s="100"/>
    </row>
    <row r="154" spans="1:13" ht="15" thickBot="1">
      <c r="A154" s="31"/>
      <c r="B154" s="32"/>
      <c r="C154" s="32"/>
      <c r="D154" s="28"/>
      <c r="E154" s="43" t="str">
        <f>IF(F154="","//","")&amp;"nestedGroups: ["</f>
        <v>nestedGroups: [</v>
      </c>
      <c r="F154" s="37" t="str">
        <f>nestedGroups(5,I154*$I$2,", ")</f>
        <v>1, 0, 0, 1, 0, 0, 1, 0, 0, 1, 0, 0, 1, 0, 0, 1, 0, 0, 1, 0, 0, 1, 0, 0, 1, 0, 0, 1, 0, 0, 1, 0, 0, 1, 0, 0, 1, 0, 0, 1, 0, 0, 1, 0, 0, 1, 0, 0, 1, 0, 0, 1, 0, 0, 1, 0, 0</v>
      </c>
      <c r="G154" s="30" t="s">
        <v>370</v>
      </c>
      <c r="H154" s="31"/>
      <c r="I154" s="3">
        <v>7</v>
      </c>
      <c r="J154" s="101"/>
      <c r="K154" s="32"/>
      <c r="L154" s="100"/>
    </row>
    <row r="155" spans="1:13">
      <c r="A155" s="31"/>
      <c r="B155" s="32"/>
      <c r="C155" s="32"/>
      <c r="D155" s="25" t="s">
        <v>362</v>
      </c>
      <c r="E155" s="41"/>
      <c r="F155" s="41"/>
      <c r="G155" s="27"/>
      <c r="H155" s="31"/>
      <c r="I155" s="32"/>
      <c r="J155" s="101"/>
      <c r="K155" s="32"/>
      <c r="L155" s="100"/>
    </row>
    <row r="156" spans="1:13">
      <c r="A156" s="31"/>
      <c r="B156" s="32"/>
      <c r="C156" s="32"/>
      <c r="D156" s="31"/>
      <c r="E156" s="37" t="str">
        <f ca="1">"id: "&amp;K156</f>
        <v>id: "5.1"</v>
      </c>
      <c r="F156" s="37"/>
      <c r="G156" s="33" t="s">
        <v>366</v>
      </c>
      <c r="H156" s="31"/>
      <c r="I156" s="32"/>
      <c r="J156" s="101">
        <f>$J$2+COUNTA($J$1:J155)</f>
        <v>23</v>
      </c>
      <c r="K156" s="32" t="str">
        <f ca="1">CHAR(34)&amp;L156&amp;CHAR(34)</f>
        <v>"5.1"</v>
      </c>
      <c r="L156" s="100" t="str">
        <f ca="1">INDIRECT("Dashboard!A"&amp;J156)</f>
        <v>5.1</v>
      </c>
      <c r="M156" s="32" t="str">
        <f ca="1">VLOOKUP(L156,Dashboard!A:G,7,FALSE)</f>
        <v>(V1) Technical design document explaining the data schema and algorithm</v>
      </c>
    </row>
    <row r="157" spans="1:13">
      <c r="A157" s="31"/>
      <c r="B157" s="32"/>
      <c r="C157" s="32"/>
      <c r="D157" s="31"/>
      <c r="E157" s="37" t="s">
        <v>369</v>
      </c>
      <c r="F157" s="102">
        <f>IF(F162="",2,1)</f>
        <v>2</v>
      </c>
      <c r="G157" s="33" t="s">
        <v>366</v>
      </c>
      <c r="H157" s="31"/>
      <c r="I157" s="32"/>
      <c r="J157" s="101"/>
      <c r="K157" s="32"/>
      <c r="L157" s="100"/>
    </row>
    <row r="158" spans="1:13">
      <c r="A158" s="31"/>
      <c r="B158" s="32"/>
      <c r="C158" s="32"/>
      <c r="D158" s="31"/>
      <c r="E158" s="37" t="s">
        <v>368</v>
      </c>
      <c r="F158" s="37" t="str">
        <f ca="1">M156</f>
        <v>(V1) Technical design document explaining the data schema and algorithm</v>
      </c>
      <c r="G158" s="33" t="s">
        <v>367</v>
      </c>
      <c r="H158" s="31"/>
      <c r="I158" s="32"/>
      <c r="J158" s="101"/>
      <c r="K158" s="32"/>
      <c r="L158" s="100"/>
    </row>
    <row r="159" spans="1:13">
      <c r="A159" s="31"/>
      <c r="B159" s="32"/>
      <c r="C159" s="32"/>
      <c r="D159" s="31"/>
      <c r="E159" s="37" t="s">
        <v>374</v>
      </c>
      <c r="F159" s="37"/>
      <c r="G159" s="33" t="s">
        <v>367</v>
      </c>
      <c r="H159" s="31"/>
      <c r="I159" s="32"/>
      <c r="J159" s="101"/>
      <c r="K159" s="32"/>
      <c r="L159" s="100"/>
    </row>
    <row r="160" spans="1:13">
      <c r="A160" s="31"/>
      <c r="B160" s="32"/>
      <c r="C160" s="32"/>
      <c r="D160" s="31"/>
      <c r="E160" s="37" t="s">
        <v>395</v>
      </c>
      <c r="F160" s="37" t="s">
        <v>394</v>
      </c>
      <c r="G160" s="33" t="s">
        <v>366</v>
      </c>
      <c r="H160" s="31"/>
      <c r="I160" s="32"/>
      <c r="J160" s="101"/>
      <c r="K160" s="32"/>
      <c r="L160" s="100"/>
    </row>
    <row r="161" spans="1:13">
      <c r="A161" s="31"/>
      <c r="B161" s="32"/>
      <c r="C161" s="32"/>
      <c r="D161" s="31"/>
      <c r="E161" s="37" t="s">
        <v>386</v>
      </c>
      <c r="F161" s="37" t="str">
        <f ca="1">IF(VLOOKUP(L156,Dashboard!A:G,2,FALSE)&lt;&gt;"","'plan': true"&amp;CHAR(44)&amp;"'actual': false","")</f>
        <v>'plan': true,'actual': false</v>
      </c>
      <c r="G161" s="33" t="s">
        <v>385</v>
      </c>
      <c r="H161" s="31"/>
      <c r="I161" s="32"/>
      <c r="J161" s="101"/>
      <c r="K161" s="32"/>
      <c r="L161" s="100"/>
    </row>
    <row r="162" spans="1:13" ht="15" thickBot="1">
      <c r="A162" s="31"/>
      <c r="B162" s="32"/>
      <c r="C162" s="32"/>
      <c r="D162" s="28"/>
      <c r="E162" s="43" t="str">
        <f>IF(F162="","//","")&amp;"nestedGroups: ["</f>
        <v>//nestedGroups: [</v>
      </c>
      <c r="F162" s="43"/>
      <c r="G162" s="30" t="s">
        <v>370</v>
      </c>
      <c r="H162" s="31"/>
      <c r="I162" s="32"/>
      <c r="J162" s="101"/>
      <c r="K162" s="32"/>
      <c r="L162" s="100"/>
    </row>
    <row r="163" spans="1:13">
      <c r="A163" s="31"/>
      <c r="B163" s="32"/>
      <c r="C163" s="32"/>
      <c r="D163" s="25" t="s">
        <v>362</v>
      </c>
      <c r="E163" s="41"/>
      <c r="F163" s="41"/>
      <c r="G163" s="27"/>
      <c r="H163" s="31"/>
      <c r="I163" s="32"/>
      <c r="J163" s="101"/>
      <c r="K163" s="32"/>
      <c r="L163" s="100"/>
    </row>
    <row r="164" spans="1:13">
      <c r="A164" s="31"/>
      <c r="B164" s="32"/>
      <c r="C164" s="32"/>
      <c r="D164" s="31"/>
      <c r="E164" s="37" t="str">
        <f ca="1">"id: "&amp;K164</f>
        <v>id: "5.2"</v>
      </c>
      <c r="F164" s="37"/>
      <c r="G164" s="33" t="s">
        <v>366</v>
      </c>
      <c r="H164" s="31"/>
      <c r="I164" s="32"/>
      <c r="J164" s="101">
        <f>$J$2+COUNTA($J$1:J163)</f>
        <v>24</v>
      </c>
      <c r="K164" s="32" t="str">
        <f ca="1">CHAR(34)&amp;L164&amp;CHAR(34)</f>
        <v>"5.2"</v>
      </c>
      <c r="L164" s="100" t="str">
        <f ca="1">INDIRECT("Dashboard!A"&amp;J164)</f>
        <v>5.2</v>
      </c>
      <c r="M164" s="32" t="str">
        <f ca="1">VLOOKUP(L164,Dashboard!A:G,7,FALSE)</f>
        <v>(V2) Technical design document explaining the data schema and algorithm</v>
      </c>
    </row>
    <row r="165" spans="1:13">
      <c r="A165" s="31"/>
      <c r="B165" s="32"/>
      <c r="C165" s="32"/>
      <c r="D165" s="31"/>
      <c r="E165" s="37" t="s">
        <v>369</v>
      </c>
      <c r="F165" s="102">
        <f>IF(F170="",2,1)</f>
        <v>2</v>
      </c>
      <c r="G165" s="33" t="s">
        <v>366</v>
      </c>
      <c r="H165" s="31"/>
      <c r="I165" s="32"/>
      <c r="J165" s="101"/>
      <c r="K165" s="32"/>
      <c r="L165" s="100"/>
    </row>
    <row r="166" spans="1:13">
      <c r="A166" s="31"/>
      <c r="B166" s="32"/>
      <c r="C166" s="32"/>
      <c r="D166" s="31"/>
      <c r="E166" s="37" t="s">
        <v>368</v>
      </c>
      <c r="F166" s="37" t="str">
        <f ca="1">M164</f>
        <v>(V2) Technical design document explaining the data schema and algorithm</v>
      </c>
      <c r="G166" s="33" t="s">
        <v>367</v>
      </c>
      <c r="H166" s="31"/>
      <c r="I166" s="32"/>
      <c r="J166" s="101"/>
      <c r="K166" s="32"/>
      <c r="L166" s="100"/>
    </row>
    <row r="167" spans="1:13">
      <c r="A167" s="31"/>
      <c r="B167" s="32"/>
      <c r="C167" s="32"/>
      <c r="D167" s="31"/>
      <c r="E167" s="37" t="s">
        <v>374</v>
      </c>
      <c r="F167" s="37"/>
      <c r="G167" s="33" t="s">
        <v>367</v>
      </c>
      <c r="H167" s="31"/>
      <c r="I167" s="32"/>
      <c r="J167" s="101"/>
      <c r="K167" s="32"/>
      <c r="L167" s="100"/>
    </row>
    <row r="168" spans="1:13">
      <c r="A168" s="31"/>
      <c r="B168" s="32"/>
      <c r="C168" s="32"/>
      <c r="D168" s="31"/>
      <c r="E168" s="37" t="s">
        <v>395</v>
      </c>
      <c r="F168" s="37" t="s">
        <v>394</v>
      </c>
      <c r="G168" s="33" t="s">
        <v>366</v>
      </c>
      <c r="H168" s="31"/>
      <c r="I168" s="32"/>
      <c r="J168" s="101"/>
      <c r="K168" s="32"/>
      <c r="L168" s="100"/>
    </row>
    <row r="169" spans="1:13">
      <c r="A169" s="31"/>
      <c r="B169" s="32"/>
      <c r="C169" s="32"/>
      <c r="D169" s="31"/>
      <c r="E169" s="37" t="s">
        <v>386</v>
      </c>
      <c r="F169" s="37" t="str">
        <f ca="1">IF(VLOOKUP(L164,Dashboard!A:G,2,FALSE)&lt;&gt;"","'plan': true"&amp;CHAR(44)&amp;"'actual': false","")</f>
        <v>'plan': true,'actual': false</v>
      </c>
      <c r="G169" s="33" t="s">
        <v>385</v>
      </c>
      <c r="H169" s="31"/>
      <c r="I169" s="32"/>
      <c r="J169" s="101"/>
      <c r="K169" s="32"/>
      <c r="L169" s="100"/>
    </row>
    <row r="170" spans="1:13" ht="15" thickBot="1">
      <c r="A170" s="31"/>
      <c r="B170" s="32"/>
      <c r="C170" s="32"/>
      <c r="D170" s="28"/>
      <c r="E170" s="43" t="str">
        <f>IF(F170="","//","")&amp;"nestedGroups: ["</f>
        <v>//nestedGroups: [</v>
      </c>
      <c r="F170" s="43"/>
      <c r="G170" s="30" t="s">
        <v>370</v>
      </c>
      <c r="H170" s="31"/>
      <c r="I170" s="32"/>
      <c r="J170" s="101"/>
      <c r="K170" s="32"/>
      <c r="L170" s="100"/>
    </row>
    <row r="171" spans="1:13">
      <c r="A171" s="31"/>
      <c r="B171" s="32"/>
      <c r="C171" s="32"/>
      <c r="D171" s="25" t="s">
        <v>362</v>
      </c>
      <c r="E171" s="41"/>
      <c r="F171" s="41"/>
      <c r="G171" s="27"/>
      <c r="H171" s="31"/>
      <c r="I171" s="32"/>
      <c r="J171" s="101"/>
      <c r="K171" s="32"/>
      <c r="L171" s="100"/>
    </row>
    <row r="172" spans="1:13">
      <c r="A172" s="31"/>
      <c r="B172" s="32"/>
      <c r="C172" s="32"/>
      <c r="D172" s="31"/>
      <c r="E172" s="37" t="str">
        <f ca="1">"id: "&amp;K172</f>
        <v>id: "5.3"</v>
      </c>
      <c r="F172" s="37"/>
      <c r="G172" s="33" t="s">
        <v>366</v>
      </c>
      <c r="H172" s="31"/>
      <c r="I172" s="32"/>
      <c r="J172" s="101">
        <f>$J$2+COUNTA($J$1:J171)</f>
        <v>25</v>
      </c>
      <c r="K172" s="32" t="str">
        <f ca="1">CHAR(34)&amp;L172&amp;CHAR(34)</f>
        <v>"5.3"</v>
      </c>
      <c r="L172" s="100" t="str">
        <f ca="1">INDIRECT("Dashboard!A"&amp;J172)</f>
        <v>5.3</v>
      </c>
      <c r="M172" s="32" t="str">
        <f ca="1">VLOOKUP(L172,Dashboard!A:G,7,FALSE)</f>
        <v>(V1) Software Code</v>
      </c>
    </row>
    <row r="173" spans="1:13">
      <c r="A173" s="31"/>
      <c r="B173" s="32"/>
      <c r="C173" s="32"/>
      <c r="D173" s="31"/>
      <c r="E173" s="37" t="s">
        <v>369</v>
      </c>
      <c r="F173" s="102">
        <f>IF(F178="",2,1)</f>
        <v>2</v>
      </c>
      <c r="G173" s="33" t="s">
        <v>366</v>
      </c>
      <c r="H173" s="31"/>
      <c r="I173" s="32"/>
      <c r="J173" s="101"/>
      <c r="K173" s="32"/>
      <c r="L173" s="100"/>
    </row>
    <row r="174" spans="1:13">
      <c r="A174" s="31"/>
      <c r="B174" s="32"/>
      <c r="C174" s="32"/>
      <c r="D174" s="31"/>
      <c r="E174" s="37" t="s">
        <v>368</v>
      </c>
      <c r="F174" s="37" t="str">
        <f ca="1">M172</f>
        <v>(V1) Software Code</v>
      </c>
      <c r="G174" s="33" t="s">
        <v>367</v>
      </c>
      <c r="H174" s="31"/>
      <c r="I174" s="32"/>
      <c r="J174" s="101"/>
      <c r="K174" s="32"/>
      <c r="L174" s="100"/>
    </row>
    <row r="175" spans="1:13">
      <c r="A175" s="31"/>
      <c r="B175" s="32"/>
      <c r="C175" s="32"/>
      <c r="D175" s="31"/>
      <c r="E175" s="37" t="s">
        <v>374</v>
      </c>
      <c r="F175" s="37"/>
      <c r="G175" s="33" t="s">
        <v>367</v>
      </c>
      <c r="H175" s="31"/>
      <c r="I175" s="32"/>
      <c r="J175" s="101"/>
      <c r="K175" s="32"/>
      <c r="L175" s="100"/>
    </row>
    <row r="176" spans="1:13">
      <c r="A176" s="31"/>
      <c r="B176" s="32"/>
      <c r="C176" s="32"/>
      <c r="D176" s="31"/>
      <c r="E176" s="37" t="s">
        <v>395</v>
      </c>
      <c r="F176" s="37" t="s">
        <v>394</v>
      </c>
      <c r="G176" s="33" t="s">
        <v>366</v>
      </c>
      <c r="H176" s="31"/>
      <c r="I176" s="32"/>
      <c r="J176" s="101"/>
      <c r="K176" s="32"/>
      <c r="L176" s="100"/>
    </row>
    <row r="177" spans="1:13">
      <c r="A177" s="31"/>
      <c r="B177" s="32"/>
      <c r="C177" s="32"/>
      <c r="D177" s="31"/>
      <c r="E177" s="37" t="s">
        <v>386</v>
      </c>
      <c r="F177" s="37" t="str">
        <f ca="1">IF(VLOOKUP(L172,Dashboard!A:G,2,FALSE)&lt;&gt;"","'plan': true"&amp;CHAR(44)&amp;"'actual': false","")</f>
        <v>'plan': true,'actual': false</v>
      </c>
      <c r="G177" s="33" t="s">
        <v>385</v>
      </c>
      <c r="H177" s="31"/>
      <c r="I177" s="32"/>
      <c r="J177" s="101"/>
      <c r="K177" s="32"/>
      <c r="L177" s="100"/>
    </row>
    <row r="178" spans="1:13" ht="15" thickBot="1">
      <c r="A178" s="31"/>
      <c r="B178" s="32"/>
      <c r="C178" s="32"/>
      <c r="D178" s="28"/>
      <c r="E178" s="43" t="str">
        <f>IF(F178="","//","")&amp;"nestedGroups: ["</f>
        <v>//nestedGroups: [</v>
      </c>
      <c r="F178" s="43"/>
      <c r="G178" s="30" t="s">
        <v>370</v>
      </c>
      <c r="H178" s="31"/>
      <c r="I178" s="32"/>
      <c r="J178" s="101"/>
      <c r="K178" s="32"/>
      <c r="L178" s="100"/>
    </row>
    <row r="179" spans="1:13">
      <c r="A179" s="31"/>
      <c r="B179" s="32"/>
      <c r="C179" s="32"/>
      <c r="D179" s="25" t="s">
        <v>362</v>
      </c>
      <c r="E179" s="41"/>
      <c r="F179" s="41"/>
      <c r="G179" s="27"/>
      <c r="H179" s="31"/>
      <c r="I179" s="32"/>
      <c r="J179" s="101"/>
      <c r="K179" s="32"/>
      <c r="L179" s="100"/>
    </row>
    <row r="180" spans="1:13">
      <c r="A180" s="31"/>
      <c r="B180" s="32"/>
      <c r="C180" s="32"/>
      <c r="D180" s="31"/>
      <c r="E180" s="37" t="str">
        <f ca="1">"id: "&amp;K180</f>
        <v>id: "5.4"</v>
      </c>
      <c r="F180" s="37"/>
      <c r="G180" s="33" t="s">
        <v>366</v>
      </c>
      <c r="H180" s="31"/>
      <c r="I180" s="32"/>
      <c r="J180" s="101">
        <f>$J$2+COUNTA($J$1:J179)</f>
        <v>26</v>
      </c>
      <c r="K180" s="32" t="str">
        <f ca="1">CHAR(34)&amp;L180&amp;CHAR(34)</f>
        <v>"5.4"</v>
      </c>
      <c r="L180" s="100" t="str">
        <f ca="1">INDIRECT("Dashboard!A"&amp;J180)</f>
        <v>5.4</v>
      </c>
      <c r="M180" s="32" t="str">
        <f ca="1">VLOOKUP(L180,Dashboard!A:G,7,FALSE)</f>
        <v>(V2) Software Code</v>
      </c>
    </row>
    <row r="181" spans="1:13">
      <c r="A181" s="31"/>
      <c r="B181" s="32"/>
      <c r="C181" s="32"/>
      <c r="D181" s="31"/>
      <c r="E181" s="37" t="s">
        <v>369</v>
      </c>
      <c r="F181" s="102">
        <f>IF(F186="",2,1)</f>
        <v>2</v>
      </c>
      <c r="G181" s="33" t="s">
        <v>366</v>
      </c>
      <c r="H181" s="31"/>
      <c r="I181" s="32"/>
      <c r="J181" s="101"/>
      <c r="K181" s="32"/>
      <c r="L181" s="100"/>
    </row>
    <row r="182" spans="1:13">
      <c r="A182" s="31"/>
      <c r="B182" s="32"/>
      <c r="C182" s="32"/>
      <c r="D182" s="31"/>
      <c r="E182" s="37" t="s">
        <v>368</v>
      </c>
      <c r="F182" s="37" t="str">
        <f ca="1">M180</f>
        <v>(V2) Software Code</v>
      </c>
      <c r="G182" s="33" t="s">
        <v>367</v>
      </c>
      <c r="H182" s="31"/>
      <c r="I182" s="32"/>
      <c r="J182" s="101"/>
      <c r="K182" s="32"/>
      <c r="L182" s="100"/>
    </row>
    <row r="183" spans="1:13">
      <c r="A183" s="31"/>
      <c r="B183" s="32"/>
      <c r="C183" s="32"/>
      <c r="D183" s="31"/>
      <c r="E183" s="37" t="s">
        <v>374</v>
      </c>
      <c r="F183" s="37"/>
      <c r="G183" s="33" t="s">
        <v>367</v>
      </c>
      <c r="H183" s="31"/>
      <c r="I183" s="32"/>
      <c r="J183" s="101"/>
      <c r="K183" s="32"/>
      <c r="L183" s="100"/>
    </row>
    <row r="184" spans="1:13">
      <c r="A184" s="31"/>
      <c r="B184" s="32"/>
      <c r="C184" s="32"/>
      <c r="D184" s="31"/>
      <c r="E184" s="37" t="s">
        <v>395</v>
      </c>
      <c r="F184" s="37" t="s">
        <v>394</v>
      </c>
      <c r="G184" s="33" t="s">
        <v>366</v>
      </c>
      <c r="H184" s="31"/>
      <c r="I184" s="32"/>
      <c r="J184" s="101"/>
      <c r="K184" s="32"/>
      <c r="L184" s="100"/>
    </row>
    <row r="185" spans="1:13">
      <c r="A185" s="31"/>
      <c r="B185" s="32"/>
      <c r="C185" s="32"/>
      <c r="D185" s="31"/>
      <c r="E185" s="37" t="s">
        <v>386</v>
      </c>
      <c r="F185" s="37" t="str">
        <f ca="1">IF(VLOOKUP(L180,Dashboard!A:G,2,FALSE)&lt;&gt;"","'plan': true"&amp;CHAR(44)&amp;"'actual': false","")</f>
        <v>'plan': true,'actual': false</v>
      </c>
      <c r="G185" s="33" t="s">
        <v>385</v>
      </c>
      <c r="H185" s="31"/>
      <c r="I185" s="32"/>
      <c r="J185" s="101"/>
      <c r="K185" s="32"/>
      <c r="L185" s="100"/>
    </row>
    <row r="186" spans="1:13" ht="15" thickBot="1">
      <c r="A186" s="31"/>
      <c r="B186" s="32"/>
      <c r="C186" s="32"/>
      <c r="D186" s="28"/>
      <c r="E186" s="43" t="str">
        <f>IF(F186="","//","")&amp;"nestedGroups: ["</f>
        <v>//nestedGroups: [</v>
      </c>
      <c r="F186" s="43"/>
      <c r="G186" s="30" t="s">
        <v>370</v>
      </c>
      <c r="H186" s="31"/>
      <c r="I186" s="32"/>
      <c r="J186" s="101"/>
      <c r="K186" s="32"/>
      <c r="L186" s="100"/>
    </row>
    <row r="187" spans="1:13">
      <c r="A187" s="31"/>
      <c r="B187" s="32"/>
      <c r="C187" s="32"/>
      <c r="D187" s="25" t="s">
        <v>362</v>
      </c>
      <c r="E187" s="41"/>
      <c r="F187" s="41"/>
      <c r="G187" s="27"/>
      <c r="H187" s="31"/>
      <c r="I187" s="32"/>
      <c r="J187" s="101"/>
      <c r="K187" s="32"/>
      <c r="L187" s="100"/>
    </row>
    <row r="188" spans="1:13">
      <c r="A188" s="31"/>
      <c r="B188" s="32"/>
      <c r="C188" s="32"/>
      <c r="D188" s="31"/>
      <c r="E188" s="37" t="str">
        <f ca="1">"id: "&amp;K188</f>
        <v>id: "5.5"</v>
      </c>
      <c r="F188" s="37"/>
      <c r="G188" s="33" t="s">
        <v>366</v>
      </c>
      <c r="H188" s="31"/>
      <c r="I188" s="32"/>
      <c r="J188" s="101">
        <f>$J$2+COUNTA($J$1:J187)</f>
        <v>27</v>
      </c>
      <c r="K188" s="32" t="str">
        <f ca="1">CHAR(34)&amp;L188&amp;CHAR(34)</f>
        <v>"5.5"</v>
      </c>
      <c r="L188" s="100" t="str">
        <f ca="1">INDIRECT("Dashboard!A"&amp;J188)</f>
        <v>5.5</v>
      </c>
      <c r="M188" s="32" t="str">
        <f ca="1">VLOOKUP(L188,Dashboard!A:G,7,FALSE)</f>
        <v>Deployment Procedure of the code</v>
      </c>
    </row>
    <row r="189" spans="1:13">
      <c r="A189" s="31"/>
      <c r="B189" s="32"/>
      <c r="C189" s="32"/>
      <c r="D189" s="31"/>
      <c r="E189" s="37" t="s">
        <v>369</v>
      </c>
      <c r="F189" s="102">
        <f>IF(F194="",2,1)</f>
        <v>2</v>
      </c>
      <c r="G189" s="33" t="s">
        <v>366</v>
      </c>
      <c r="H189" s="31"/>
      <c r="I189" s="32"/>
      <c r="J189" s="101"/>
      <c r="K189" s="32"/>
      <c r="L189" s="100"/>
    </row>
    <row r="190" spans="1:13">
      <c r="A190" s="31"/>
      <c r="B190" s="32"/>
      <c r="C190" s="32"/>
      <c r="D190" s="31"/>
      <c r="E190" s="37" t="s">
        <v>368</v>
      </c>
      <c r="F190" s="37" t="str">
        <f ca="1">M188</f>
        <v>Deployment Procedure of the code</v>
      </c>
      <c r="G190" s="33" t="s">
        <v>367</v>
      </c>
      <c r="H190" s="31"/>
      <c r="I190" s="32"/>
      <c r="J190" s="101"/>
      <c r="K190" s="32"/>
      <c r="L190" s="100"/>
    </row>
    <row r="191" spans="1:13">
      <c r="A191" s="31"/>
      <c r="B191" s="32"/>
      <c r="C191" s="32"/>
      <c r="D191" s="31"/>
      <c r="E191" s="37" t="s">
        <v>374</v>
      </c>
      <c r="F191" s="37"/>
      <c r="G191" s="33" t="s">
        <v>367</v>
      </c>
      <c r="H191" s="31"/>
      <c r="I191" s="32"/>
      <c r="J191" s="101"/>
      <c r="K191" s="32"/>
      <c r="L191" s="100"/>
    </row>
    <row r="192" spans="1:13">
      <c r="A192" s="31"/>
      <c r="B192" s="32"/>
      <c r="C192" s="32"/>
      <c r="D192" s="31"/>
      <c r="E192" s="37" t="s">
        <v>395</v>
      </c>
      <c r="F192" s="37" t="s">
        <v>394</v>
      </c>
      <c r="G192" s="33" t="s">
        <v>366</v>
      </c>
      <c r="H192" s="31"/>
      <c r="I192" s="32"/>
      <c r="J192" s="101"/>
      <c r="K192" s="32"/>
      <c r="L192" s="100"/>
    </row>
    <row r="193" spans="1:13">
      <c r="A193" s="31"/>
      <c r="B193" s="32"/>
      <c r="C193" s="32"/>
      <c r="D193" s="31"/>
      <c r="E193" s="37" t="s">
        <v>386</v>
      </c>
      <c r="F193" s="37" t="str">
        <f ca="1">IF(VLOOKUP(L188,Dashboard!A:G,2,FALSE)&lt;&gt;"","'plan': true"&amp;CHAR(44)&amp;"'actual': false","")</f>
        <v>'plan': true,'actual': false</v>
      </c>
      <c r="G193" s="33" t="s">
        <v>385</v>
      </c>
      <c r="H193" s="31"/>
      <c r="I193" s="32"/>
      <c r="J193" s="101"/>
      <c r="K193" s="32"/>
      <c r="L193" s="100"/>
    </row>
    <row r="194" spans="1:13" ht="15" thickBot="1">
      <c r="A194" s="31"/>
      <c r="B194" s="32"/>
      <c r="C194" s="32"/>
      <c r="D194" s="28"/>
      <c r="E194" s="43" t="str">
        <f>IF(F194="","//","")&amp;"nestedGroups: ["</f>
        <v>//nestedGroups: [</v>
      </c>
      <c r="F194" s="43"/>
      <c r="G194" s="30" t="s">
        <v>370</v>
      </c>
      <c r="H194" s="31"/>
      <c r="I194" s="32"/>
      <c r="J194" s="101"/>
      <c r="K194" s="32"/>
      <c r="L194" s="100"/>
    </row>
    <row r="195" spans="1:13">
      <c r="A195" s="31"/>
      <c r="B195" s="32"/>
      <c r="C195" s="32"/>
      <c r="D195" s="25" t="s">
        <v>362</v>
      </c>
      <c r="E195" s="41"/>
      <c r="F195" s="41"/>
      <c r="G195" s="27"/>
      <c r="H195" s="31"/>
      <c r="I195" s="32"/>
      <c r="J195" s="101"/>
      <c r="K195" s="32"/>
      <c r="L195" s="100"/>
    </row>
    <row r="196" spans="1:13">
      <c r="A196" s="31"/>
      <c r="B196" s="32"/>
      <c r="C196" s="32"/>
      <c r="D196" s="31"/>
      <c r="E196" s="37" t="str">
        <f ca="1">"id: "&amp;K196</f>
        <v>id: "5.6"</v>
      </c>
      <c r="F196" s="37"/>
      <c r="G196" s="33" t="s">
        <v>366</v>
      </c>
      <c r="H196" s="31"/>
      <c r="I196" s="32"/>
      <c r="J196" s="101">
        <f>$J$2+COUNTA($J$1:J195)</f>
        <v>28</v>
      </c>
      <c r="K196" s="32" t="str">
        <f ca="1">CHAR(34)&amp;L196&amp;CHAR(34)</f>
        <v>"5.6"</v>
      </c>
      <c r="L196" s="100" t="str">
        <f ca="1">INDIRECT("Dashboard!A"&amp;J196)</f>
        <v>5.6</v>
      </c>
      <c r="M196" s="32" t="str">
        <f ca="1">VLOOKUP(L196,Dashboard!A:G,7,FALSE)</f>
        <v>Product usage guide with examples for all the functional usecases</v>
      </c>
    </row>
    <row r="197" spans="1:13">
      <c r="A197" s="31"/>
      <c r="B197" s="32"/>
      <c r="C197" s="32"/>
      <c r="D197" s="31"/>
      <c r="E197" s="37" t="s">
        <v>369</v>
      </c>
      <c r="F197" s="102">
        <f>IF(F202="",2,1)</f>
        <v>2</v>
      </c>
      <c r="G197" s="33" t="s">
        <v>366</v>
      </c>
      <c r="H197" s="31"/>
      <c r="I197" s="32"/>
      <c r="J197" s="101"/>
      <c r="K197" s="32"/>
      <c r="L197" s="100"/>
    </row>
    <row r="198" spans="1:13">
      <c r="A198" s="31"/>
      <c r="B198" s="32"/>
      <c r="C198" s="32"/>
      <c r="D198" s="31"/>
      <c r="E198" s="37" t="s">
        <v>368</v>
      </c>
      <c r="F198" s="37" t="str">
        <f ca="1">M196</f>
        <v>Product usage guide with examples for all the functional usecases</v>
      </c>
      <c r="G198" s="33" t="s">
        <v>367</v>
      </c>
      <c r="H198" s="31"/>
      <c r="I198" s="32"/>
      <c r="J198" s="101"/>
      <c r="K198" s="32"/>
      <c r="L198" s="100"/>
    </row>
    <row r="199" spans="1:13">
      <c r="A199" s="31"/>
      <c r="B199" s="32"/>
      <c r="C199" s="32"/>
      <c r="D199" s="31"/>
      <c r="E199" s="37" t="s">
        <v>374</v>
      </c>
      <c r="F199" s="37"/>
      <c r="G199" s="33" t="s">
        <v>367</v>
      </c>
      <c r="H199" s="31"/>
      <c r="I199" s="32"/>
      <c r="J199" s="101"/>
      <c r="K199" s="32"/>
      <c r="L199" s="100"/>
    </row>
    <row r="200" spans="1:13">
      <c r="A200" s="31"/>
      <c r="B200" s="32"/>
      <c r="C200" s="32"/>
      <c r="D200" s="31"/>
      <c r="E200" s="37" t="s">
        <v>395</v>
      </c>
      <c r="F200" s="37" t="s">
        <v>394</v>
      </c>
      <c r="G200" s="33" t="s">
        <v>366</v>
      </c>
      <c r="H200" s="31"/>
      <c r="I200" s="32"/>
      <c r="J200" s="101"/>
      <c r="K200" s="32"/>
      <c r="L200" s="100"/>
    </row>
    <row r="201" spans="1:13">
      <c r="A201" s="31"/>
      <c r="B201" s="32"/>
      <c r="C201" s="32"/>
      <c r="D201" s="31"/>
      <c r="E201" s="37" t="s">
        <v>386</v>
      </c>
      <c r="F201" s="37" t="str">
        <f ca="1">IF(VLOOKUP(L196,Dashboard!A:G,2,FALSE)&lt;&gt;"","'plan': true"&amp;CHAR(44)&amp;"'actual': false","")</f>
        <v>'plan': true,'actual': false</v>
      </c>
      <c r="G201" s="33" t="s">
        <v>385</v>
      </c>
      <c r="H201" s="31"/>
      <c r="I201" s="32"/>
      <c r="J201" s="101"/>
      <c r="K201" s="32"/>
      <c r="L201" s="100"/>
    </row>
    <row r="202" spans="1:13" ht="15" thickBot="1">
      <c r="A202" s="31"/>
      <c r="B202" s="32"/>
      <c r="C202" s="32"/>
      <c r="D202" s="28"/>
      <c r="E202" s="43" t="str">
        <f>IF(F202="","//","")&amp;"nestedGroups: ["</f>
        <v>//nestedGroups: [</v>
      </c>
      <c r="F202" s="43"/>
      <c r="G202" s="30" t="s">
        <v>370</v>
      </c>
      <c r="H202" s="31"/>
      <c r="I202" s="32"/>
      <c r="J202" s="101"/>
      <c r="K202" s="32"/>
      <c r="L202" s="100"/>
    </row>
    <row r="203" spans="1:13">
      <c r="A203" s="31"/>
      <c r="B203" s="32"/>
      <c r="C203" s="32"/>
      <c r="D203" s="25" t="s">
        <v>362</v>
      </c>
      <c r="E203" s="41"/>
      <c r="F203" s="41"/>
      <c r="G203" s="27"/>
      <c r="H203" s="31"/>
      <c r="I203" s="32"/>
      <c r="J203" s="101"/>
      <c r="K203" s="32"/>
      <c r="L203" s="100"/>
    </row>
    <row r="204" spans="1:13">
      <c r="A204" s="31"/>
      <c r="B204" s="32"/>
      <c r="C204" s="32"/>
      <c r="D204" s="31"/>
      <c r="E204" s="37" t="str">
        <f ca="1">"id: "&amp;K204</f>
        <v>id: "5.7"</v>
      </c>
      <c r="F204" s="37"/>
      <c r="G204" s="33" t="s">
        <v>366</v>
      </c>
      <c r="H204" s="31"/>
      <c r="I204" s="32"/>
      <c r="J204" s="101">
        <f>$J$2+COUNTA($J$1:J203)</f>
        <v>29</v>
      </c>
      <c r="K204" s="32" t="str">
        <f ca="1">CHAR(34)&amp;L204&amp;CHAR(34)</f>
        <v>"5.7"</v>
      </c>
      <c r="L204" s="100" t="str">
        <f ca="1">INDIRECT("Dashboard!A"&amp;J204)</f>
        <v>5.7</v>
      </c>
      <c r="M204" s="32" t="str">
        <f ca="1">VLOOKUP(L204,Dashboard!A:G,7,FALSE)</f>
        <v xml:space="preserve">Test report </v>
      </c>
    </row>
    <row r="205" spans="1:13">
      <c r="A205" s="31"/>
      <c r="B205" s="32"/>
      <c r="C205" s="32"/>
      <c r="D205" s="31"/>
      <c r="E205" s="37" t="s">
        <v>369</v>
      </c>
      <c r="F205" s="102">
        <f>IF(F210="",2,1)</f>
        <v>2</v>
      </c>
      <c r="G205" s="33" t="s">
        <v>366</v>
      </c>
      <c r="H205" s="31"/>
      <c r="I205" s="32"/>
      <c r="J205" s="101"/>
      <c r="K205" s="32"/>
      <c r="L205" s="100"/>
    </row>
    <row r="206" spans="1:13">
      <c r="A206" s="31"/>
      <c r="B206" s="32"/>
      <c r="C206" s="32"/>
      <c r="D206" s="31"/>
      <c r="E206" s="37" t="s">
        <v>368</v>
      </c>
      <c r="F206" s="37" t="str">
        <f ca="1">M204</f>
        <v xml:space="preserve">Test report </v>
      </c>
      <c r="G206" s="33" t="s">
        <v>367</v>
      </c>
      <c r="H206" s="31"/>
      <c r="I206" s="32"/>
      <c r="J206" s="101"/>
      <c r="K206" s="32"/>
      <c r="L206" s="100"/>
    </row>
    <row r="207" spans="1:13">
      <c r="A207" s="31"/>
      <c r="B207" s="32"/>
      <c r="C207" s="32"/>
      <c r="D207" s="31"/>
      <c r="E207" s="37" t="s">
        <v>374</v>
      </c>
      <c r="F207" s="37"/>
      <c r="G207" s="33" t="s">
        <v>367</v>
      </c>
      <c r="H207" s="31"/>
      <c r="I207" s="32"/>
      <c r="J207" s="101"/>
      <c r="K207" s="32"/>
      <c r="L207" s="100"/>
    </row>
    <row r="208" spans="1:13">
      <c r="A208" s="31"/>
      <c r="B208" s="32"/>
      <c r="C208" s="32"/>
      <c r="D208" s="31"/>
      <c r="E208" s="37" t="s">
        <v>395</v>
      </c>
      <c r="F208" s="37" t="s">
        <v>394</v>
      </c>
      <c r="G208" s="33" t="s">
        <v>366</v>
      </c>
      <c r="H208" s="31"/>
      <c r="I208" s="32"/>
      <c r="J208" s="101"/>
      <c r="K208" s="32"/>
      <c r="L208" s="100"/>
    </row>
    <row r="209" spans="1:13">
      <c r="A209" s="31"/>
      <c r="B209" s="32"/>
      <c r="C209" s="32"/>
      <c r="D209" s="31"/>
      <c r="E209" s="37" t="s">
        <v>386</v>
      </c>
      <c r="F209" s="37" t="str">
        <f ca="1">IF(VLOOKUP(L204,Dashboard!A:G,2,FALSE)&lt;&gt;"","'plan': true"&amp;CHAR(44)&amp;"'actual': false","")</f>
        <v>'plan': true,'actual': false</v>
      </c>
      <c r="G209" s="33" t="s">
        <v>385</v>
      </c>
      <c r="H209" s="31"/>
      <c r="I209" s="32"/>
      <c r="J209" s="101"/>
      <c r="K209" s="32"/>
      <c r="L209" s="100"/>
    </row>
    <row r="210" spans="1:13" ht="15" thickBot="1">
      <c r="A210" s="31"/>
      <c r="B210" s="32"/>
      <c r="C210" s="32"/>
      <c r="D210" s="28"/>
      <c r="E210" s="43" t="str">
        <f>IF(F210="","//","")&amp;"nestedGroups: ["</f>
        <v>//nestedGroups: [</v>
      </c>
      <c r="F210" s="43"/>
      <c r="G210" s="30" t="s">
        <v>370</v>
      </c>
      <c r="H210" s="31"/>
      <c r="I210" s="32"/>
      <c r="J210" s="101"/>
      <c r="K210" s="32"/>
      <c r="L210" s="100"/>
    </row>
    <row r="211" spans="1:13">
      <c r="A211" s="31"/>
      <c r="B211" s="32"/>
      <c r="C211" s="32"/>
      <c r="D211" s="25" t="s">
        <v>362</v>
      </c>
      <c r="E211" s="114"/>
      <c r="F211" s="114"/>
      <c r="G211" s="27"/>
      <c r="H211" s="31"/>
      <c r="I211" s="32"/>
      <c r="J211" s="101"/>
      <c r="K211" s="32"/>
      <c r="L211" s="100"/>
    </row>
    <row r="212" spans="1:13">
      <c r="A212" s="31"/>
      <c r="B212" s="32"/>
      <c r="C212" s="32"/>
      <c r="D212" s="31"/>
      <c r="E212" s="37" t="str">
        <f ca="1">"id: "&amp;K212</f>
        <v>id: "6"</v>
      </c>
      <c r="F212" s="37"/>
      <c r="G212" s="33" t="s">
        <v>366</v>
      </c>
      <c r="H212" s="31"/>
      <c r="I212" s="32"/>
      <c r="J212" s="101">
        <f>$J$2+COUNTA($J$1:J211)</f>
        <v>30</v>
      </c>
      <c r="K212" s="32" t="str">
        <f ca="1">CHAR(34)&amp;L212&amp;CHAR(34)</f>
        <v>"6"</v>
      </c>
      <c r="L212" s="100" t="str">
        <f ca="1">INDIRECT("Dashboard!A"&amp;J212)</f>
        <v>6</v>
      </c>
      <c r="M212" s="32" t="str">
        <f ca="1">VLOOKUP(L212,Dashboard!A:G,7,FALSE)</f>
        <v>M5. Decision and Prediction Engine AI/ML models - Prediction &amp; Energy  Optimization</v>
      </c>
    </row>
    <row r="213" spans="1:13">
      <c r="A213" s="31"/>
      <c r="B213" s="32"/>
      <c r="C213" s="32"/>
      <c r="D213" s="31"/>
      <c r="E213" s="37" t="s">
        <v>369</v>
      </c>
      <c r="F213" s="102">
        <f>IF(F218="",2,1)</f>
        <v>1</v>
      </c>
      <c r="G213" s="33" t="s">
        <v>366</v>
      </c>
      <c r="H213" s="31"/>
      <c r="I213" s="32"/>
      <c r="J213" s="101"/>
      <c r="K213" s="32"/>
      <c r="L213" s="100"/>
    </row>
    <row r="214" spans="1:13">
      <c r="A214" s="31"/>
      <c r="B214" s="32"/>
      <c r="C214" s="32"/>
      <c r="D214" s="31"/>
      <c r="E214" s="37" t="s">
        <v>368</v>
      </c>
      <c r="F214" s="37" t="str">
        <f ca="1">M212</f>
        <v>M5. Decision and Prediction Engine AI/ML models - Prediction &amp; Energy  Optimization</v>
      </c>
      <c r="G214" s="33" t="s">
        <v>367</v>
      </c>
      <c r="H214" s="31"/>
      <c r="I214" s="32"/>
      <c r="J214" s="101"/>
      <c r="K214" s="32"/>
      <c r="L214" s="100"/>
    </row>
    <row r="215" spans="1:13">
      <c r="A215" s="31"/>
      <c r="B215" s="32"/>
      <c r="C215" s="32"/>
      <c r="D215" s="31"/>
      <c r="E215" s="37" t="s">
        <v>374</v>
      </c>
      <c r="F215" s="37"/>
      <c r="G215" s="33" t="s">
        <v>367</v>
      </c>
      <c r="H215" s="31"/>
      <c r="I215" s="32"/>
      <c r="J215" s="101"/>
      <c r="K215" s="32"/>
      <c r="L215" s="100"/>
    </row>
    <row r="216" spans="1:13">
      <c r="A216" s="31"/>
      <c r="B216" s="32"/>
      <c r="C216" s="32"/>
      <c r="D216" s="31"/>
      <c r="E216" s="37" t="s">
        <v>395</v>
      </c>
      <c r="F216" s="37" t="s">
        <v>394</v>
      </c>
      <c r="G216" s="33" t="s">
        <v>366</v>
      </c>
      <c r="H216" s="31"/>
      <c r="I216" s="32"/>
      <c r="J216" s="101"/>
      <c r="K216" s="32"/>
      <c r="L216" s="100"/>
    </row>
    <row r="217" spans="1:13">
      <c r="A217" s="31"/>
      <c r="B217" s="32"/>
      <c r="C217" s="32"/>
      <c r="D217" s="31"/>
      <c r="E217" s="37" t="s">
        <v>386</v>
      </c>
      <c r="F217" s="37" t="str">
        <f ca="1">IF(VLOOKUP(L212,Dashboard!A:G,2,FALSE)&lt;&gt;"","'plan': true"&amp;CHAR(44)&amp;"'actual': false","")</f>
        <v>'plan': true,'actual': false</v>
      </c>
      <c r="G217" s="33" t="s">
        <v>385</v>
      </c>
      <c r="H217" s="31"/>
      <c r="I217" s="32" t="s">
        <v>571</v>
      </c>
      <c r="J217" s="101"/>
      <c r="K217" s="32"/>
      <c r="L217" s="100"/>
    </row>
    <row r="218" spans="1:13" ht="15" thickBot="1">
      <c r="A218" s="31"/>
      <c r="B218" s="32"/>
      <c r="C218" s="32"/>
      <c r="D218" s="28"/>
      <c r="E218" s="43" t="str">
        <f>IF(F218="","//","")&amp;"nestedGroups: ["</f>
        <v>nestedGroups: [</v>
      </c>
      <c r="F218" s="37" t="str">
        <f>nestedGroups(5,I218*$I$2,", ")</f>
        <v>0, 0, 1, 0, 0, 1, 0, 0, 1, 0, 0, 1, 0, 0, 1, 0, 0, 1, 0, 0, 1, 0, 0, 1, 0, 0, 1, 0, 0, 1, 0, 0, 1, 0, 0, 1, 0, 0, 1, 0, 0, 1, 0, 0, 1, 0, 0, 1, 0, 0, 1, 0, 0, 1, 0, 0, 1, 0, 0, 1, 0, 0, 1, 0, 0, 1, 0, 0, 1, 0, 0, 1, 0, 0, 1, 0, 0, 1, 0, 0, 1, 0, 0, 1, 0, 0, 1, 0, 0, 1, 0, 0, 1, 0, 0, 1, 0, 0, 1, 0, 0, 1, 0, 0, 1, 0, 0, 1, 0, 0, 1, 0, 0, 1, 0, 0, 1, 0, 0, 1, 0, 0, 1, 0, 0, 1, 0, 0, 1, 0, 0, 1, 0, 0, 1, 0, 0, 1, 0, 0, 1, 0, 0, 1, 0, 0, 1, 0, 0, 1, 0, 0, 1</v>
      </c>
      <c r="G218" s="30" t="s">
        <v>370</v>
      </c>
      <c r="H218" s="31"/>
      <c r="I218" s="3">
        <v>19</v>
      </c>
      <c r="J218" s="101"/>
      <c r="K218" s="32"/>
      <c r="L218" s="100"/>
    </row>
    <row r="219" spans="1:13">
      <c r="A219" s="31"/>
      <c r="B219" s="32"/>
      <c r="C219" s="32"/>
      <c r="D219" s="25" t="s">
        <v>362</v>
      </c>
      <c r="E219" s="41"/>
      <c r="F219" s="41"/>
      <c r="G219" s="27"/>
      <c r="H219" s="31"/>
      <c r="I219" s="32"/>
      <c r="J219" s="101"/>
      <c r="K219" s="32"/>
      <c r="L219" s="100"/>
    </row>
    <row r="220" spans="1:13">
      <c r="A220" s="31"/>
      <c r="B220" s="32"/>
      <c r="C220" s="32"/>
      <c r="D220" s="31"/>
      <c r="E220" s="37" t="str">
        <f ca="1">"id: "&amp;K220</f>
        <v>id: "6.1"</v>
      </c>
      <c r="F220" s="37"/>
      <c r="G220" s="33" t="s">
        <v>366</v>
      </c>
      <c r="H220" s="31"/>
      <c r="I220" s="32"/>
      <c r="J220" s="101">
        <f>$J$2+COUNTA($J$1:J219)</f>
        <v>31</v>
      </c>
      <c r="K220" s="32" t="str">
        <f ca="1">CHAR(34)&amp;L220&amp;CHAR(34)</f>
        <v>"6.1"</v>
      </c>
      <c r="L220" s="100" t="str">
        <f ca="1">INDIRECT("Dashboard!A"&amp;J220)</f>
        <v>6.1</v>
      </c>
      <c r="M220" s="32" t="str">
        <f ca="1">VLOOKUP(L220,Dashboard!A:G,7,FALSE)</f>
        <v>Energy optimization Module</v>
      </c>
    </row>
    <row r="221" spans="1:13">
      <c r="A221" s="31"/>
      <c r="B221" s="32"/>
      <c r="C221" s="32"/>
      <c r="D221" s="31"/>
      <c r="E221" s="37" t="s">
        <v>369</v>
      </c>
      <c r="F221" s="102">
        <f>IF(F226="",2,1)</f>
        <v>2</v>
      </c>
      <c r="G221" s="33" t="s">
        <v>366</v>
      </c>
      <c r="H221" s="31"/>
      <c r="I221" s="32"/>
      <c r="J221" s="101"/>
      <c r="K221" s="32"/>
      <c r="L221" s="100"/>
    </row>
    <row r="222" spans="1:13">
      <c r="A222" s="31"/>
      <c r="B222" s="32"/>
      <c r="C222" s="32"/>
      <c r="D222" s="31"/>
      <c r="E222" s="37" t="s">
        <v>368</v>
      </c>
      <c r="F222" s="37" t="str">
        <f ca="1">M220</f>
        <v>Energy optimization Module</v>
      </c>
      <c r="G222" s="33" t="s">
        <v>367</v>
      </c>
      <c r="H222" s="31"/>
      <c r="I222" s="32"/>
      <c r="J222" s="101"/>
      <c r="K222" s="32"/>
      <c r="L222" s="100"/>
    </row>
    <row r="223" spans="1:13">
      <c r="A223" s="31"/>
      <c r="B223" s="32"/>
      <c r="C223" s="32"/>
      <c r="D223" s="31"/>
      <c r="E223" s="37" t="s">
        <v>374</v>
      </c>
      <c r="F223" s="37"/>
      <c r="G223" s="33" t="s">
        <v>367</v>
      </c>
      <c r="H223" s="31"/>
      <c r="I223" s="32"/>
      <c r="J223" s="101"/>
      <c r="K223" s="32"/>
      <c r="L223" s="100"/>
    </row>
    <row r="224" spans="1:13">
      <c r="A224" s="31"/>
      <c r="B224" s="32"/>
      <c r="C224" s="32"/>
      <c r="D224" s="31"/>
      <c r="E224" s="37" t="s">
        <v>395</v>
      </c>
      <c r="F224" s="37" t="s">
        <v>394</v>
      </c>
      <c r="G224" s="33" t="s">
        <v>366</v>
      </c>
      <c r="H224" s="31"/>
      <c r="I224" s="32"/>
      <c r="J224" s="101"/>
      <c r="K224" s="32"/>
      <c r="L224" s="100"/>
    </row>
    <row r="225" spans="1:13">
      <c r="A225" s="31"/>
      <c r="B225" s="32"/>
      <c r="C225" s="32"/>
      <c r="D225" s="31"/>
      <c r="E225" s="37" t="s">
        <v>386</v>
      </c>
      <c r="F225" s="37" t="str">
        <f ca="1">IF(VLOOKUP(L220,Dashboard!A:G,2,FALSE)&lt;&gt;"","'plan': true"&amp;CHAR(44)&amp;"'actual': false","")</f>
        <v/>
      </c>
      <c r="G225" s="33" t="s">
        <v>385</v>
      </c>
      <c r="H225" s="31"/>
      <c r="I225" s="32"/>
      <c r="J225" s="101"/>
      <c r="K225" s="32"/>
      <c r="L225" s="100"/>
    </row>
    <row r="226" spans="1:13" ht="15" thickBot="1">
      <c r="A226" s="31"/>
      <c r="B226" s="32"/>
      <c r="C226" s="32"/>
      <c r="D226" s="28"/>
      <c r="E226" s="43" t="str">
        <f>IF(F226="","//","")&amp;"nestedGroups: ["</f>
        <v>//nestedGroups: [</v>
      </c>
      <c r="F226" s="43"/>
      <c r="G226" s="30" t="s">
        <v>370</v>
      </c>
      <c r="H226" s="31"/>
      <c r="I226" s="32"/>
      <c r="J226" s="101"/>
      <c r="K226" s="32"/>
      <c r="L226" s="100"/>
    </row>
    <row r="227" spans="1:13">
      <c r="A227" s="31"/>
      <c r="B227" s="32"/>
      <c r="C227" s="32"/>
      <c r="D227" s="25" t="s">
        <v>362</v>
      </c>
      <c r="E227" s="41"/>
      <c r="F227" s="41"/>
      <c r="G227" s="27"/>
      <c r="H227" s="31"/>
      <c r="I227" s="32"/>
      <c r="J227" s="101"/>
      <c r="K227" s="32"/>
      <c r="L227" s="100"/>
    </row>
    <row r="228" spans="1:13">
      <c r="A228" s="31"/>
      <c r="B228" s="32"/>
      <c r="C228" s="32"/>
      <c r="D228" s="31"/>
      <c r="E228" s="37" t="str">
        <f ca="1">"id: "&amp;K228</f>
        <v>id: "6.1.1"</v>
      </c>
      <c r="F228" s="37"/>
      <c r="G228" s="33" t="s">
        <v>366</v>
      </c>
      <c r="H228" s="31"/>
      <c r="I228" s="32"/>
      <c r="J228" s="101">
        <f>$J$2+COUNTA($J$1:J227)</f>
        <v>32</v>
      </c>
      <c r="K228" s="32" t="str">
        <f ca="1">CHAR(34)&amp;L228&amp;CHAR(34)</f>
        <v>"6.1.1"</v>
      </c>
      <c r="L228" s="100" t="str">
        <f ca="1">INDIRECT("Dashboard!A"&amp;J228)</f>
        <v>6.1.1</v>
      </c>
      <c r="M228" s="32" t="str">
        <f ca="1">VLOOKUP(L228,Dashboard!A:G,7,FALSE)</f>
        <v>Note : HVAC Management, Lighting Management</v>
      </c>
    </row>
    <row r="229" spans="1:13">
      <c r="A229" s="31"/>
      <c r="B229" s="32"/>
      <c r="C229" s="32"/>
      <c r="D229" s="31"/>
      <c r="E229" s="37" t="s">
        <v>369</v>
      </c>
      <c r="F229" s="102">
        <f>IF(F234="",2,1)</f>
        <v>2</v>
      </c>
      <c r="G229" s="33" t="s">
        <v>366</v>
      </c>
      <c r="H229" s="31"/>
      <c r="I229" s="32"/>
      <c r="J229" s="101"/>
      <c r="K229" s="32"/>
      <c r="L229" s="100"/>
    </row>
    <row r="230" spans="1:13">
      <c r="A230" s="31"/>
      <c r="B230" s="32"/>
      <c r="C230" s="32"/>
      <c r="D230" s="31"/>
      <c r="E230" s="37" t="s">
        <v>368</v>
      </c>
      <c r="F230" s="37" t="str">
        <f ca="1">M228</f>
        <v>Note : HVAC Management, Lighting Management</v>
      </c>
      <c r="G230" s="33" t="s">
        <v>367</v>
      </c>
      <c r="H230" s="31"/>
      <c r="I230" s="32"/>
      <c r="J230" s="101"/>
      <c r="K230" s="32"/>
      <c r="L230" s="100"/>
    </row>
    <row r="231" spans="1:13">
      <c r="A231" s="31"/>
      <c r="B231" s="32"/>
      <c r="C231" s="32"/>
      <c r="D231" s="31"/>
      <c r="E231" s="37" t="s">
        <v>374</v>
      </c>
      <c r="F231" s="37"/>
      <c r="G231" s="33" t="s">
        <v>367</v>
      </c>
      <c r="H231" s="31"/>
      <c r="I231" s="32"/>
      <c r="J231" s="101"/>
      <c r="K231" s="32"/>
      <c r="L231" s="100"/>
    </row>
    <row r="232" spans="1:13">
      <c r="A232" s="31"/>
      <c r="B232" s="32"/>
      <c r="C232" s="32"/>
      <c r="D232" s="31"/>
      <c r="E232" s="37" t="s">
        <v>395</v>
      </c>
      <c r="F232" s="37" t="s">
        <v>394</v>
      </c>
      <c r="G232" s="33" t="s">
        <v>366</v>
      </c>
      <c r="H232" s="31"/>
      <c r="I232" s="32"/>
      <c r="J232" s="101"/>
      <c r="K232" s="32"/>
      <c r="L232" s="100"/>
    </row>
    <row r="233" spans="1:13">
      <c r="A233" s="31"/>
      <c r="B233" s="32"/>
      <c r="C233" s="32"/>
      <c r="D233" s="31"/>
      <c r="E233" s="37" t="s">
        <v>386</v>
      </c>
      <c r="F233" s="37" t="str">
        <f ca="1">IF(VLOOKUP(L228,Dashboard!A:G,2,FALSE)&lt;&gt;"","'plan': true"&amp;CHAR(44)&amp;"'actual': false","")</f>
        <v/>
      </c>
      <c r="G233" s="33" t="s">
        <v>385</v>
      </c>
      <c r="H233" s="31"/>
      <c r="I233" s="32"/>
      <c r="J233" s="101"/>
      <c r="K233" s="32"/>
      <c r="L233" s="100"/>
    </row>
    <row r="234" spans="1:13" ht="15" thickBot="1">
      <c r="A234" s="31"/>
      <c r="B234" s="32"/>
      <c r="C234" s="32"/>
      <c r="D234" s="28"/>
      <c r="E234" s="43" t="str">
        <f>IF(F234="","//","")&amp;"nestedGroups: ["</f>
        <v>//nestedGroups: [</v>
      </c>
      <c r="F234" s="43"/>
      <c r="G234" s="30" t="s">
        <v>370</v>
      </c>
      <c r="H234" s="31"/>
      <c r="I234" s="32"/>
      <c r="J234" s="101"/>
      <c r="K234" s="32"/>
      <c r="L234" s="100"/>
    </row>
    <row r="235" spans="1:13">
      <c r="A235" s="31"/>
      <c r="B235" s="32"/>
      <c r="C235" s="32"/>
      <c r="D235" s="25" t="s">
        <v>362</v>
      </c>
      <c r="E235" s="41"/>
      <c r="F235" s="41"/>
      <c r="G235" s="27"/>
      <c r="H235" s="31"/>
      <c r="I235" s="32"/>
      <c r="J235" s="101"/>
      <c r="K235" s="32"/>
      <c r="L235" s="100"/>
    </row>
    <row r="236" spans="1:13">
      <c r="A236" s="31"/>
      <c r="B236" s="32"/>
      <c r="C236" s="32"/>
      <c r="D236" s="31"/>
      <c r="E236" s="37" t="str">
        <f ca="1">"id: "&amp;K236</f>
        <v>id: "6.1.2"</v>
      </c>
      <c r="F236" s="37"/>
      <c r="G236" s="33" t="s">
        <v>366</v>
      </c>
      <c r="H236" s="31"/>
      <c r="I236" s="32"/>
      <c r="J236" s="101">
        <f>$J$2+COUNTA($J$1:J235)</f>
        <v>33</v>
      </c>
      <c r="K236" s="32" t="str">
        <f ca="1">CHAR(34)&amp;L236&amp;CHAR(34)</f>
        <v>"6.1.2"</v>
      </c>
      <c r="L236" s="100" t="str">
        <f ca="1">INDIRECT("Dashboard!A"&amp;J236)</f>
        <v>6.1.2</v>
      </c>
      <c r="M236" s="32" t="str">
        <f ca="1">VLOOKUP(L236,Dashboard!A:G,7,FALSE)</f>
        <v>Note : Air quality Management, Utility Device alert management</v>
      </c>
    </row>
    <row r="237" spans="1:13">
      <c r="A237" s="31"/>
      <c r="B237" s="32"/>
      <c r="C237" s="32"/>
      <c r="D237" s="31"/>
      <c r="E237" s="37" t="s">
        <v>369</v>
      </c>
      <c r="F237" s="102">
        <f>IF(F242="",2,1)</f>
        <v>2</v>
      </c>
      <c r="G237" s="33" t="s">
        <v>366</v>
      </c>
      <c r="H237" s="31"/>
      <c r="I237" s="32"/>
      <c r="J237" s="101"/>
      <c r="K237" s="32"/>
      <c r="L237" s="100"/>
    </row>
    <row r="238" spans="1:13">
      <c r="A238" s="31"/>
      <c r="B238" s="32"/>
      <c r="C238" s="32"/>
      <c r="D238" s="31"/>
      <c r="E238" s="37" t="s">
        <v>368</v>
      </c>
      <c r="F238" s="37" t="str">
        <f ca="1">M236</f>
        <v>Note : Air quality Management, Utility Device alert management</v>
      </c>
      <c r="G238" s="33" t="s">
        <v>367</v>
      </c>
      <c r="H238" s="31"/>
      <c r="I238" s="32"/>
      <c r="J238" s="101"/>
      <c r="K238" s="32"/>
      <c r="L238" s="100"/>
    </row>
    <row r="239" spans="1:13">
      <c r="A239" s="31"/>
      <c r="B239" s="32"/>
      <c r="C239" s="32"/>
      <c r="D239" s="31"/>
      <c r="E239" s="37" t="s">
        <v>374</v>
      </c>
      <c r="F239" s="37"/>
      <c r="G239" s="33" t="s">
        <v>367</v>
      </c>
      <c r="H239" s="31"/>
      <c r="I239" s="32"/>
      <c r="J239" s="101"/>
      <c r="K239" s="32"/>
      <c r="L239" s="100"/>
    </row>
    <row r="240" spans="1:13">
      <c r="A240" s="31"/>
      <c r="B240" s="32"/>
      <c r="C240" s="32"/>
      <c r="D240" s="31"/>
      <c r="E240" s="37" t="s">
        <v>395</v>
      </c>
      <c r="F240" s="37" t="s">
        <v>394</v>
      </c>
      <c r="G240" s="33" t="s">
        <v>366</v>
      </c>
      <c r="H240" s="31"/>
      <c r="I240" s="32"/>
      <c r="J240" s="101"/>
      <c r="K240" s="32"/>
      <c r="L240" s="100"/>
    </row>
    <row r="241" spans="1:13">
      <c r="A241" s="31"/>
      <c r="B241" s="32"/>
      <c r="C241" s="32"/>
      <c r="D241" s="31"/>
      <c r="E241" s="37" t="s">
        <v>386</v>
      </c>
      <c r="F241" s="37" t="str">
        <f ca="1">IF(VLOOKUP(L236,Dashboard!A:G,2,FALSE)&lt;&gt;"","'plan': true"&amp;CHAR(44)&amp;"'actual': false","")</f>
        <v/>
      </c>
      <c r="G241" s="33" t="s">
        <v>385</v>
      </c>
      <c r="H241" s="31"/>
      <c r="I241" s="32"/>
      <c r="J241" s="101"/>
      <c r="K241" s="32"/>
      <c r="L241" s="100"/>
    </row>
    <row r="242" spans="1:13" ht="15" thickBot="1">
      <c r="A242" s="31"/>
      <c r="B242" s="32"/>
      <c r="C242" s="32"/>
      <c r="D242" s="28"/>
      <c r="E242" s="43" t="str">
        <f>IF(F242="","//","")&amp;"nestedGroups: ["</f>
        <v>//nestedGroups: [</v>
      </c>
      <c r="F242" s="43"/>
      <c r="G242" s="30" t="s">
        <v>370</v>
      </c>
      <c r="H242" s="31"/>
      <c r="I242" s="32"/>
      <c r="J242" s="101"/>
      <c r="K242" s="32"/>
      <c r="L242" s="100"/>
    </row>
    <row r="243" spans="1:13">
      <c r="A243" s="31"/>
      <c r="B243" s="32"/>
      <c r="C243" s="32"/>
      <c r="D243" s="25" t="s">
        <v>362</v>
      </c>
      <c r="E243" s="41"/>
      <c r="F243" s="41"/>
      <c r="G243" s="27"/>
      <c r="H243" s="31"/>
      <c r="I243" s="32"/>
      <c r="J243" s="101"/>
      <c r="K243" s="32"/>
      <c r="L243" s="100"/>
    </row>
    <row r="244" spans="1:13">
      <c r="A244" s="31"/>
      <c r="B244" s="32"/>
      <c r="C244" s="32"/>
      <c r="D244" s="31"/>
      <c r="E244" s="37" t="str">
        <f ca="1">"id: "&amp;K244</f>
        <v>id: "6.1.3"</v>
      </c>
      <c r="F244" s="37"/>
      <c r="G244" s="33" t="s">
        <v>366</v>
      </c>
      <c r="H244" s="31"/>
      <c r="I244" s="32"/>
      <c r="J244" s="101">
        <f>$J$2+COUNTA($J$1:J243)</f>
        <v>34</v>
      </c>
      <c r="K244" s="32" t="str">
        <f ca="1">CHAR(34)&amp;L244&amp;CHAR(34)</f>
        <v>"6.1.3"</v>
      </c>
      <c r="L244" s="100" t="str">
        <f ca="1">INDIRECT("Dashboard!A"&amp;J244)</f>
        <v>6.1.3</v>
      </c>
      <c r="M244" s="32" t="str">
        <f ca="1">VLOOKUP(L244,Dashboard!A:G,7,FALSE)</f>
        <v>Note : (Comfort index &amp; occupancy based optimization is applicable for energy optimization usecases)</v>
      </c>
    </row>
    <row r="245" spans="1:13">
      <c r="A245" s="31"/>
      <c r="B245" s="32"/>
      <c r="C245" s="32"/>
      <c r="D245" s="31"/>
      <c r="E245" s="37" t="s">
        <v>369</v>
      </c>
      <c r="F245" s="102">
        <f>IF(F250="",2,1)</f>
        <v>2</v>
      </c>
      <c r="G245" s="33" t="s">
        <v>366</v>
      </c>
      <c r="H245" s="31"/>
      <c r="I245" s="32"/>
      <c r="J245" s="101"/>
      <c r="K245" s="32"/>
      <c r="L245" s="100"/>
    </row>
    <row r="246" spans="1:13">
      <c r="A246" s="31"/>
      <c r="B246" s="32"/>
      <c r="C246" s="32"/>
      <c r="D246" s="31"/>
      <c r="E246" s="37" t="s">
        <v>368</v>
      </c>
      <c r="F246" s="37" t="str">
        <f ca="1">M244</f>
        <v>Note : (Comfort index &amp; occupancy based optimization is applicable for energy optimization usecases)</v>
      </c>
      <c r="G246" s="33" t="s">
        <v>367</v>
      </c>
      <c r="H246" s="31"/>
      <c r="I246" s="32"/>
      <c r="J246" s="101"/>
      <c r="K246" s="32"/>
      <c r="L246" s="100"/>
    </row>
    <row r="247" spans="1:13">
      <c r="A247" s="31"/>
      <c r="B247" s="32"/>
      <c r="C247" s="32"/>
      <c r="D247" s="31"/>
      <c r="E247" s="37" t="s">
        <v>374</v>
      </c>
      <c r="F247" s="37"/>
      <c r="G247" s="33" t="s">
        <v>367</v>
      </c>
      <c r="H247" s="31"/>
      <c r="I247" s="32"/>
      <c r="J247" s="101"/>
      <c r="K247" s="32"/>
      <c r="L247" s="100"/>
    </row>
    <row r="248" spans="1:13">
      <c r="A248" s="31"/>
      <c r="B248" s="32"/>
      <c r="C248" s="32"/>
      <c r="D248" s="31"/>
      <c r="E248" s="37" t="s">
        <v>395</v>
      </c>
      <c r="F248" s="37" t="s">
        <v>394</v>
      </c>
      <c r="G248" s="33" t="s">
        <v>366</v>
      </c>
      <c r="H248" s="31"/>
      <c r="I248" s="32"/>
      <c r="J248" s="101"/>
      <c r="K248" s="32"/>
      <c r="L248" s="100"/>
    </row>
    <row r="249" spans="1:13">
      <c r="A249" s="31"/>
      <c r="B249" s="32"/>
      <c r="C249" s="32"/>
      <c r="D249" s="31"/>
      <c r="E249" s="37" t="s">
        <v>386</v>
      </c>
      <c r="F249" s="37" t="str">
        <f ca="1">IF(VLOOKUP(L244,Dashboard!A:G,2,FALSE)&lt;&gt;"","'plan': true"&amp;CHAR(44)&amp;"'actual': false","")</f>
        <v/>
      </c>
      <c r="G249" s="33" t="s">
        <v>385</v>
      </c>
      <c r="H249" s="31"/>
      <c r="I249" s="32"/>
      <c r="J249" s="101"/>
      <c r="K249" s="32"/>
      <c r="L249" s="100"/>
    </row>
    <row r="250" spans="1:13" ht="15" thickBot="1">
      <c r="A250" s="31"/>
      <c r="B250" s="32"/>
      <c r="C250" s="32"/>
      <c r="D250" s="28"/>
      <c r="E250" s="43" t="str">
        <f>IF(F250="","//","")&amp;"nestedGroups: ["</f>
        <v>//nestedGroups: [</v>
      </c>
      <c r="F250" s="43"/>
      <c r="G250" s="30" t="s">
        <v>370</v>
      </c>
      <c r="H250" s="31"/>
      <c r="I250" s="32"/>
      <c r="J250" s="101"/>
      <c r="K250" s="32"/>
      <c r="L250" s="100"/>
    </row>
    <row r="251" spans="1:13">
      <c r="A251" s="31"/>
      <c r="B251" s="32"/>
      <c r="C251" s="32"/>
      <c r="D251" s="25" t="s">
        <v>362</v>
      </c>
      <c r="E251" s="41"/>
      <c r="F251" s="41"/>
      <c r="G251" s="27"/>
      <c r="H251" s="31"/>
      <c r="I251" s="32"/>
      <c r="J251" s="101"/>
      <c r="K251" s="32"/>
      <c r="L251" s="100"/>
    </row>
    <row r="252" spans="1:13">
      <c r="A252" s="31"/>
      <c r="B252" s="32"/>
      <c r="C252" s="32"/>
      <c r="D252" s="31"/>
      <c r="E252" s="37" t="str">
        <f ca="1">"id: "&amp;K252</f>
        <v>id: "6.2"</v>
      </c>
      <c r="F252" s="37"/>
      <c r="G252" s="33" t="s">
        <v>366</v>
      </c>
      <c r="H252" s="31"/>
      <c r="I252" s="32"/>
      <c r="J252" s="101">
        <f>$J$2+COUNTA($J$1:J251)</f>
        <v>35</v>
      </c>
      <c r="K252" s="32" t="str">
        <f ca="1">CHAR(34)&amp;L252&amp;CHAR(34)</f>
        <v>"6.2"</v>
      </c>
      <c r="L252" s="100" t="str">
        <f ca="1">INDIRECT("Dashboard!A"&amp;J252)</f>
        <v>6.2</v>
      </c>
      <c r="M252" s="32" t="str">
        <f ca="1">VLOOKUP(L252,Dashboard!A:G,7,FALSE)</f>
        <v>(V1)(Optimization) Technical design document explaining the data schema and algorithm</v>
      </c>
    </row>
    <row r="253" spans="1:13">
      <c r="A253" s="31"/>
      <c r="B253" s="32"/>
      <c r="C253" s="32"/>
      <c r="D253" s="31"/>
      <c r="E253" s="37" t="s">
        <v>369</v>
      </c>
      <c r="F253" s="102">
        <f>IF(F258="",2,1)</f>
        <v>2</v>
      </c>
      <c r="G253" s="33" t="s">
        <v>366</v>
      </c>
      <c r="H253" s="31"/>
      <c r="I253" s="32"/>
      <c r="J253" s="101"/>
      <c r="K253" s="32"/>
      <c r="L253" s="100"/>
    </row>
    <row r="254" spans="1:13">
      <c r="A254" s="31"/>
      <c r="B254" s="32"/>
      <c r="C254" s="32"/>
      <c r="D254" s="31"/>
      <c r="E254" s="37" t="s">
        <v>368</v>
      </c>
      <c r="F254" s="37" t="str">
        <f ca="1">M252</f>
        <v>(V1)(Optimization) Technical design document explaining the data schema and algorithm</v>
      </c>
      <c r="G254" s="33" t="s">
        <v>367</v>
      </c>
      <c r="H254" s="31"/>
      <c r="I254" s="32"/>
      <c r="J254" s="101"/>
      <c r="K254" s="32"/>
      <c r="L254" s="100"/>
    </row>
    <row r="255" spans="1:13">
      <c r="A255" s="31"/>
      <c r="B255" s="32"/>
      <c r="C255" s="32"/>
      <c r="D255" s="31"/>
      <c r="E255" s="37" t="s">
        <v>374</v>
      </c>
      <c r="F255" s="37"/>
      <c r="G255" s="33" t="s">
        <v>367</v>
      </c>
      <c r="H255" s="31"/>
      <c r="I255" s="32"/>
      <c r="J255" s="101"/>
      <c r="K255" s="32"/>
      <c r="L255" s="100"/>
    </row>
    <row r="256" spans="1:13">
      <c r="A256" s="31"/>
      <c r="B256" s="32"/>
      <c r="C256" s="32"/>
      <c r="D256" s="31"/>
      <c r="E256" s="37" t="s">
        <v>395</v>
      </c>
      <c r="F256" s="37" t="s">
        <v>394</v>
      </c>
      <c r="G256" s="33" t="s">
        <v>366</v>
      </c>
      <c r="H256" s="31"/>
      <c r="I256" s="32"/>
      <c r="J256" s="101"/>
      <c r="K256" s="32"/>
      <c r="L256" s="100"/>
    </row>
    <row r="257" spans="1:13">
      <c r="A257" s="31"/>
      <c r="B257" s="32"/>
      <c r="C257" s="32"/>
      <c r="D257" s="31"/>
      <c r="E257" s="37" t="s">
        <v>386</v>
      </c>
      <c r="F257" s="37" t="str">
        <f ca="1">IF(VLOOKUP(L252,Dashboard!A:G,2,FALSE)&lt;&gt;"","'plan': true"&amp;CHAR(44)&amp;"'actual': false","")</f>
        <v>'plan': true,'actual': false</v>
      </c>
      <c r="G257" s="33" t="s">
        <v>385</v>
      </c>
      <c r="H257" s="31"/>
      <c r="I257" s="32"/>
      <c r="J257" s="101"/>
      <c r="K257" s="32"/>
      <c r="L257" s="100"/>
    </row>
    <row r="258" spans="1:13" ht="15" thickBot="1">
      <c r="A258" s="31"/>
      <c r="B258" s="32"/>
      <c r="C258" s="32"/>
      <c r="D258" s="28"/>
      <c r="E258" s="43" t="str">
        <f>IF(F258="","//","")&amp;"nestedGroups: ["</f>
        <v>//nestedGroups: [</v>
      </c>
      <c r="F258" s="43"/>
      <c r="G258" s="30" t="s">
        <v>370</v>
      </c>
      <c r="H258" s="31"/>
      <c r="I258" s="32"/>
      <c r="J258" s="101"/>
      <c r="K258" s="32"/>
      <c r="L258" s="100"/>
    </row>
    <row r="259" spans="1:13">
      <c r="A259" s="31"/>
      <c r="B259" s="32"/>
      <c r="C259" s="32"/>
      <c r="D259" s="25" t="s">
        <v>362</v>
      </c>
      <c r="E259" s="41"/>
      <c r="F259" s="41"/>
      <c r="G259" s="27"/>
      <c r="H259" s="31"/>
      <c r="I259" s="32"/>
      <c r="J259" s="101"/>
      <c r="K259" s="32"/>
      <c r="L259" s="100"/>
    </row>
    <row r="260" spans="1:13">
      <c r="A260" s="31"/>
      <c r="B260" s="32"/>
      <c r="C260" s="32"/>
      <c r="D260" s="31"/>
      <c r="E260" s="37" t="str">
        <f ca="1">"id: "&amp;K260</f>
        <v>id: "6.3"</v>
      </c>
      <c r="F260" s="37"/>
      <c r="G260" s="33" t="s">
        <v>366</v>
      </c>
      <c r="H260" s="31"/>
      <c r="I260" s="32"/>
      <c r="J260" s="101">
        <f>$J$2+COUNTA($J$1:J259)</f>
        <v>36</v>
      </c>
      <c r="K260" s="32" t="str">
        <f ca="1">CHAR(34)&amp;L260&amp;CHAR(34)</f>
        <v>"6.3"</v>
      </c>
      <c r="L260" s="100" t="str">
        <f ca="1">INDIRECT("Dashboard!A"&amp;J260)</f>
        <v>6.3</v>
      </c>
      <c r="M260" s="32" t="str">
        <f ca="1">VLOOKUP(L260,Dashboard!A:G,7,FALSE)</f>
        <v>(V2)(Optimization) Technical design document explaining the data schema and algorithm</v>
      </c>
    </row>
    <row r="261" spans="1:13">
      <c r="A261" s="31"/>
      <c r="B261" s="32"/>
      <c r="C261" s="32"/>
      <c r="D261" s="31"/>
      <c r="E261" s="37" t="s">
        <v>369</v>
      </c>
      <c r="F261" s="102">
        <f>IF(F266="",2,1)</f>
        <v>2</v>
      </c>
      <c r="G261" s="33" t="s">
        <v>366</v>
      </c>
      <c r="H261" s="31"/>
      <c r="I261" s="32"/>
      <c r="J261" s="101"/>
      <c r="K261" s="32"/>
      <c r="L261" s="100"/>
    </row>
    <row r="262" spans="1:13">
      <c r="A262" s="31"/>
      <c r="B262" s="32"/>
      <c r="C262" s="32"/>
      <c r="D262" s="31"/>
      <c r="E262" s="37" t="s">
        <v>368</v>
      </c>
      <c r="F262" s="37" t="str">
        <f ca="1">M260</f>
        <v>(V2)(Optimization) Technical design document explaining the data schema and algorithm</v>
      </c>
      <c r="G262" s="33" t="s">
        <v>367</v>
      </c>
      <c r="H262" s="31"/>
      <c r="I262" s="32"/>
      <c r="J262" s="101"/>
      <c r="K262" s="32"/>
      <c r="L262" s="100"/>
    </row>
    <row r="263" spans="1:13">
      <c r="A263" s="31"/>
      <c r="B263" s="32"/>
      <c r="C263" s="32"/>
      <c r="D263" s="31"/>
      <c r="E263" s="37" t="s">
        <v>374</v>
      </c>
      <c r="F263" s="37"/>
      <c r="G263" s="33" t="s">
        <v>367</v>
      </c>
      <c r="H263" s="31"/>
      <c r="I263" s="32"/>
      <c r="J263" s="101"/>
      <c r="K263" s="32"/>
      <c r="L263" s="100"/>
    </row>
    <row r="264" spans="1:13">
      <c r="A264" s="31"/>
      <c r="B264" s="32"/>
      <c r="C264" s="32"/>
      <c r="D264" s="31"/>
      <c r="E264" s="37" t="s">
        <v>395</v>
      </c>
      <c r="F264" s="37" t="s">
        <v>394</v>
      </c>
      <c r="G264" s="33" t="s">
        <v>366</v>
      </c>
      <c r="H264" s="31"/>
      <c r="I264" s="32"/>
      <c r="J264" s="101"/>
      <c r="K264" s="32"/>
      <c r="L264" s="100"/>
    </row>
    <row r="265" spans="1:13">
      <c r="A265" s="31"/>
      <c r="B265" s="32"/>
      <c r="C265" s="32"/>
      <c r="D265" s="31"/>
      <c r="E265" s="37" t="s">
        <v>386</v>
      </c>
      <c r="F265" s="37" t="str">
        <f ca="1">IF(VLOOKUP(L260,Dashboard!A:G,2,FALSE)&lt;&gt;"","'plan': true"&amp;CHAR(44)&amp;"'actual': false","")</f>
        <v>'plan': true,'actual': false</v>
      </c>
      <c r="G265" s="33" t="s">
        <v>385</v>
      </c>
      <c r="H265" s="31"/>
      <c r="I265" s="32"/>
      <c r="J265" s="101"/>
      <c r="K265" s="32"/>
      <c r="L265" s="100"/>
    </row>
    <row r="266" spans="1:13" ht="15" thickBot="1">
      <c r="A266" s="31"/>
      <c r="B266" s="32"/>
      <c r="C266" s="32"/>
      <c r="D266" s="28"/>
      <c r="E266" s="43" t="str">
        <f>IF(F266="","//","")&amp;"nestedGroups: ["</f>
        <v>//nestedGroups: [</v>
      </c>
      <c r="F266" s="43"/>
      <c r="G266" s="30" t="s">
        <v>370</v>
      </c>
      <c r="H266" s="31"/>
      <c r="I266" s="32"/>
      <c r="J266" s="101"/>
      <c r="K266" s="32"/>
      <c r="L266" s="100"/>
    </row>
    <row r="267" spans="1:13">
      <c r="A267" s="31"/>
      <c r="B267" s="32"/>
      <c r="C267" s="32"/>
      <c r="D267" s="25" t="s">
        <v>362</v>
      </c>
      <c r="E267" s="41"/>
      <c r="F267" s="41"/>
      <c r="G267" s="27"/>
      <c r="H267" s="31"/>
      <c r="I267" s="32"/>
      <c r="J267" s="101"/>
      <c r="K267" s="32"/>
      <c r="L267" s="100"/>
    </row>
    <row r="268" spans="1:13">
      <c r="A268" s="31"/>
      <c r="B268" s="32"/>
      <c r="C268" s="32"/>
      <c r="D268" s="31"/>
      <c r="E268" s="37" t="str">
        <f ca="1">"id: "&amp;K268</f>
        <v>id: "6.4"</v>
      </c>
      <c r="F268" s="37"/>
      <c r="G268" s="33" t="s">
        <v>366</v>
      </c>
      <c r="H268" s="31"/>
      <c r="I268" s="32"/>
      <c r="J268" s="101">
        <f>$J$2+COUNTA($J$1:J267)</f>
        <v>37</v>
      </c>
      <c r="K268" s="32" t="str">
        <f ca="1">CHAR(34)&amp;L268&amp;CHAR(34)</f>
        <v>"6.4"</v>
      </c>
      <c r="L268" s="100" t="str">
        <f ca="1">INDIRECT("Dashboard!A"&amp;J268)</f>
        <v>6.4</v>
      </c>
      <c r="M268" s="32" t="str">
        <f ca="1">VLOOKUP(L268,Dashboard!A:G,7,FALSE)</f>
        <v>(V1)(Optimization) Software Code</v>
      </c>
    </row>
    <row r="269" spans="1:13">
      <c r="A269" s="31"/>
      <c r="B269" s="32"/>
      <c r="C269" s="32"/>
      <c r="D269" s="31"/>
      <c r="E269" s="37" t="s">
        <v>369</v>
      </c>
      <c r="F269" s="102">
        <f>IF(F274="",2,1)</f>
        <v>2</v>
      </c>
      <c r="G269" s="33" t="s">
        <v>366</v>
      </c>
      <c r="H269" s="31"/>
      <c r="I269" s="32"/>
      <c r="J269" s="101"/>
      <c r="K269" s="32"/>
      <c r="L269" s="100"/>
    </row>
    <row r="270" spans="1:13">
      <c r="A270" s="31"/>
      <c r="B270" s="32"/>
      <c r="C270" s="32"/>
      <c r="D270" s="31"/>
      <c r="E270" s="37" t="s">
        <v>368</v>
      </c>
      <c r="F270" s="37" t="str">
        <f ca="1">M268</f>
        <v>(V1)(Optimization) Software Code</v>
      </c>
      <c r="G270" s="33" t="s">
        <v>367</v>
      </c>
      <c r="H270" s="31"/>
      <c r="I270" s="32"/>
      <c r="J270" s="101"/>
      <c r="K270" s="32"/>
      <c r="L270" s="100"/>
    </row>
    <row r="271" spans="1:13">
      <c r="A271" s="31"/>
      <c r="B271" s="32"/>
      <c r="C271" s="32"/>
      <c r="D271" s="31"/>
      <c r="E271" s="37" t="s">
        <v>374</v>
      </c>
      <c r="F271" s="37"/>
      <c r="G271" s="33" t="s">
        <v>367</v>
      </c>
      <c r="H271" s="31"/>
      <c r="I271" s="32"/>
      <c r="J271" s="101"/>
      <c r="K271" s="32"/>
      <c r="L271" s="100"/>
    </row>
    <row r="272" spans="1:13">
      <c r="A272" s="31"/>
      <c r="B272" s="32"/>
      <c r="C272" s="32"/>
      <c r="D272" s="31"/>
      <c r="E272" s="37" t="s">
        <v>395</v>
      </c>
      <c r="F272" s="37" t="s">
        <v>394</v>
      </c>
      <c r="G272" s="33" t="s">
        <v>366</v>
      </c>
      <c r="H272" s="31"/>
      <c r="I272" s="32"/>
      <c r="J272" s="101"/>
      <c r="K272" s="32"/>
      <c r="L272" s="100"/>
    </row>
    <row r="273" spans="1:13">
      <c r="A273" s="31"/>
      <c r="B273" s="32"/>
      <c r="C273" s="32"/>
      <c r="D273" s="31"/>
      <c r="E273" s="37" t="s">
        <v>386</v>
      </c>
      <c r="F273" s="37" t="str">
        <f ca="1">IF(VLOOKUP(L268,Dashboard!A:G,2,FALSE)&lt;&gt;"","'plan': true"&amp;CHAR(44)&amp;"'actual': false","")</f>
        <v>'plan': true,'actual': false</v>
      </c>
      <c r="G273" s="33" t="s">
        <v>385</v>
      </c>
      <c r="H273" s="31"/>
      <c r="I273" s="32"/>
      <c r="J273" s="101"/>
      <c r="K273" s="32"/>
      <c r="L273" s="100"/>
    </row>
    <row r="274" spans="1:13" ht="15" thickBot="1">
      <c r="A274" s="31"/>
      <c r="B274" s="32"/>
      <c r="C274" s="32"/>
      <c r="D274" s="28"/>
      <c r="E274" s="43" t="str">
        <f>IF(F274="","//","")&amp;"nestedGroups: ["</f>
        <v>//nestedGroups: [</v>
      </c>
      <c r="F274" s="43"/>
      <c r="G274" s="30" t="s">
        <v>370</v>
      </c>
      <c r="H274" s="31"/>
      <c r="I274" s="32"/>
      <c r="J274" s="101"/>
      <c r="K274" s="32"/>
      <c r="L274" s="100"/>
    </row>
    <row r="275" spans="1:13">
      <c r="A275" s="31"/>
      <c r="B275" s="32"/>
      <c r="C275" s="32"/>
      <c r="D275" s="25" t="s">
        <v>362</v>
      </c>
      <c r="E275" s="41"/>
      <c r="F275" s="41"/>
      <c r="G275" s="27"/>
      <c r="H275" s="31"/>
      <c r="I275" s="32"/>
      <c r="J275" s="101"/>
      <c r="K275" s="32"/>
      <c r="L275" s="100"/>
    </row>
    <row r="276" spans="1:13">
      <c r="A276" s="31"/>
      <c r="B276" s="32"/>
      <c r="C276" s="32"/>
      <c r="D276" s="31"/>
      <c r="E276" s="37" t="str">
        <f ca="1">"id: "&amp;K276</f>
        <v>id: "6.5"</v>
      </c>
      <c r="F276" s="37"/>
      <c r="G276" s="33" t="s">
        <v>366</v>
      </c>
      <c r="H276" s="31"/>
      <c r="I276" s="32"/>
      <c r="J276" s="101">
        <f>$J$2+COUNTA($J$1:J275)</f>
        <v>38</v>
      </c>
      <c r="K276" s="32" t="str">
        <f ca="1">CHAR(34)&amp;L276&amp;CHAR(34)</f>
        <v>"6.5"</v>
      </c>
      <c r="L276" s="100" t="str">
        <f ca="1">INDIRECT("Dashboard!A"&amp;J276)</f>
        <v>6.5</v>
      </c>
      <c r="M276" s="32" t="str">
        <f ca="1">VLOOKUP(L276,Dashboard!A:G,7,FALSE)</f>
        <v>(V2)Optimization) Software Code</v>
      </c>
    </row>
    <row r="277" spans="1:13">
      <c r="A277" s="31"/>
      <c r="B277" s="32"/>
      <c r="C277" s="32"/>
      <c r="D277" s="31"/>
      <c r="E277" s="37" t="s">
        <v>369</v>
      </c>
      <c r="F277" s="102">
        <f>IF(F282="",2,1)</f>
        <v>2</v>
      </c>
      <c r="G277" s="33" t="s">
        <v>366</v>
      </c>
      <c r="H277" s="31"/>
      <c r="I277" s="32"/>
      <c r="J277" s="101"/>
      <c r="K277" s="32"/>
      <c r="L277" s="100"/>
    </row>
    <row r="278" spans="1:13">
      <c r="A278" s="31"/>
      <c r="B278" s="32"/>
      <c r="C278" s="32"/>
      <c r="D278" s="31"/>
      <c r="E278" s="37" t="s">
        <v>368</v>
      </c>
      <c r="F278" s="37" t="str">
        <f ca="1">M276</f>
        <v>(V2)Optimization) Software Code</v>
      </c>
      <c r="G278" s="33" t="s">
        <v>367</v>
      </c>
      <c r="H278" s="31"/>
      <c r="I278" s="32"/>
      <c r="J278" s="101"/>
      <c r="K278" s="32"/>
      <c r="L278" s="100"/>
    </row>
    <row r="279" spans="1:13">
      <c r="A279" s="31"/>
      <c r="B279" s="32"/>
      <c r="C279" s="32"/>
      <c r="D279" s="31"/>
      <c r="E279" s="37" t="s">
        <v>374</v>
      </c>
      <c r="F279" s="37"/>
      <c r="G279" s="33" t="s">
        <v>367</v>
      </c>
      <c r="H279" s="31"/>
      <c r="I279" s="32"/>
      <c r="J279" s="101"/>
      <c r="K279" s="32"/>
      <c r="L279" s="100"/>
    </row>
    <row r="280" spans="1:13">
      <c r="A280" s="31"/>
      <c r="B280" s="32"/>
      <c r="C280" s="32"/>
      <c r="D280" s="31"/>
      <c r="E280" s="37" t="s">
        <v>395</v>
      </c>
      <c r="F280" s="37" t="s">
        <v>394</v>
      </c>
      <c r="G280" s="33" t="s">
        <v>366</v>
      </c>
      <c r="H280" s="31"/>
      <c r="I280" s="32"/>
      <c r="J280" s="101"/>
      <c r="K280" s="32"/>
      <c r="L280" s="100"/>
    </row>
    <row r="281" spans="1:13">
      <c r="A281" s="31"/>
      <c r="B281" s="32"/>
      <c r="C281" s="32"/>
      <c r="D281" s="31"/>
      <c r="E281" s="37" t="s">
        <v>386</v>
      </c>
      <c r="F281" s="37" t="str">
        <f ca="1">IF(VLOOKUP(L276,Dashboard!A:G,2,FALSE)&lt;&gt;"","'plan': true"&amp;CHAR(44)&amp;"'actual': false","")</f>
        <v>'plan': true,'actual': false</v>
      </c>
      <c r="G281" s="33" t="s">
        <v>385</v>
      </c>
      <c r="H281" s="31"/>
      <c r="I281" s="32"/>
      <c r="J281" s="101"/>
      <c r="K281" s="32"/>
      <c r="L281" s="100"/>
    </row>
    <row r="282" spans="1:13" ht="15" thickBot="1">
      <c r="A282" s="31"/>
      <c r="B282" s="32"/>
      <c r="C282" s="32"/>
      <c r="D282" s="28"/>
      <c r="E282" s="43" t="str">
        <f>IF(F282="","//","")&amp;"nestedGroups: ["</f>
        <v>//nestedGroups: [</v>
      </c>
      <c r="F282" s="43"/>
      <c r="G282" s="30" t="s">
        <v>370</v>
      </c>
      <c r="H282" s="31"/>
      <c r="I282" s="32"/>
      <c r="J282" s="101"/>
      <c r="K282" s="32"/>
      <c r="L282" s="100"/>
    </row>
    <row r="283" spans="1:13">
      <c r="A283" s="31"/>
      <c r="B283" s="32"/>
      <c r="C283" s="32"/>
      <c r="D283" s="25" t="s">
        <v>362</v>
      </c>
      <c r="E283" s="41"/>
      <c r="F283" s="41"/>
      <c r="G283" s="27"/>
      <c r="H283" s="31"/>
      <c r="I283" s="32"/>
      <c r="J283" s="101"/>
      <c r="K283" s="32"/>
      <c r="L283" s="100"/>
    </row>
    <row r="284" spans="1:13">
      <c r="A284" s="31"/>
      <c r="B284" s="32"/>
      <c r="C284" s="32"/>
      <c r="D284" s="31"/>
      <c r="E284" s="37" t="str">
        <f ca="1">"id: "&amp;K284</f>
        <v>id: "6.6"</v>
      </c>
      <c r="F284" s="37"/>
      <c r="G284" s="33" t="s">
        <v>366</v>
      </c>
      <c r="H284" s="31"/>
      <c r="I284" s="32"/>
      <c r="J284" s="101">
        <f>$J$2+COUNTA($J$1:J283)</f>
        <v>39</v>
      </c>
      <c r="K284" s="32" t="str">
        <f ca="1">CHAR(34)&amp;L284&amp;CHAR(34)</f>
        <v>"6.6"</v>
      </c>
      <c r="L284" s="100" t="str">
        <f ca="1">INDIRECT("Dashboard!A"&amp;J284)</f>
        <v>6.6</v>
      </c>
      <c r="M284" s="32" t="str">
        <f ca="1">VLOOKUP(L284,Dashboard!A:G,7,FALSE)</f>
        <v>(Optimization) Deployment Procedure of the code</v>
      </c>
    </row>
    <row r="285" spans="1:13">
      <c r="A285" s="31"/>
      <c r="B285" s="32"/>
      <c r="C285" s="32"/>
      <c r="D285" s="31"/>
      <c r="E285" s="37" t="s">
        <v>369</v>
      </c>
      <c r="F285" s="102">
        <f>IF(F290="",2,1)</f>
        <v>2</v>
      </c>
      <c r="G285" s="33" t="s">
        <v>366</v>
      </c>
      <c r="H285" s="31"/>
      <c r="I285" s="32"/>
      <c r="J285" s="101"/>
      <c r="K285" s="32"/>
      <c r="L285" s="100"/>
    </row>
    <row r="286" spans="1:13">
      <c r="A286" s="31"/>
      <c r="B286" s="32"/>
      <c r="C286" s="32"/>
      <c r="D286" s="31"/>
      <c r="E286" s="37" t="s">
        <v>368</v>
      </c>
      <c r="F286" s="37" t="str">
        <f ca="1">M284</f>
        <v>(Optimization) Deployment Procedure of the code</v>
      </c>
      <c r="G286" s="33" t="s">
        <v>367</v>
      </c>
      <c r="H286" s="31"/>
      <c r="I286" s="32"/>
      <c r="J286" s="101"/>
      <c r="K286" s="32"/>
      <c r="L286" s="100"/>
    </row>
    <row r="287" spans="1:13">
      <c r="A287" s="31"/>
      <c r="B287" s="32"/>
      <c r="C287" s="32"/>
      <c r="D287" s="31"/>
      <c r="E287" s="37" t="s">
        <v>374</v>
      </c>
      <c r="F287" s="37"/>
      <c r="G287" s="33" t="s">
        <v>367</v>
      </c>
      <c r="H287" s="31"/>
      <c r="I287" s="32"/>
      <c r="J287" s="101"/>
      <c r="K287" s="32"/>
      <c r="L287" s="100"/>
    </row>
    <row r="288" spans="1:13">
      <c r="A288" s="31"/>
      <c r="B288" s="32"/>
      <c r="C288" s="32"/>
      <c r="D288" s="31"/>
      <c r="E288" s="37" t="s">
        <v>395</v>
      </c>
      <c r="F288" s="37" t="s">
        <v>394</v>
      </c>
      <c r="G288" s="33" t="s">
        <v>366</v>
      </c>
      <c r="H288" s="31"/>
      <c r="I288" s="32"/>
      <c r="J288" s="101"/>
      <c r="K288" s="32"/>
      <c r="L288" s="100"/>
    </row>
    <row r="289" spans="1:13">
      <c r="A289" s="31"/>
      <c r="B289" s="32"/>
      <c r="C289" s="32"/>
      <c r="D289" s="31"/>
      <c r="E289" s="37" t="s">
        <v>386</v>
      </c>
      <c r="F289" s="37" t="str">
        <f ca="1">IF(VLOOKUP(L284,Dashboard!A:G,2,FALSE)&lt;&gt;"","'plan': true"&amp;CHAR(44)&amp;"'actual': false","")</f>
        <v>'plan': true,'actual': false</v>
      </c>
      <c r="G289" s="33" t="s">
        <v>385</v>
      </c>
      <c r="H289" s="31"/>
      <c r="I289" s="32"/>
      <c r="J289" s="101"/>
      <c r="K289" s="32"/>
      <c r="L289" s="100"/>
    </row>
    <row r="290" spans="1:13" ht="15" thickBot="1">
      <c r="A290" s="31"/>
      <c r="B290" s="32"/>
      <c r="C290" s="32"/>
      <c r="D290" s="28"/>
      <c r="E290" s="43" t="str">
        <f>IF(F290="","//","")&amp;"nestedGroups: ["</f>
        <v>//nestedGroups: [</v>
      </c>
      <c r="F290" s="43"/>
      <c r="G290" s="30" t="s">
        <v>370</v>
      </c>
      <c r="H290" s="31"/>
      <c r="I290" s="32"/>
      <c r="J290" s="101"/>
      <c r="K290" s="32"/>
      <c r="L290" s="100"/>
    </row>
    <row r="291" spans="1:13">
      <c r="A291" s="31"/>
      <c r="B291" s="32"/>
      <c r="C291" s="32"/>
      <c r="D291" s="25" t="s">
        <v>362</v>
      </c>
      <c r="E291" s="41"/>
      <c r="F291" s="41"/>
      <c r="G291" s="27"/>
      <c r="H291" s="31"/>
      <c r="I291" s="32"/>
      <c r="J291" s="101"/>
      <c r="K291" s="32"/>
      <c r="L291" s="100"/>
    </row>
    <row r="292" spans="1:13">
      <c r="A292" s="31"/>
      <c r="B292" s="32"/>
      <c r="C292" s="32"/>
      <c r="D292" s="31"/>
      <c r="E292" s="37" t="str">
        <f ca="1">"id: "&amp;K292</f>
        <v>id: "6.7"</v>
      </c>
      <c r="F292" s="37"/>
      <c r="G292" s="33" t="s">
        <v>366</v>
      </c>
      <c r="H292" s="31"/>
      <c r="I292" s="32"/>
      <c r="J292" s="101">
        <f>$J$2+COUNTA($J$1:J291)</f>
        <v>40</v>
      </c>
      <c r="K292" s="32" t="str">
        <f ca="1">CHAR(34)&amp;L292&amp;CHAR(34)</f>
        <v>"6.7"</v>
      </c>
      <c r="L292" s="100" t="str">
        <f ca="1">INDIRECT("Dashboard!A"&amp;J292)</f>
        <v>6.7</v>
      </c>
      <c r="M292" s="32" t="str">
        <f ca="1">VLOOKUP(L292,Dashboard!A:G,7,FALSE)</f>
        <v>(Optimization) Product usage guide with examples for all the functional usecases</v>
      </c>
    </row>
    <row r="293" spans="1:13">
      <c r="A293" s="31"/>
      <c r="B293" s="32"/>
      <c r="C293" s="32"/>
      <c r="D293" s="31"/>
      <c r="E293" s="37" t="s">
        <v>369</v>
      </c>
      <c r="F293" s="102">
        <f>IF(F298="",2,1)</f>
        <v>2</v>
      </c>
      <c r="G293" s="33" t="s">
        <v>366</v>
      </c>
      <c r="H293" s="31"/>
      <c r="I293" s="32"/>
      <c r="J293" s="101"/>
      <c r="K293" s="32"/>
      <c r="L293" s="100"/>
    </row>
    <row r="294" spans="1:13">
      <c r="A294" s="31"/>
      <c r="B294" s="32"/>
      <c r="C294" s="32"/>
      <c r="D294" s="31"/>
      <c r="E294" s="37" t="s">
        <v>368</v>
      </c>
      <c r="F294" s="37" t="str">
        <f ca="1">M292</f>
        <v>(Optimization) Product usage guide with examples for all the functional usecases</v>
      </c>
      <c r="G294" s="33" t="s">
        <v>367</v>
      </c>
      <c r="H294" s="31"/>
      <c r="I294" s="32"/>
      <c r="J294" s="101"/>
      <c r="K294" s="32"/>
      <c r="L294" s="100"/>
    </row>
    <row r="295" spans="1:13">
      <c r="A295" s="31"/>
      <c r="B295" s="32"/>
      <c r="C295" s="32"/>
      <c r="D295" s="31"/>
      <c r="E295" s="37" t="s">
        <v>374</v>
      </c>
      <c r="F295" s="37"/>
      <c r="G295" s="33" t="s">
        <v>367</v>
      </c>
      <c r="H295" s="31"/>
      <c r="I295" s="32"/>
      <c r="J295" s="101"/>
      <c r="K295" s="32"/>
      <c r="L295" s="100"/>
    </row>
    <row r="296" spans="1:13">
      <c r="A296" s="31"/>
      <c r="B296" s="32"/>
      <c r="C296" s="32"/>
      <c r="D296" s="31"/>
      <c r="E296" s="37" t="s">
        <v>395</v>
      </c>
      <c r="F296" s="37" t="s">
        <v>394</v>
      </c>
      <c r="G296" s="33" t="s">
        <v>366</v>
      </c>
      <c r="H296" s="31"/>
      <c r="I296" s="32"/>
      <c r="J296" s="101"/>
      <c r="K296" s="32"/>
      <c r="L296" s="100"/>
    </row>
    <row r="297" spans="1:13">
      <c r="A297" s="31"/>
      <c r="B297" s="32"/>
      <c r="C297" s="32"/>
      <c r="D297" s="31"/>
      <c r="E297" s="37" t="s">
        <v>386</v>
      </c>
      <c r="F297" s="37" t="str">
        <f ca="1">IF(VLOOKUP(L292,Dashboard!A:G,2,FALSE)&lt;&gt;"","'plan': true"&amp;CHAR(44)&amp;"'actual': false","")</f>
        <v>'plan': true,'actual': false</v>
      </c>
      <c r="G297" s="33" t="s">
        <v>385</v>
      </c>
      <c r="H297" s="31"/>
      <c r="I297" s="32"/>
      <c r="J297" s="101"/>
      <c r="K297" s="32"/>
      <c r="L297" s="100"/>
    </row>
    <row r="298" spans="1:13" ht="15" thickBot="1">
      <c r="A298" s="31"/>
      <c r="B298" s="32"/>
      <c r="C298" s="32"/>
      <c r="D298" s="28"/>
      <c r="E298" s="43" t="str">
        <f>IF(F298="","//","")&amp;"nestedGroups: ["</f>
        <v>//nestedGroups: [</v>
      </c>
      <c r="F298" s="43"/>
      <c r="G298" s="30" t="s">
        <v>370</v>
      </c>
      <c r="H298" s="31"/>
      <c r="I298" s="32"/>
      <c r="J298" s="101"/>
      <c r="K298" s="32"/>
      <c r="L298" s="100"/>
    </row>
    <row r="299" spans="1:13">
      <c r="A299" s="31"/>
      <c r="B299" s="32"/>
      <c r="C299" s="32"/>
      <c r="D299" s="25" t="s">
        <v>362</v>
      </c>
      <c r="E299" s="41"/>
      <c r="F299" s="41"/>
      <c r="G299" s="27"/>
      <c r="H299" s="31"/>
      <c r="I299" s="32"/>
      <c r="J299" s="101"/>
      <c r="K299" s="32"/>
      <c r="L299" s="100"/>
    </row>
    <row r="300" spans="1:13">
      <c r="A300" s="31"/>
      <c r="B300" s="32"/>
      <c r="C300" s="32"/>
      <c r="D300" s="31"/>
      <c r="E300" s="37" t="str">
        <f ca="1">"id: "&amp;K300</f>
        <v>id: "6.8"</v>
      </c>
      <c r="F300" s="37"/>
      <c r="G300" s="33" t="s">
        <v>366</v>
      </c>
      <c r="H300" s="31"/>
      <c r="I300" s="32"/>
      <c r="J300" s="101">
        <f>$J$2+COUNTA($J$1:J299)</f>
        <v>41</v>
      </c>
      <c r="K300" s="32" t="str">
        <f ca="1">CHAR(34)&amp;L300&amp;CHAR(34)</f>
        <v>"6.8"</v>
      </c>
      <c r="L300" s="100" t="str">
        <f ca="1">INDIRECT("Dashboard!A"&amp;J300)</f>
        <v>6.8</v>
      </c>
      <c r="M300" s="32" t="str">
        <f ca="1">VLOOKUP(L300,Dashboard!A:G,7,FALSE)</f>
        <v xml:space="preserve">(Optimization) Test report </v>
      </c>
    </row>
    <row r="301" spans="1:13">
      <c r="A301" s="31"/>
      <c r="B301" s="32"/>
      <c r="C301" s="32"/>
      <c r="D301" s="31"/>
      <c r="E301" s="37" t="s">
        <v>369</v>
      </c>
      <c r="F301" s="102">
        <f>IF(F306="",2,1)</f>
        <v>2</v>
      </c>
      <c r="G301" s="33" t="s">
        <v>366</v>
      </c>
      <c r="H301" s="31"/>
      <c r="I301" s="32"/>
      <c r="J301" s="101"/>
      <c r="K301" s="32"/>
      <c r="L301" s="100"/>
    </row>
    <row r="302" spans="1:13">
      <c r="A302" s="31"/>
      <c r="B302" s="32"/>
      <c r="C302" s="32"/>
      <c r="D302" s="31"/>
      <c r="E302" s="37" t="s">
        <v>368</v>
      </c>
      <c r="F302" s="37" t="str">
        <f ca="1">M300</f>
        <v xml:space="preserve">(Optimization) Test report </v>
      </c>
      <c r="G302" s="33" t="s">
        <v>367</v>
      </c>
      <c r="H302" s="31"/>
      <c r="I302" s="32"/>
      <c r="J302" s="101"/>
      <c r="K302" s="32"/>
      <c r="L302" s="100"/>
    </row>
    <row r="303" spans="1:13">
      <c r="A303" s="31"/>
      <c r="B303" s="32"/>
      <c r="C303" s="32"/>
      <c r="D303" s="31"/>
      <c r="E303" s="37" t="s">
        <v>374</v>
      </c>
      <c r="F303" s="37"/>
      <c r="G303" s="33" t="s">
        <v>367</v>
      </c>
      <c r="H303" s="31"/>
      <c r="I303" s="32"/>
      <c r="J303" s="101"/>
      <c r="K303" s="32"/>
      <c r="L303" s="100"/>
    </row>
    <row r="304" spans="1:13">
      <c r="A304" s="31"/>
      <c r="B304" s="32"/>
      <c r="C304" s="32"/>
      <c r="D304" s="31"/>
      <c r="E304" s="37" t="s">
        <v>395</v>
      </c>
      <c r="F304" s="37" t="s">
        <v>394</v>
      </c>
      <c r="G304" s="33" t="s">
        <v>366</v>
      </c>
      <c r="H304" s="31"/>
      <c r="I304" s="32"/>
      <c r="J304" s="101"/>
      <c r="K304" s="32"/>
      <c r="L304" s="100"/>
    </row>
    <row r="305" spans="1:13">
      <c r="A305" s="31"/>
      <c r="B305" s="32"/>
      <c r="C305" s="32"/>
      <c r="D305" s="31"/>
      <c r="E305" s="37" t="s">
        <v>386</v>
      </c>
      <c r="F305" s="37" t="str">
        <f ca="1">IF(VLOOKUP(L300,Dashboard!A:G,2,FALSE)&lt;&gt;"","'plan': true"&amp;CHAR(44)&amp;"'actual': false","")</f>
        <v>'plan': true,'actual': false</v>
      </c>
      <c r="G305" s="33" t="s">
        <v>385</v>
      </c>
      <c r="H305" s="31"/>
      <c r="I305" s="32"/>
      <c r="J305" s="101"/>
      <c r="K305" s="32"/>
      <c r="L305" s="100"/>
    </row>
    <row r="306" spans="1:13" ht="15" thickBot="1">
      <c r="A306" s="31"/>
      <c r="B306" s="32"/>
      <c r="C306" s="32"/>
      <c r="D306" s="28"/>
      <c r="E306" s="43" t="str">
        <f>IF(F306="","//","")&amp;"nestedGroups: ["</f>
        <v>//nestedGroups: [</v>
      </c>
      <c r="F306" s="43"/>
      <c r="G306" s="30" t="s">
        <v>370</v>
      </c>
      <c r="H306" s="31"/>
      <c r="I306" s="32"/>
      <c r="J306" s="101"/>
      <c r="K306" s="32"/>
      <c r="L306" s="100"/>
    </row>
    <row r="307" spans="1:13">
      <c r="A307" s="31"/>
      <c r="B307" s="32"/>
      <c r="C307" s="32"/>
      <c r="D307" s="25" t="s">
        <v>362</v>
      </c>
      <c r="E307" s="41"/>
      <c r="F307" s="41"/>
      <c r="G307" s="27"/>
      <c r="H307" s="31"/>
      <c r="I307" s="32"/>
      <c r="J307" s="101"/>
      <c r="K307" s="32"/>
      <c r="L307" s="100"/>
    </row>
    <row r="308" spans="1:13">
      <c r="A308" s="31"/>
      <c r="B308" s="32"/>
      <c r="C308" s="32"/>
      <c r="D308" s="31"/>
      <c r="E308" s="37" t="str">
        <f ca="1">"id: "&amp;K308</f>
        <v>id: "6.9"</v>
      </c>
      <c r="F308" s="37"/>
      <c r="G308" s="33" t="s">
        <v>366</v>
      </c>
      <c r="H308" s="31"/>
      <c r="I308" s="32"/>
      <c r="J308" s="101">
        <f>$J$2+COUNTA($J$1:J307)</f>
        <v>42</v>
      </c>
      <c r="K308" s="32" t="str">
        <f ca="1">CHAR(34)&amp;L308&amp;CHAR(34)</f>
        <v>"6.9"</v>
      </c>
      <c r="L308" s="100" t="str">
        <f ca="1">INDIRECT("Dashboard!A"&amp;J308)</f>
        <v>6.9</v>
      </c>
      <c r="M308" s="32" t="str">
        <f ca="1">VLOOKUP(L308,Dashboard!A:G,7,FALSE)</f>
        <v>Prediction Module</v>
      </c>
    </row>
    <row r="309" spans="1:13">
      <c r="A309" s="31"/>
      <c r="B309" s="32"/>
      <c r="C309" s="32"/>
      <c r="D309" s="31"/>
      <c r="E309" s="37" t="s">
        <v>369</v>
      </c>
      <c r="F309" s="102">
        <f>IF(F314="",2,1)</f>
        <v>2</v>
      </c>
      <c r="G309" s="33" t="s">
        <v>366</v>
      </c>
      <c r="H309" s="31"/>
      <c r="I309" s="32"/>
      <c r="J309" s="101"/>
      <c r="K309" s="32"/>
      <c r="L309" s="100"/>
    </row>
    <row r="310" spans="1:13">
      <c r="A310" s="31"/>
      <c r="B310" s="32"/>
      <c r="C310" s="32"/>
      <c r="D310" s="31"/>
      <c r="E310" s="37" t="s">
        <v>368</v>
      </c>
      <c r="F310" s="37" t="str">
        <f ca="1">M308</f>
        <v>Prediction Module</v>
      </c>
      <c r="G310" s="33" t="s">
        <v>367</v>
      </c>
      <c r="H310" s="31"/>
      <c r="I310" s="32"/>
      <c r="J310" s="101"/>
      <c r="K310" s="32"/>
      <c r="L310" s="100"/>
    </row>
    <row r="311" spans="1:13">
      <c r="A311" s="31"/>
      <c r="B311" s="32"/>
      <c r="C311" s="32"/>
      <c r="D311" s="31"/>
      <c r="E311" s="37" t="s">
        <v>374</v>
      </c>
      <c r="F311" s="37"/>
      <c r="G311" s="33" t="s">
        <v>367</v>
      </c>
      <c r="H311" s="31"/>
      <c r="I311" s="32"/>
      <c r="J311" s="101"/>
      <c r="K311" s="32"/>
      <c r="L311" s="100"/>
    </row>
    <row r="312" spans="1:13">
      <c r="A312" s="31"/>
      <c r="B312" s="32"/>
      <c r="C312" s="32"/>
      <c r="D312" s="31"/>
      <c r="E312" s="37" t="s">
        <v>395</v>
      </c>
      <c r="F312" s="37" t="s">
        <v>394</v>
      </c>
      <c r="G312" s="33" t="s">
        <v>366</v>
      </c>
      <c r="H312" s="31"/>
      <c r="I312" s="32"/>
      <c r="J312" s="101"/>
      <c r="K312" s="32"/>
      <c r="L312" s="100"/>
    </row>
    <row r="313" spans="1:13">
      <c r="A313" s="31"/>
      <c r="B313" s="32"/>
      <c r="C313" s="32"/>
      <c r="D313" s="31"/>
      <c r="E313" s="37" t="s">
        <v>386</v>
      </c>
      <c r="F313" s="37" t="str">
        <f ca="1">IF(VLOOKUP(L308,Dashboard!A:G,2,FALSE)&lt;&gt;"","'plan': true"&amp;CHAR(44)&amp;"'actual': false","")</f>
        <v/>
      </c>
      <c r="G313" s="33" t="s">
        <v>385</v>
      </c>
      <c r="H313" s="31"/>
      <c r="I313" s="32"/>
      <c r="J313" s="101"/>
      <c r="K313" s="32"/>
      <c r="L313" s="100"/>
    </row>
    <row r="314" spans="1:13" ht="15" thickBot="1">
      <c r="A314" s="31"/>
      <c r="B314" s="32"/>
      <c r="C314" s="32"/>
      <c r="D314" s="28"/>
      <c r="E314" s="43" t="str">
        <f>IF(F314="","//","")&amp;"nestedGroups: ["</f>
        <v>//nestedGroups: [</v>
      </c>
      <c r="F314" s="43"/>
      <c r="G314" s="30" t="s">
        <v>370</v>
      </c>
      <c r="H314" s="31"/>
      <c r="I314" s="32"/>
      <c r="J314" s="101"/>
      <c r="K314" s="32"/>
      <c r="L314" s="100"/>
    </row>
    <row r="315" spans="1:13">
      <c r="A315" s="31"/>
      <c r="B315" s="32"/>
      <c r="C315" s="32"/>
      <c r="D315" s="25" t="s">
        <v>362</v>
      </c>
      <c r="E315" s="41"/>
      <c r="F315" s="41"/>
      <c r="G315" s="27"/>
      <c r="H315" s="31"/>
      <c r="I315" s="32"/>
      <c r="J315" s="101"/>
      <c r="K315" s="32"/>
      <c r="L315" s="100"/>
    </row>
    <row r="316" spans="1:13">
      <c r="A316" s="31"/>
      <c r="B316" s="32"/>
      <c r="C316" s="32"/>
      <c r="D316" s="31"/>
      <c r="E316" s="37" t="str">
        <f ca="1">"id: "&amp;K316</f>
        <v>id: "6.9.1"</v>
      </c>
      <c r="F316" s="37"/>
      <c r="G316" s="33" t="s">
        <v>366</v>
      </c>
      <c r="H316" s="31"/>
      <c r="I316" s="32"/>
      <c r="J316" s="101">
        <f>$J$2+COUNTA($J$1:J315)</f>
        <v>43</v>
      </c>
      <c r="K316" s="32" t="str">
        <f ca="1">CHAR(34)&amp;L316&amp;CHAR(34)</f>
        <v>"6.9.1"</v>
      </c>
      <c r="L316" s="100" t="str">
        <f ca="1">INDIRECT("Dashboard!A"&amp;J316)</f>
        <v>6.9.1</v>
      </c>
      <c r="M316" s="32" t="str">
        <f ca="1">VLOOKUP(L316,Dashboard!A:G,7,FALSE)</f>
        <v>Note : Sky Cam cloud analysis based GHI prediction, 5 minutes resolution</v>
      </c>
    </row>
    <row r="317" spans="1:13">
      <c r="A317" s="31"/>
      <c r="B317" s="32"/>
      <c r="C317" s="32"/>
      <c r="D317" s="31"/>
      <c r="E317" s="37" t="s">
        <v>369</v>
      </c>
      <c r="F317" s="102">
        <f>IF(F322="",2,1)</f>
        <v>2</v>
      </c>
      <c r="G317" s="33" t="s">
        <v>366</v>
      </c>
      <c r="H317" s="31"/>
      <c r="I317" s="32"/>
      <c r="J317" s="101"/>
      <c r="K317" s="32"/>
      <c r="L317" s="100"/>
    </row>
    <row r="318" spans="1:13">
      <c r="A318" s="31"/>
      <c r="B318" s="32"/>
      <c r="C318" s="32"/>
      <c r="D318" s="31"/>
      <c r="E318" s="37" t="s">
        <v>368</v>
      </c>
      <c r="F318" s="37" t="str">
        <f ca="1">M316</f>
        <v>Note : Sky Cam cloud analysis based GHI prediction, 5 minutes resolution</v>
      </c>
      <c r="G318" s="33" t="s">
        <v>367</v>
      </c>
      <c r="H318" s="31"/>
      <c r="I318" s="32"/>
      <c r="J318" s="101"/>
      <c r="K318" s="32"/>
      <c r="L318" s="100"/>
    </row>
    <row r="319" spans="1:13">
      <c r="A319" s="31"/>
      <c r="B319" s="32"/>
      <c r="C319" s="32"/>
      <c r="D319" s="31"/>
      <c r="E319" s="37" t="s">
        <v>374</v>
      </c>
      <c r="F319" s="37"/>
      <c r="G319" s="33" t="s">
        <v>367</v>
      </c>
      <c r="H319" s="31"/>
      <c r="I319" s="32"/>
      <c r="J319" s="101"/>
      <c r="K319" s="32"/>
      <c r="L319" s="100"/>
    </row>
    <row r="320" spans="1:13">
      <c r="A320" s="31"/>
      <c r="B320" s="32"/>
      <c r="C320" s="32"/>
      <c r="D320" s="31"/>
      <c r="E320" s="37" t="s">
        <v>395</v>
      </c>
      <c r="F320" s="37" t="s">
        <v>394</v>
      </c>
      <c r="G320" s="33" t="s">
        <v>366</v>
      </c>
      <c r="H320" s="31"/>
      <c r="I320" s="32"/>
      <c r="J320" s="101"/>
      <c r="K320" s="32"/>
      <c r="L320" s="100"/>
    </row>
    <row r="321" spans="1:13">
      <c r="A321" s="31"/>
      <c r="B321" s="32"/>
      <c r="C321" s="32"/>
      <c r="D321" s="31"/>
      <c r="E321" s="37" t="s">
        <v>386</v>
      </c>
      <c r="F321" s="37" t="str">
        <f ca="1">IF(VLOOKUP(L316,Dashboard!A:G,2,FALSE)&lt;&gt;"","'plan': true"&amp;CHAR(44)&amp;"'actual': false","")</f>
        <v/>
      </c>
      <c r="G321" s="33" t="s">
        <v>385</v>
      </c>
      <c r="H321" s="31"/>
      <c r="I321" s="32"/>
      <c r="J321" s="101"/>
      <c r="K321" s="32"/>
      <c r="L321" s="100"/>
    </row>
    <row r="322" spans="1:13" ht="15" thickBot="1">
      <c r="A322" s="31"/>
      <c r="B322" s="32"/>
      <c r="C322" s="32"/>
      <c r="D322" s="28"/>
      <c r="E322" s="43" t="str">
        <f>IF(F322="","//","")&amp;"nestedGroups: ["</f>
        <v>//nestedGroups: [</v>
      </c>
      <c r="F322" s="43"/>
      <c r="G322" s="30" t="s">
        <v>370</v>
      </c>
      <c r="H322" s="31"/>
      <c r="I322" s="32"/>
      <c r="J322" s="101"/>
      <c r="K322" s="32"/>
      <c r="L322" s="100"/>
    </row>
    <row r="323" spans="1:13">
      <c r="A323" s="31"/>
      <c r="B323" s="32"/>
      <c r="C323" s="32"/>
      <c r="D323" s="25" t="s">
        <v>362</v>
      </c>
      <c r="E323" s="41"/>
      <c r="F323" s="41"/>
      <c r="G323" s="27"/>
      <c r="H323" s="31"/>
      <c r="I323" s="32"/>
      <c r="J323" s="101"/>
      <c r="K323" s="32"/>
      <c r="L323" s="100"/>
    </row>
    <row r="324" spans="1:13">
      <c r="A324" s="31"/>
      <c r="B324" s="32"/>
      <c r="C324" s="32"/>
      <c r="D324" s="31"/>
      <c r="E324" s="37" t="str">
        <f ca="1">"id: "&amp;K324</f>
        <v>id: "6.9.2"</v>
      </c>
      <c r="F324" s="37"/>
      <c r="G324" s="33" t="s">
        <v>366</v>
      </c>
      <c r="H324" s="31"/>
      <c r="I324" s="32"/>
      <c r="J324" s="101">
        <f>$J$2+COUNTA($J$1:J323)</f>
        <v>44</v>
      </c>
      <c r="K324" s="32" t="str">
        <f ca="1">CHAR(34)&amp;L324&amp;CHAR(34)</f>
        <v>"6.9.2"</v>
      </c>
      <c r="L324" s="100" t="str">
        <f ca="1">INDIRECT("Dashboard!A"&amp;J324)</f>
        <v>6.9.2</v>
      </c>
      <c r="M324" s="32" t="str">
        <f ca="1">VLOOKUP(L324,Dashboard!A:G,7,FALSE)</f>
        <v>Note : Load and PV prediction at 15 to 30 minutes resolution </v>
      </c>
    </row>
    <row r="325" spans="1:13">
      <c r="A325" s="31"/>
      <c r="B325" s="32"/>
      <c r="C325" s="32"/>
      <c r="D325" s="31"/>
      <c r="E325" s="37" t="s">
        <v>369</v>
      </c>
      <c r="F325" s="102">
        <f>IF(F330="",2,1)</f>
        <v>2</v>
      </c>
      <c r="G325" s="33" t="s">
        <v>366</v>
      </c>
      <c r="H325" s="31"/>
      <c r="I325" s="32"/>
      <c r="J325" s="101"/>
      <c r="K325" s="32"/>
      <c r="L325" s="100"/>
    </row>
    <row r="326" spans="1:13">
      <c r="A326" s="31"/>
      <c r="B326" s="32"/>
      <c r="C326" s="32"/>
      <c r="D326" s="31"/>
      <c r="E326" s="37" t="s">
        <v>368</v>
      </c>
      <c r="F326" s="37" t="str">
        <f ca="1">M324</f>
        <v>Note : Load and PV prediction at 15 to 30 minutes resolution </v>
      </c>
      <c r="G326" s="33" t="s">
        <v>367</v>
      </c>
      <c r="H326" s="31"/>
      <c r="I326" s="32"/>
      <c r="J326" s="101"/>
      <c r="K326" s="32"/>
      <c r="L326" s="100"/>
    </row>
    <row r="327" spans="1:13">
      <c r="A327" s="31"/>
      <c r="B327" s="32"/>
      <c r="C327" s="32"/>
      <c r="D327" s="31"/>
      <c r="E327" s="37" t="s">
        <v>374</v>
      </c>
      <c r="F327" s="37"/>
      <c r="G327" s="33" t="s">
        <v>367</v>
      </c>
      <c r="H327" s="31"/>
      <c r="I327" s="32"/>
      <c r="J327" s="101"/>
      <c r="K327" s="32"/>
      <c r="L327" s="100"/>
    </row>
    <row r="328" spans="1:13">
      <c r="A328" s="31"/>
      <c r="B328" s="32"/>
      <c r="C328" s="32"/>
      <c r="D328" s="31"/>
      <c r="E328" s="37" t="s">
        <v>395</v>
      </c>
      <c r="F328" s="37" t="s">
        <v>394</v>
      </c>
      <c r="G328" s="33" t="s">
        <v>366</v>
      </c>
      <c r="H328" s="31"/>
      <c r="I328" s="32"/>
      <c r="J328" s="101"/>
      <c r="K328" s="32"/>
      <c r="L328" s="100"/>
    </row>
    <row r="329" spans="1:13">
      <c r="A329" s="31"/>
      <c r="B329" s="32"/>
      <c r="C329" s="32"/>
      <c r="D329" s="31"/>
      <c r="E329" s="37" t="s">
        <v>386</v>
      </c>
      <c r="F329" s="37" t="str">
        <f ca="1">IF(VLOOKUP(L324,Dashboard!A:G,2,FALSE)&lt;&gt;"","'plan': true"&amp;CHAR(44)&amp;"'actual': false","")</f>
        <v/>
      </c>
      <c r="G329" s="33" t="s">
        <v>385</v>
      </c>
      <c r="H329" s="31"/>
      <c r="I329" s="32"/>
      <c r="J329" s="101"/>
      <c r="K329" s="32"/>
      <c r="L329" s="100"/>
    </row>
    <row r="330" spans="1:13" ht="15" thickBot="1">
      <c r="A330" s="31"/>
      <c r="B330" s="32"/>
      <c r="C330" s="32"/>
      <c r="D330" s="28"/>
      <c r="E330" s="43" t="str">
        <f>IF(F330="","//","")&amp;"nestedGroups: ["</f>
        <v>//nestedGroups: [</v>
      </c>
      <c r="F330" s="43"/>
      <c r="G330" s="30" t="s">
        <v>370</v>
      </c>
      <c r="H330" s="31"/>
      <c r="I330" s="32"/>
      <c r="J330" s="101"/>
      <c r="K330" s="32"/>
      <c r="L330" s="100"/>
    </row>
    <row r="331" spans="1:13">
      <c r="A331" s="31"/>
      <c r="B331" s="32"/>
      <c r="C331" s="32"/>
      <c r="D331" s="25" t="s">
        <v>362</v>
      </c>
      <c r="E331" s="41"/>
      <c r="F331" s="41"/>
      <c r="G331" s="27"/>
      <c r="H331" s="31"/>
      <c r="I331" s="32"/>
      <c r="J331" s="101"/>
      <c r="K331" s="32"/>
      <c r="L331" s="100"/>
    </row>
    <row r="332" spans="1:13">
      <c r="A332" s="31"/>
      <c r="B332" s="32"/>
      <c r="C332" s="32"/>
      <c r="D332" s="31"/>
      <c r="E332" s="37" t="str">
        <f ca="1">"id: "&amp;K332</f>
        <v>id: "6.10"</v>
      </c>
      <c r="F332" s="37"/>
      <c r="G332" s="33" t="s">
        <v>366</v>
      </c>
      <c r="H332" s="31"/>
      <c r="I332" s="32"/>
      <c r="J332" s="101">
        <f>$J$2+COUNTA($J$1:J331)</f>
        <v>45</v>
      </c>
      <c r="K332" s="32" t="str">
        <f ca="1">CHAR(34)&amp;L332&amp;CHAR(34)</f>
        <v>"6.10"</v>
      </c>
      <c r="L332" s="100" t="str">
        <f ca="1">INDIRECT("Dashboard!A"&amp;J332)</f>
        <v>6.10</v>
      </c>
      <c r="M332" s="32" t="str">
        <f ca="1">VLOOKUP(L332,Dashboard!A:G,7,FALSE)</f>
        <v>(SkyCam) Technical design document explaining the data schema and algorithm</v>
      </c>
    </row>
    <row r="333" spans="1:13">
      <c r="A333" s="31"/>
      <c r="B333" s="32"/>
      <c r="C333" s="32"/>
      <c r="D333" s="31"/>
      <c r="E333" s="37" t="s">
        <v>369</v>
      </c>
      <c r="F333" s="102">
        <f>IF(F338="",2,1)</f>
        <v>2</v>
      </c>
      <c r="G333" s="33" t="s">
        <v>366</v>
      </c>
      <c r="H333" s="31"/>
      <c r="I333" s="32"/>
      <c r="J333" s="101"/>
      <c r="K333" s="32"/>
      <c r="L333" s="100"/>
    </row>
    <row r="334" spans="1:13">
      <c r="A334" s="31"/>
      <c r="B334" s="32"/>
      <c r="C334" s="32"/>
      <c r="D334" s="31"/>
      <c r="E334" s="37" t="s">
        <v>368</v>
      </c>
      <c r="F334" s="37" t="str">
        <f ca="1">M332</f>
        <v>(SkyCam) Technical design document explaining the data schema and algorithm</v>
      </c>
      <c r="G334" s="33" t="s">
        <v>367</v>
      </c>
      <c r="H334" s="31"/>
      <c r="I334" s="32"/>
      <c r="J334" s="101"/>
      <c r="K334" s="32"/>
      <c r="L334" s="100"/>
    </row>
    <row r="335" spans="1:13">
      <c r="A335" s="31"/>
      <c r="B335" s="32"/>
      <c r="C335" s="32"/>
      <c r="D335" s="31"/>
      <c r="E335" s="37" t="s">
        <v>374</v>
      </c>
      <c r="F335" s="37"/>
      <c r="G335" s="33" t="s">
        <v>367</v>
      </c>
      <c r="H335" s="31"/>
      <c r="I335" s="32"/>
      <c r="J335" s="101"/>
      <c r="K335" s="32"/>
      <c r="L335" s="100"/>
    </row>
    <row r="336" spans="1:13">
      <c r="A336" s="31"/>
      <c r="B336" s="32"/>
      <c r="C336" s="32"/>
      <c r="D336" s="31"/>
      <c r="E336" s="37" t="s">
        <v>395</v>
      </c>
      <c r="F336" s="37" t="s">
        <v>394</v>
      </c>
      <c r="G336" s="33" t="s">
        <v>366</v>
      </c>
      <c r="H336" s="31"/>
      <c r="I336" s="32"/>
      <c r="J336" s="101"/>
      <c r="K336" s="32"/>
      <c r="L336" s="100"/>
    </row>
    <row r="337" spans="1:13">
      <c r="A337" s="31"/>
      <c r="B337" s="32"/>
      <c r="C337" s="32"/>
      <c r="D337" s="31"/>
      <c r="E337" s="37" t="s">
        <v>386</v>
      </c>
      <c r="F337" s="37" t="str">
        <f ca="1">IF(VLOOKUP(L332,Dashboard!A:G,2,FALSE)&lt;&gt;"","'plan': true"&amp;CHAR(44)&amp;"'actual': false","")</f>
        <v>'plan': true,'actual': false</v>
      </c>
      <c r="G337" s="33" t="s">
        <v>385</v>
      </c>
      <c r="H337" s="31"/>
      <c r="I337" s="32"/>
      <c r="J337" s="101"/>
      <c r="K337" s="32"/>
      <c r="L337" s="100"/>
    </row>
    <row r="338" spans="1:13" ht="15" thickBot="1">
      <c r="A338" s="31"/>
      <c r="B338" s="32"/>
      <c r="C338" s="32"/>
      <c r="D338" s="28"/>
      <c r="E338" s="43" t="str">
        <f>IF(F338="","//","")&amp;"nestedGroups: ["</f>
        <v>//nestedGroups: [</v>
      </c>
      <c r="F338" s="43"/>
      <c r="G338" s="30" t="s">
        <v>370</v>
      </c>
      <c r="H338" s="31"/>
      <c r="I338" s="32"/>
      <c r="J338" s="101"/>
      <c r="K338" s="32"/>
      <c r="L338" s="100"/>
    </row>
    <row r="339" spans="1:13">
      <c r="A339" s="31"/>
      <c r="B339" s="32"/>
      <c r="C339" s="32"/>
      <c r="D339" s="25" t="s">
        <v>362</v>
      </c>
      <c r="E339" s="41"/>
      <c r="F339" s="41"/>
      <c r="G339" s="27"/>
      <c r="H339" s="31"/>
      <c r="I339" s="32"/>
      <c r="J339" s="101"/>
      <c r="K339" s="32"/>
      <c r="L339" s="100"/>
    </row>
    <row r="340" spans="1:13">
      <c r="A340" s="31"/>
      <c r="B340" s="32"/>
      <c r="C340" s="32"/>
      <c r="D340" s="31"/>
      <c r="E340" s="37" t="str">
        <f ca="1">"id: "&amp;K340</f>
        <v>id: "6.11"</v>
      </c>
      <c r="F340" s="37"/>
      <c r="G340" s="33" t="s">
        <v>366</v>
      </c>
      <c r="H340" s="31"/>
      <c r="I340" s="32"/>
      <c r="J340" s="101">
        <f>$J$2+COUNTA($J$1:J339)</f>
        <v>46</v>
      </c>
      <c r="K340" s="32" t="str">
        <f ca="1">CHAR(34)&amp;L340&amp;CHAR(34)</f>
        <v>"6.11"</v>
      </c>
      <c r="L340" s="100" t="str">
        <f ca="1">INDIRECT("Dashboard!A"&amp;J340)</f>
        <v>6.11</v>
      </c>
      <c r="M340" s="32" t="str">
        <f ca="1">VLOOKUP(L340,Dashboard!A:G,7,FALSE)</f>
        <v>(SkyCam) Software Code</v>
      </c>
    </row>
    <row r="341" spans="1:13">
      <c r="A341" s="31"/>
      <c r="B341" s="32"/>
      <c r="C341" s="32"/>
      <c r="D341" s="31"/>
      <c r="E341" s="37" t="s">
        <v>369</v>
      </c>
      <c r="F341" s="102">
        <f>IF(F346="",2,1)</f>
        <v>2</v>
      </c>
      <c r="G341" s="33" t="s">
        <v>366</v>
      </c>
      <c r="H341" s="31"/>
      <c r="I341" s="32"/>
      <c r="J341" s="101"/>
      <c r="K341" s="32"/>
      <c r="L341" s="100"/>
    </row>
    <row r="342" spans="1:13">
      <c r="A342" s="31"/>
      <c r="B342" s="32"/>
      <c r="C342" s="32"/>
      <c r="D342" s="31"/>
      <c r="E342" s="37" t="s">
        <v>368</v>
      </c>
      <c r="F342" s="37" t="str">
        <f ca="1">M340</f>
        <v>(SkyCam) Software Code</v>
      </c>
      <c r="G342" s="33" t="s">
        <v>367</v>
      </c>
      <c r="H342" s="31"/>
      <c r="I342" s="32"/>
      <c r="J342" s="101"/>
      <c r="K342" s="32"/>
      <c r="L342" s="100"/>
    </row>
    <row r="343" spans="1:13">
      <c r="A343" s="31"/>
      <c r="B343" s="32"/>
      <c r="C343" s="32"/>
      <c r="D343" s="31"/>
      <c r="E343" s="37" t="s">
        <v>374</v>
      </c>
      <c r="F343" s="37"/>
      <c r="G343" s="33" t="s">
        <v>367</v>
      </c>
      <c r="H343" s="31"/>
      <c r="I343" s="32"/>
      <c r="J343" s="101"/>
      <c r="K343" s="32"/>
      <c r="L343" s="100"/>
    </row>
    <row r="344" spans="1:13">
      <c r="A344" s="31"/>
      <c r="B344" s="32"/>
      <c r="C344" s="32"/>
      <c r="D344" s="31"/>
      <c r="E344" s="37" t="s">
        <v>395</v>
      </c>
      <c r="F344" s="37" t="s">
        <v>394</v>
      </c>
      <c r="G344" s="33" t="s">
        <v>366</v>
      </c>
      <c r="H344" s="31"/>
      <c r="I344" s="32"/>
      <c r="J344" s="101"/>
      <c r="K344" s="32"/>
      <c r="L344" s="100"/>
    </row>
    <row r="345" spans="1:13">
      <c r="A345" s="31"/>
      <c r="B345" s="32"/>
      <c r="C345" s="32"/>
      <c r="D345" s="31"/>
      <c r="E345" s="37" t="s">
        <v>386</v>
      </c>
      <c r="F345" s="37" t="str">
        <f ca="1">IF(VLOOKUP(L340,Dashboard!A:G,2,FALSE)&lt;&gt;"","'plan': true"&amp;CHAR(44)&amp;"'actual': false","")</f>
        <v>'plan': true,'actual': false</v>
      </c>
      <c r="G345" s="33" t="s">
        <v>385</v>
      </c>
      <c r="H345" s="31"/>
      <c r="I345" s="32"/>
      <c r="J345" s="101"/>
      <c r="K345" s="32"/>
      <c r="L345" s="100"/>
    </row>
    <row r="346" spans="1:13" ht="15" thickBot="1">
      <c r="A346" s="31"/>
      <c r="B346" s="32"/>
      <c r="C346" s="32"/>
      <c r="D346" s="28"/>
      <c r="E346" s="43" t="str">
        <f>IF(F346="","//","")&amp;"nestedGroups: ["</f>
        <v>//nestedGroups: [</v>
      </c>
      <c r="F346" s="43"/>
      <c r="G346" s="30" t="s">
        <v>370</v>
      </c>
      <c r="H346" s="31"/>
      <c r="I346" s="32"/>
      <c r="J346" s="101"/>
      <c r="K346" s="32"/>
      <c r="L346" s="100"/>
    </row>
    <row r="347" spans="1:13">
      <c r="A347" s="31"/>
      <c r="B347" s="32"/>
      <c r="C347" s="32"/>
      <c r="D347" s="25" t="s">
        <v>362</v>
      </c>
      <c r="E347" s="41"/>
      <c r="F347" s="41"/>
      <c r="G347" s="27"/>
      <c r="H347" s="31"/>
      <c r="I347" s="32"/>
      <c r="J347" s="101"/>
      <c r="K347" s="32"/>
      <c r="L347" s="100"/>
    </row>
    <row r="348" spans="1:13">
      <c r="A348" s="31"/>
      <c r="B348" s="32"/>
      <c r="C348" s="32"/>
      <c r="D348" s="31"/>
      <c r="E348" s="37" t="str">
        <f ca="1">"id: "&amp;K348</f>
        <v>id: "6.12"</v>
      </c>
      <c r="F348" s="37"/>
      <c r="G348" s="33" t="s">
        <v>366</v>
      </c>
      <c r="H348" s="31"/>
      <c r="I348" s="32"/>
      <c r="J348" s="101">
        <f>$J$2+COUNTA($J$1:J347)</f>
        <v>47</v>
      </c>
      <c r="K348" s="32" t="str">
        <f ca="1">CHAR(34)&amp;L348&amp;CHAR(34)</f>
        <v>"6.12"</v>
      </c>
      <c r="L348" s="100" t="str">
        <f ca="1">INDIRECT("Dashboard!A"&amp;J348)</f>
        <v>6.12</v>
      </c>
      <c r="M348" s="32" t="str">
        <f ca="1">VLOOKUP(L348,Dashboard!A:G,7,FALSE)</f>
        <v>(SkyCam) Deployment Procedure of the code</v>
      </c>
    </row>
    <row r="349" spans="1:13">
      <c r="A349" s="31"/>
      <c r="B349" s="32"/>
      <c r="C349" s="32"/>
      <c r="D349" s="31"/>
      <c r="E349" s="37" t="s">
        <v>369</v>
      </c>
      <c r="F349" s="102">
        <f>IF(F354="",2,1)</f>
        <v>2</v>
      </c>
      <c r="G349" s="33" t="s">
        <v>366</v>
      </c>
      <c r="H349" s="31"/>
      <c r="I349" s="32"/>
      <c r="J349" s="101"/>
      <c r="K349" s="32"/>
      <c r="L349" s="100"/>
    </row>
    <row r="350" spans="1:13">
      <c r="A350" s="31"/>
      <c r="B350" s="32"/>
      <c r="C350" s="32"/>
      <c r="D350" s="31"/>
      <c r="E350" s="37" t="s">
        <v>368</v>
      </c>
      <c r="F350" s="37" t="str">
        <f ca="1">M348</f>
        <v>(SkyCam) Deployment Procedure of the code</v>
      </c>
      <c r="G350" s="33" t="s">
        <v>367</v>
      </c>
      <c r="H350" s="31"/>
      <c r="I350" s="32"/>
      <c r="J350" s="101"/>
      <c r="K350" s="32"/>
      <c r="L350" s="100"/>
    </row>
    <row r="351" spans="1:13">
      <c r="A351" s="31"/>
      <c r="B351" s="32"/>
      <c r="C351" s="32"/>
      <c r="D351" s="31"/>
      <c r="E351" s="37" t="s">
        <v>374</v>
      </c>
      <c r="F351" s="37"/>
      <c r="G351" s="33" t="s">
        <v>367</v>
      </c>
      <c r="H351" s="31"/>
      <c r="I351" s="32"/>
      <c r="J351" s="101"/>
      <c r="K351" s="32"/>
      <c r="L351" s="100"/>
    </row>
    <row r="352" spans="1:13">
      <c r="A352" s="31"/>
      <c r="B352" s="32"/>
      <c r="C352" s="32"/>
      <c r="D352" s="31"/>
      <c r="E352" s="37" t="s">
        <v>395</v>
      </c>
      <c r="F352" s="37" t="s">
        <v>394</v>
      </c>
      <c r="G352" s="33" t="s">
        <v>366</v>
      </c>
      <c r="H352" s="31"/>
      <c r="I352" s="32"/>
      <c r="J352" s="101"/>
      <c r="K352" s="32"/>
      <c r="L352" s="100"/>
    </row>
    <row r="353" spans="1:13">
      <c r="A353" s="31"/>
      <c r="B353" s="32"/>
      <c r="C353" s="32"/>
      <c r="D353" s="31"/>
      <c r="E353" s="37" t="s">
        <v>386</v>
      </c>
      <c r="F353" s="37" t="str">
        <f ca="1">IF(VLOOKUP(L348,Dashboard!A:G,2,FALSE)&lt;&gt;"","'plan': true"&amp;CHAR(44)&amp;"'actual': false","")</f>
        <v>'plan': true,'actual': false</v>
      </c>
      <c r="G353" s="33" t="s">
        <v>385</v>
      </c>
      <c r="H353" s="31"/>
      <c r="I353" s="32"/>
      <c r="J353" s="101"/>
      <c r="K353" s="32"/>
      <c r="L353" s="100"/>
    </row>
    <row r="354" spans="1:13" ht="15" thickBot="1">
      <c r="A354" s="31"/>
      <c r="B354" s="32"/>
      <c r="C354" s="32"/>
      <c r="D354" s="28"/>
      <c r="E354" s="43" t="str">
        <f>IF(F354="","//","")&amp;"nestedGroups: ["</f>
        <v>//nestedGroups: [</v>
      </c>
      <c r="F354" s="43"/>
      <c r="G354" s="30" t="s">
        <v>370</v>
      </c>
      <c r="H354" s="31"/>
      <c r="I354" s="32"/>
      <c r="J354" s="101"/>
      <c r="K354" s="32"/>
      <c r="L354" s="100"/>
    </row>
    <row r="355" spans="1:13">
      <c r="A355" s="31"/>
      <c r="B355" s="32"/>
      <c r="C355" s="32"/>
      <c r="D355" s="25" t="s">
        <v>362</v>
      </c>
      <c r="E355" s="41"/>
      <c r="F355" s="41"/>
      <c r="G355" s="27"/>
      <c r="H355" s="31"/>
      <c r="I355" s="32"/>
      <c r="J355" s="101"/>
      <c r="K355" s="32"/>
      <c r="L355" s="100"/>
    </row>
    <row r="356" spans="1:13">
      <c r="A356" s="31"/>
      <c r="B356" s="32"/>
      <c r="C356" s="32"/>
      <c r="D356" s="31"/>
      <c r="E356" s="37" t="str">
        <f ca="1">"id: "&amp;K356</f>
        <v>id: "6.13"</v>
      </c>
      <c r="F356" s="37"/>
      <c r="G356" s="33" t="s">
        <v>366</v>
      </c>
      <c r="H356" s="31"/>
      <c r="I356" s="32"/>
      <c r="J356" s="101">
        <f>$J$2+COUNTA($J$1:J355)</f>
        <v>48</v>
      </c>
      <c r="K356" s="32" t="str">
        <f ca="1">CHAR(34)&amp;L356&amp;CHAR(34)</f>
        <v>"6.13"</v>
      </c>
      <c r="L356" s="100" t="str">
        <f ca="1">INDIRECT("Dashboard!A"&amp;J356)</f>
        <v>6.13</v>
      </c>
      <c r="M356" s="32" t="str">
        <f ca="1">VLOOKUP(L356,Dashboard!A:G,7,FALSE)</f>
        <v>(SkyCam) Product usage guide with examples for all the functional usecases</v>
      </c>
    </row>
    <row r="357" spans="1:13">
      <c r="A357" s="31"/>
      <c r="B357" s="32"/>
      <c r="C357" s="32"/>
      <c r="D357" s="31"/>
      <c r="E357" s="37" t="s">
        <v>369</v>
      </c>
      <c r="F357" s="102">
        <f>IF(F362="",2,1)</f>
        <v>2</v>
      </c>
      <c r="G357" s="33" t="s">
        <v>366</v>
      </c>
      <c r="H357" s="31"/>
      <c r="I357" s="32"/>
      <c r="J357" s="101"/>
      <c r="K357" s="32"/>
      <c r="L357" s="100"/>
    </row>
    <row r="358" spans="1:13">
      <c r="A358" s="31"/>
      <c r="B358" s="32"/>
      <c r="C358" s="32"/>
      <c r="D358" s="31"/>
      <c r="E358" s="37" t="s">
        <v>368</v>
      </c>
      <c r="F358" s="37" t="str">
        <f ca="1">M356</f>
        <v>(SkyCam) Product usage guide with examples for all the functional usecases</v>
      </c>
      <c r="G358" s="33" t="s">
        <v>367</v>
      </c>
      <c r="H358" s="31"/>
      <c r="I358" s="32"/>
      <c r="J358" s="101"/>
      <c r="K358" s="32"/>
      <c r="L358" s="100"/>
    </row>
    <row r="359" spans="1:13">
      <c r="A359" s="31"/>
      <c r="B359" s="32"/>
      <c r="C359" s="32"/>
      <c r="D359" s="31"/>
      <c r="E359" s="37" t="s">
        <v>374</v>
      </c>
      <c r="F359" s="37"/>
      <c r="G359" s="33" t="s">
        <v>367</v>
      </c>
      <c r="H359" s="31"/>
      <c r="I359" s="32"/>
      <c r="J359" s="101"/>
      <c r="K359" s="32"/>
      <c r="L359" s="100"/>
    </row>
    <row r="360" spans="1:13">
      <c r="A360" s="31"/>
      <c r="B360" s="32"/>
      <c r="C360" s="32"/>
      <c r="D360" s="31"/>
      <c r="E360" s="37" t="s">
        <v>395</v>
      </c>
      <c r="F360" s="37" t="s">
        <v>394</v>
      </c>
      <c r="G360" s="33" t="s">
        <v>366</v>
      </c>
      <c r="H360" s="31"/>
      <c r="I360" s="32"/>
      <c r="J360" s="101"/>
      <c r="K360" s="32"/>
      <c r="L360" s="100"/>
    </row>
    <row r="361" spans="1:13">
      <c r="A361" s="31"/>
      <c r="B361" s="32"/>
      <c r="C361" s="32"/>
      <c r="D361" s="31"/>
      <c r="E361" s="37" t="s">
        <v>386</v>
      </c>
      <c r="F361" s="37" t="str">
        <f ca="1">IF(VLOOKUP(L356,Dashboard!A:G,2,FALSE)&lt;&gt;"","'plan': true"&amp;CHAR(44)&amp;"'actual': false","")</f>
        <v>'plan': true,'actual': false</v>
      </c>
      <c r="G361" s="33" t="s">
        <v>385</v>
      </c>
      <c r="H361" s="31"/>
      <c r="I361" s="32"/>
      <c r="J361" s="101"/>
      <c r="K361" s="32"/>
      <c r="L361" s="100"/>
    </row>
    <row r="362" spans="1:13" ht="15" thickBot="1">
      <c r="A362" s="31"/>
      <c r="B362" s="32"/>
      <c r="C362" s="32"/>
      <c r="D362" s="28"/>
      <c r="E362" s="43" t="str">
        <f>IF(F362="","//","")&amp;"nestedGroups: ["</f>
        <v>//nestedGroups: [</v>
      </c>
      <c r="F362" s="43"/>
      <c r="G362" s="30" t="s">
        <v>370</v>
      </c>
      <c r="H362" s="31"/>
      <c r="I362" s="32"/>
      <c r="J362" s="101"/>
      <c r="K362" s="32"/>
      <c r="L362" s="100"/>
    </row>
    <row r="363" spans="1:13">
      <c r="A363" s="31"/>
      <c r="B363" s="32"/>
      <c r="C363" s="32"/>
      <c r="D363" s="25" t="s">
        <v>362</v>
      </c>
      <c r="E363" s="41"/>
      <c r="F363" s="41"/>
      <c r="G363" s="27"/>
      <c r="H363" s="31"/>
      <c r="I363" s="32"/>
      <c r="J363" s="101"/>
      <c r="K363" s="32"/>
      <c r="L363" s="100"/>
    </row>
    <row r="364" spans="1:13">
      <c r="A364" s="31"/>
      <c r="B364" s="32"/>
      <c r="C364" s="32"/>
      <c r="D364" s="31"/>
      <c r="E364" s="37" t="str">
        <f ca="1">"id: "&amp;K364</f>
        <v>id: "6.14"</v>
      </c>
      <c r="F364" s="37"/>
      <c r="G364" s="33" t="s">
        <v>366</v>
      </c>
      <c r="H364" s="31"/>
      <c r="I364" s="32"/>
      <c r="J364" s="101">
        <f>$J$2+COUNTA($J$1:J363)</f>
        <v>49</v>
      </c>
      <c r="K364" s="32" t="str">
        <f ca="1">CHAR(34)&amp;L364&amp;CHAR(34)</f>
        <v>"6.14"</v>
      </c>
      <c r="L364" s="100" t="str">
        <f ca="1">INDIRECT("Dashboard!A"&amp;J364)</f>
        <v>6.14</v>
      </c>
      <c r="M364" s="32" t="str">
        <f ca="1">VLOOKUP(L364,Dashboard!A:G,7,FALSE)</f>
        <v xml:space="preserve">(SkyCam) Test report </v>
      </c>
    </row>
    <row r="365" spans="1:13">
      <c r="A365" s="31"/>
      <c r="B365" s="32"/>
      <c r="C365" s="32"/>
      <c r="D365" s="31"/>
      <c r="E365" s="37" t="s">
        <v>369</v>
      </c>
      <c r="F365" s="102">
        <f>IF(F370="",2,1)</f>
        <v>2</v>
      </c>
      <c r="G365" s="33" t="s">
        <v>366</v>
      </c>
      <c r="H365" s="31"/>
      <c r="I365" s="32"/>
      <c r="J365" s="101"/>
      <c r="K365" s="32"/>
      <c r="L365" s="100"/>
    </row>
    <row r="366" spans="1:13">
      <c r="A366" s="31"/>
      <c r="B366" s="32"/>
      <c r="C366" s="32"/>
      <c r="D366" s="31"/>
      <c r="E366" s="37" t="s">
        <v>368</v>
      </c>
      <c r="F366" s="37" t="str">
        <f ca="1">M364</f>
        <v xml:space="preserve">(SkyCam) Test report </v>
      </c>
      <c r="G366" s="33" t="s">
        <v>367</v>
      </c>
      <c r="H366" s="31"/>
      <c r="I366" s="32"/>
      <c r="J366" s="101"/>
      <c r="K366" s="32"/>
      <c r="L366" s="100"/>
    </row>
    <row r="367" spans="1:13">
      <c r="A367" s="31"/>
      <c r="B367" s="32"/>
      <c r="C367" s="32"/>
      <c r="D367" s="31"/>
      <c r="E367" s="37" t="s">
        <v>374</v>
      </c>
      <c r="F367" s="37"/>
      <c r="G367" s="33" t="s">
        <v>367</v>
      </c>
      <c r="H367" s="31"/>
      <c r="I367" s="32"/>
      <c r="J367" s="101"/>
      <c r="K367" s="32"/>
      <c r="L367" s="100"/>
    </row>
    <row r="368" spans="1:13">
      <c r="A368" s="31"/>
      <c r="B368" s="32"/>
      <c r="C368" s="32"/>
      <c r="D368" s="31"/>
      <c r="E368" s="37" t="s">
        <v>395</v>
      </c>
      <c r="F368" s="37" t="s">
        <v>394</v>
      </c>
      <c r="G368" s="33" t="s">
        <v>366</v>
      </c>
      <c r="H368" s="31"/>
      <c r="I368" s="32"/>
      <c r="J368" s="101"/>
      <c r="K368" s="32"/>
      <c r="L368" s="100"/>
    </row>
    <row r="369" spans="1:13">
      <c r="A369" s="31"/>
      <c r="B369" s="32"/>
      <c r="C369" s="32"/>
      <c r="D369" s="31"/>
      <c r="E369" s="37" t="s">
        <v>386</v>
      </c>
      <c r="F369" s="37" t="str">
        <f ca="1">IF(VLOOKUP(L364,Dashboard!A:G,2,FALSE)&lt;&gt;"","'plan': true"&amp;CHAR(44)&amp;"'actual': false","")</f>
        <v>'plan': true,'actual': false</v>
      </c>
      <c r="G369" s="33" t="s">
        <v>385</v>
      </c>
      <c r="H369" s="31"/>
      <c r="I369" s="32"/>
      <c r="J369" s="101"/>
      <c r="K369" s="32"/>
      <c r="L369" s="100"/>
    </row>
    <row r="370" spans="1:13" ht="15" thickBot="1">
      <c r="A370" s="31"/>
      <c r="B370" s="32"/>
      <c r="C370" s="32"/>
      <c r="D370" s="28"/>
      <c r="E370" s="43" t="str">
        <f>IF(F370="","//","")&amp;"nestedGroups: ["</f>
        <v>//nestedGroups: [</v>
      </c>
      <c r="F370" s="43"/>
      <c r="G370" s="30" t="s">
        <v>370</v>
      </c>
      <c r="H370" s="31"/>
      <c r="I370" s="32"/>
      <c r="J370" s="101"/>
      <c r="K370" s="32"/>
      <c r="L370" s="100"/>
    </row>
    <row r="371" spans="1:13">
      <c r="A371" s="31"/>
      <c r="B371" s="32"/>
      <c r="C371" s="32"/>
      <c r="D371" s="25" t="s">
        <v>362</v>
      </c>
      <c r="E371" s="114"/>
      <c r="F371" s="114"/>
      <c r="G371" s="27"/>
      <c r="H371" s="31"/>
      <c r="I371" s="32"/>
      <c r="J371" s="101"/>
      <c r="K371" s="32"/>
      <c r="L371" s="100"/>
    </row>
    <row r="372" spans="1:13">
      <c r="A372" s="31"/>
      <c r="B372" s="32"/>
      <c r="C372" s="32"/>
      <c r="D372" s="31"/>
      <c r="E372" s="37" t="str">
        <f ca="1">"id: "&amp;K372</f>
        <v>id: "7"</v>
      </c>
      <c r="F372" s="37"/>
      <c r="G372" s="33" t="s">
        <v>366</v>
      </c>
      <c r="H372" s="31"/>
      <c r="I372" s="32"/>
      <c r="J372" s="101">
        <f>$J$2+COUNTA($J$1:J371)</f>
        <v>50</v>
      </c>
      <c r="K372" s="32" t="str">
        <f ca="1">CHAR(34)&amp;L372&amp;CHAR(34)</f>
        <v>"7"</v>
      </c>
      <c r="L372" s="100" t="str">
        <f ca="1">INDIRECT("Dashboard!A"&amp;J372)</f>
        <v>7</v>
      </c>
      <c r="M372" s="32" t="str">
        <f ca="1">VLOOKUP(L372,Dashboard!A:G,7,FALSE)</f>
        <v>M6. WebUI Dashboard &amp; Alerts for Energy Optimization</v>
      </c>
    </row>
    <row r="373" spans="1:13">
      <c r="A373" s="31"/>
      <c r="B373" s="32"/>
      <c r="C373" s="32"/>
      <c r="D373" s="31"/>
      <c r="E373" s="37" t="s">
        <v>369</v>
      </c>
      <c r="F373" s="102">
        <f>IF(F378="",2,1)</f>
        <v>1</v>
      </c>
      <c r="G373" s="33" t="s">
        <v>366</v>
      </c>
      <c r="H373" s="31"/>
      <c r="I373" s="32"/>
      <c r="J373" s="101"/>
      <c r="K373" s="32"/>
      <c r="L373" s="100"/>
    </row>
    <row r="374" spans="1:13">
      <c r="A374" s="31"/>
      <c r="B374" s="32"/>
      <c r="C374" s="32"/>
      <c r="D374" s="31"/>
      <c r="E374" s="37" t="s">
        <v>368</v>
      </c>
      <c r="F374" s="37" t="str">
        <f ca="1">M372</f>
        <v>M6. WebUI Dashboard &amp; Alerts for Energy Optimization</v>
      </c>
      <c r="G374" s="33" t="s">
        <v>367</v>
      </c>
      <c r="H374" s="31"/>
      <c r="I374" s="32"/>
      <c r="J374" s="101"/>
      <c r="K374" s="32"/>
      <c r="L374" s="100"/>
    </row>
    <row r="375" spans="1:13">
      <c r="A375" s="31"/>
      <c r="B375" s="32"/>
      <c r="C375" s="32"/>
      <c r="D375" s="31"/>
      <c r="E375" s="37" t="s">
        <v>374</v>
      </c>
      <c r="F375" s="37"/>
      <c r="G375" s="33" t="s">
        <v>367</v>
      </c>
      <c r="H375" s="31"/>
      <c r="I375" s="32"/>
      <c r="J375" s="101"/>
      <c r="K375" s="32"/>
      <c r="L375" s="100"/>
    </row>
    <row r="376" spans="1:13">
      <c r="A376" s="31"/>
      <c r="B376" s="32"/>
      <c r="C376" s="32"/>
      <c r="D376" s="31"/>
      <c r="E376" s="37" t="s">
        <v>395</v>
      </c>
      <c r="F376" s="37" t="s">
        <v>394</v>
      </c>
      <c r="G376" s="33" t="s">
        <v>366</v>
      </c>
      <c r="H376" s="31"/>
      <c r="I376" s="32"/>
      <c r="J376" s="101"/>
      <c r="K376" s="32"/>
      <c r="L376" s="100"/>
    </row>
    <row r="377" spans="1:13">
      <c r="A377" s="31"/>
      <c r="B377" s="32"/>
      <c r="C377" s="32"/>
      <c r="D377" s="31"/>
      <c r="E377" s="37" t="s">
        <v>386</v>
      </c>
      <c r="F377" s="37" t="str">
        <f ca="1">IF(VLOOKUP(L372,Dashboard!A:G,2,FALSE)&lt;&gt;"","'plan': true"&amp;CHAR(44)&amp;"'actual': false","")</f>
        <v>'plan': true,'actual': false</v>
      </c>
      <c r="G377" s="33" t="s">
        <v>385</v>
      </c>
      <c r="H377" s="31"/>
      <c r="I377" s="32" t="s">
        <v>571</v>
      </c>
      <c r="J377" s="101"/>
      <c r="K377" s="32"/>
      <c r="L377" s="100"/>
    </row>
    <row r="378" spans="1:13" ht="15" thickBot="1">
      <c r="A378" s="31"/>
      <c r="B378" s="32"/>
      <c r="C378" s="32"/>
      <c r="D378" s="28"/>
      <c r="E378" s="43" t="str">
        <f>IF(F378="","//","")&amp;"nestedGroups: ["</f>
        <v>nestedGroups: [</v>
      </c>
      <c r="F378" s="37" t="str">
        <f>nestedGroups(5,I378*$I$2,", ")</f>
        <v>0, 1, 0, 0, 1, 0, 0, 1, 0, 0, 1, 0, 0, 1, 0, 0, 1, 0, 0, 1, 0, 0, 1, 0, 0, 1, 0, 0, 1, 0, 0, 1, 0, 0, 1, 0, 0, 1, 0, 0</v>
      </c>
      <c r="G378" s="30" t="s">
        <v>370</v>
      </c>
      <c r="H378" s="31"/>
      <c r="I378" s="3">
        <v>6</v>
      </c>
      <c r="J378" s="101"/>
      <c r="K378" s="32"/>
      <c r="L378" s="100"/>
    </row>
    <row r="379" spans="1:13">
      <c r="A379" s="31"/>
      <c r="B379" s="32"/>
      <c r="C379" s="32"/>
      <c r="D379" s="25" t="s">
        <v>362</v>
      </c>
      <c r="E379" s="41"/>
      <c r="F379" s="41"/>
      <c r="G379" s="27"/>
      <c r="H379" s="31"/>
      <c r="I379" s="32"/>
      <c r="J379" s="101"/>
      <c r="K379" s="32"/>
      <c r="L379" s="100"/>
    </row>
    <row r="380" spans="1:13">
      <c r="A380" s="31"/>
      <c r="B380" s="32"/>
      <c r="C380" s="32"/>
      <c r="D380" s="31"/>
      <c r="E380" s="37" t="str">
        <f ca="1">"id: "&amp;K380</f>
        <v>id: "7.1"</v>
      </c>
      <c r="F380" s="37"/>
      <c r="G380" s="33" t="s">
        <v>366</v>
      </c>
      <c r="H380" s="31"/>
      <c r="I380" s="32"/>
      <c r="J380" s="101">
        <f>$J$2+COUNTA($J$1:J379)</f>
        <v>51</v>
      </c>
      <c r="K380" s="32" t="str">
        <f ca="1">CHAR(34)&amp;L380&amp;CHAR(34)</f>
        <v>"7.1"</v>
      </c>
      <c r="L380" s="100" t="str">
        <f ca="1">INDIRECT("Dashboard!A"&amp;J380)</f>
        <v>7.1</v>
      </c>
      <c r="M380" s="32" t="str">
        <f ca="1">VLOOKUP(L380,Dashboard!A:G,7,FALSE)</f>
        <v>Note : First Version for above use cases</v>
      </c>
    </row>
    <row r="381" spans="1:13">
      <c r="A381" s="31"/>
      <c r="B381" s="32"/>
      <c r="C381" s="32"/>
      <c r="D381" s="31"/>
      <c r="E381" s="37" t="s">
        <v>369</v>
      </c>
      <c r="F381" s="102">
        <f>IF(F386="",2,1)</f>
        <v>2</v>
      </c>
      <c r="G381" s="33" t="s">
        <v>366</v>
      </c>
      <c r="H381" s="31"/>
      <c r="I381" s="32"/>
      <c r="J381" s="101"/>
      <c r="K381" s="32"/>
      <c r="L381" s="100"/>
    </row>
    <row r="382" spans="1:13">
      <c r="A382" s="31"/>
      <c r="B382" s="32"/>
      <c r="C382" s="32"/>
      <c r="D382" s="31"/>
      <c r="E382" s="37" t="s">
        <v>368</v>
      </c>
      <c r="F382" s="37" t="str">
        <f ca="1">M380</f>
        <v>Note : First Version for above use cases</v>
      </c>
      <c r="G382" s="33" t="s">
        <v>367</v>
      </c>
      <c r="H382" s="31"/>
      <c r="I382" s="32"/>
      <c r="J382" s="101"/>
      <c r="K382" s="32"/>
      <c r="L382" s="100"/>
    </row>
    <row r="383" spans="1:13">
      <c r="A383" s="31"/>
      <c r="B383" s="32"/>
      <c r="C383" s="32"/>
      <c r="D383" s="31"/>
      <c r="E383" s="37" t="s">
        <v>374</v>
      </c>
      <c r="F383" s="37"/>
      <c r="G383" s="33" t="s">
        <v>367</v>
      </c>
      <c r="H383" s="31"/>
      <c r="I383" s="32"/>
      <c r="J383" s="101"/>
      <c r="K383" s="32"/>
      <c r="L383" s="100"/>
    </row>
    <row r="384" spans="1:13">
      <c r="A384" s="31"/>
      <c r="B384" s="32"/>
      <c r="C384" s="32"/>
      <c r="D384" s="31"/>
      <c r="E384" s="37" t="s">
        <v>395</v>
      </c>
      <c r="F384" s="37" t="s">
        <v>394</v>
      </c>
      <c r="G384" s="33" t="s">
        <v>366</v>
      </c>
      <c r="H384" s="31"/>
      <c r="I384" s="32"/>
      <c r="J384" s="101"/>
      <c r="K384" s="32"/>
      <c r="L384" s="100"/>
    </row>
    <row r="385" spans="1:13">
      <c r="A385" s="31"/>
      <c r="B385" s="32"/>
      <c r="C385" s="32"/>
      <c r="D385" s="31"/>
      <c r="E385" s="37" t="s">
        <v>386</v>
      </c>
      <c r="F385" s="37" t="str">
        <f ca="1">IF(VLOOKUP(L380,Dashboard!A:G,2,FALSE)&lt;&gt;"","'plan': true"&amp;CHAR(44)&amp;"'actual': false","")</f>
        <v/>
      </c>
      <c r="G385" s="33" t="s">
        <v>385</v>
      </c>
      <c r="H385" s="31"/>
      <c r="I385" s="32"/>
      <c r="J385" s="101"/>
      <c r="K385" s="32"/>
      <c r="L385" s="100"/>
    </row>
    <row r="386" spans="1:13" ht="15" thickBot="1">
      <c r="A386" s="31"/>
      <c r="B386" s="32"/>
      <c r="C386" s="32"/>
      <c r="D386" s="28"/>
      <c r="E386" s="43" t="str">
        <f>IF(F386="","//","")&amp;"nestedGroups: ["</f>
        <v>//nestedGroups: [</v>
      </c>
      <c r="F386" s="43"/>
      <c r="G386" s="30" t="s">
        <v>370</v>
      </c>
      <c r="H386" s="31"/>
      <c r="I386" s="32"/>
      <c r="J386" s="101"/>
      <c r="K386" s="32"/>
      <c r="L386" s="100"/>
    </row>
    <row r="387" spans="1:13">
      <c r="A387" s="31"/>
      <c r="B387" s="32"/>
      <c r="C387" s="32"/>
      <c r="D387" s="25" t="s">
        <v>362</v>
      </c>
      <c r="E387" s="41"/>
      <c r="F387" s="41"/>
      <c r="G387" s="27"/>
      <c r="H387" s="31"/>
      <c r="I387" s="32"/>
      <c r="J387" s="101"/>
      <c r="K387" s="32"/>
      <c r="L387" s="100"/>
    </row>
    <row r="388" spans="1:13">
      <c r="A388" s="31"/>
      <c r="B388" s="32"/>
      <c r="C388" s="32"/>
      <c r="D388" s="31"/>
      <c r="E388" s="37" t="str">
        <f ca="1">"id: "&amp;K388</f>
        <v>id: "7.2"</v>
      </c>
      <c r="F388" s="37"/>
      <c r="G388" s="33" t="s">
        <v>366</v>
      </c>
      <c r="H388" s="31"/>
      <c r="I388" s="32"/>
      <c r="J388" s="101">
        <f>$J$2+COUNTA($J$1:J387)</f>
        <v>52</v>
      </c>
      <c r="K388" s="32" t="str">
        <f ca="1">CHAR(34)&amp;L388&amp;CHAR(34)</f>
        <v>"7.2"</v>
      </c>
      <c r="L388" s="100" t="str">
        <f ca="1">INDIRECT("Dashboard!A"&amp;J388)</f>
        <v>7.2</v>
      </c>
      <c r="M388" s="32" t="str">
        <f ca="1">VLOOKUP(L388,Dashboard!A:G,7,FALSE)</f>
        <v>Technical design document explaining the data schema and algorithm</v>
      </c>
    </row>
    <row r="389" spans="1:13">
      <c r="A389" s="31"/>
      <c r="B389" s="32"/>
      <c r="C389" s="32"/>
      <c r="D389" s="31"/>
      <c r="E389" s="37" t="s">
        <v>369</v>
      </c>
      <c r="F389" s="102">
        <f>IF(F394="",2,1)</f>
        <v>2</v>
      </c>
      <c r="G389" s="33" t="s">
        <v>366</v>
      </c>
      <c r="H389" s="31"/>
      <c r="I389" s="32"/>
      <c r="J389" s="101"/>
      <c r="K389" s="32"/>
      <c r="L389" s="100"/>
    </row>
    <row r="390" spans="1:13">
      <c r="A390" s="31"/>
      <c r="B390" s="32"/>
      <c r="C390" s="32"/>
      <c r="D390" s="31"/>
      <c r="E390" s="37" t="s">
        <v>368</v>
      </c>
      <c r="F390" s="37" t="str">
        <f ca="1">M388</f>
        <v>Technical design document explaining the data schema and algorithm</v>
      </c>
      <c r="G390" s="33" t="s">
        <v>367</v>
      </c>
      <c r="H390" s="31"/>
      <c r="I390" s="32"/>
      <c r="J390" s="101"/>
      <c r="K390" s="32"/>
      <c r="L390" s="100"/>
    </row>
    <row r="391" spans="1:13">
      <c r="A391" s="31"/>
      <c r="B391" s="32"/>
      <c r="C391" s="32"/>
      <c r="D391" s="31"/>
      <c r="E391" s="37" t="s">
        <v>374</v>
      </c>
      <c r="F391" s="37"/>
      <c r="G391" s="33" t="s">
        <v>367</v>
      </c>
      <c r="H391" s="31"/>
      <c r="I391" s="32"/>
      <c r="J391" s="101"/>
      <c r="K391" s="32"/>
      <c r="L391" s="100"/>
    </row>
    <row r="392" spans="1:13">
      <c r="A392" s="31"/>
      <c r="B392" s="32"/>
      <c r="C392" s="32"/>
      <c r="D392" s="31"/>
      <c r="E392" s="37" t="s">
        <v>395</v>
      </c>
      <c r="F392" s="37" t="s">
        <v>394</v>
      </c>
      <c r="G392" s="33" t="s">
        <v>366</v>
      </c>
      <c r="H392" s="31"/>
      <c r="I392" s="32"/>
      <c r="J392" s="101"/>
      <c r="K392" s="32"/>
      <c r="L392" s="100"/>
    </row>
    <row r="393" spans="1:13">
      <c r="A393" s="31"/>
      <c r="B393" s="32"/>
      <c r="C393" s="32"/>
      <c r="D393" s="31"/>
      <c r="E393" s="37" t="s">
        <v>386</v>
      </c>
      <c r="F393" s="37" t="str">
        <f ca="1">IF(VLOOKUP(L388,Dashboard!A:G,2,FALSE)&lt;&gt;"","'plan': true"&amp;CHAR(44)&amp;"'actual': false","")</f>
        <v>'plan': true,'actual': false</v>
      </c>
      <c r="G393" s="33" t="s">
        <v>385</v>
      </c>
      <c r="H393" s="31"/>
      <c r="I393" s="32"/>
      <c r="J393" s="101"/>
      <c r="K393" s="32"/>
      <c r="L393" s="100"/>
    </row>
    <row r="394" spans="1:13" ht="15" thickBot="1">
      <c r="A394" s="31"/>
      <c r="B394" s="32"/>
      <c r="C394" s="32"/>
      <c r="D394" s="28"/>
      <c r="E394" s="43" t="str">
        <f>IF(F394="","//","")&amp;"nestedGroups: ["</f>
        <v>//nestedGroups: [</v>
      </c>
      <c r="F394" s="43"/>
      <c r="G394" s="30" t="s">
        <v>370</v>
      </c>
      <c r="H394" s="31"/>
      <c r="I394" s="32"/>
      <c r="J394" s="101"/>
      <c r="K394" s="32"/>
      <c r="L394" s="100"/>
    </row>
    <row r="395" spans="1:13">
      <c r="A395" s="31"/>
      <c r="B395" s="32"/>
      <c r="C395" s="32"/>
      <c r="D395" s="25" t="s">
        <v>362</v>
      </c>
      <c r="E395" s="41"/>
      <c r="F395" s="41"/>
      <c r="G395" s="27"/>
      <c r="H395" s="31"/>
      <c r="I395" s="32"/>
      <c r="J395" s="101"/>
      <c r="K395" s="32"/>
      <c r="L395" s="100"/>
    </row>
    <row r="396" spans="1:13">
      <c r="A396" s="31"/>
      <c r="B396" s="32"/>
      <c r="C396" s="32"/>
      <c r="D396" s="31"/>
      <c r="E396" s="37" t="str">
        <f ca="1">"id: "&amp;K396</f>
        <v>id: "7.3"</v>
      </c>
      <c r="F396" s="37"/>
      <c r="G396" s="33" t="s">
        <v>366</v>
      </c>
      <c r="H396" s="31"/>
      <c r="I396" s="32"/>
      <c r="J396" s="101">
        <f>$J$2+COUNTA($J$1:J395)</f>
        <v>53</v>
      </c>
      <c r="K396" s="32" t="str">
        <f ca="1">CHAR(34)&amp;L396&amp;CHAR(34)</f>
        <v>"7.3"</v>
      </c>
      <c r="L396" s="100" t="str">
        <f ca="1">INDIRECT("Dashboard!A"&amp;J396)</f>
        <v>7.3</v>
      </c>
      <c r="M396" s="32" t="str">
        <f ca="1">VLOOKUP(L396,Dashboard!A:G,7,FALSE)</f>
        <v>Software Code</v>
      </c>
    </row>
    <row r="397" spans="1:13">
      <c r="A397" s="31"/>
      <c r="B397" s="32"/>
      <c r="C397" s="32"/>
      <c r="D397" s="31"/>
      <c r="E397" s="37" t="s">
        <v>369</v>
      </c>
      <c r="F397" s="102">
        <f>IF(F402="",2,1)</f>
        <v>2</v>
      </c>
      <c r="G397" s="33" t="s">
        <v>366</v>
      </c>
      <c r="H397" s="31"/>
      <c r="I397" s="32"/>
      <c r="J397" s="101"/>
      <c r="K397" s="32"/>
      <c r="L397" s="100"/>
    </row>
    <row r="398" spans="1:13">
      <c r="A398" s="31"/>
      <c r="B398" s="32"/>
      <c r="C398" s="32"/>
      <c r="D398" s="31"/>
      <c r="E398" s="37" t="s">
        <v>368</v>
      </c>
      <c r="F398" s="37" t="str">
        <f ca="1">M396</f>
        <v>Software Code</v>
      </c>
      <c r="G398" s="33" t="s">
        <v>367</v>
      </c>
      <c r="H398" s="31"/>
      <c r="I398" s="32"/>
      <c r="J398" s="101"/>
      <c r="K398" s="32"/>
      <c r="L398" s="100"/>
    </row>
    <row r="399" spans="1:13">
      <c r="A399" s="31"/>
      <c r="B399" s="32"/>
      <c r="C399" s="32"/>
      <c r="D399" s="31"/>
      <c r="E399" s="37" t="s">
        <v>374</v>
      </c>
      <c r="F399" s="37"/>
      <c r="G399" s="33" t="s">
        <v>367</v>
      </c>
      <c r="H399" s="31"/>
      <c r="I399" s="32"/>
      <c r="J399" s="101"/>
      <c r="K399" s="32"/>
      <c r="L399" s="100"/>
    </row>
    <row r="400" spans="1:13">
      <c r="A400" s="31"/>
      <c r="B400" s="32"/>
      <c r="C400" s="32"/>
      <c r="D400" s="31"/>
      <c r="E400" s="37" t="s">
        <v>395</v>
      </c>
      <c r="F400" s="37" t="s">
        <v>394</v>
      </c>
      <c r="G400" s="33" t="s">
        <v>366</v>
      </c>
      <c r="H400" s="31"/>
      <c r="I400" s="32"/>
      <c r="J400" s="101"/>
      <c r="K400" s="32"/>
      <c r="L400" s="100"/>
    </row>
    <row r="401" spans="1:13">
      <c r="A401" s="31"/>
      <c r="B401" s="32"/>
      <c r="C401" s="32"/>
      <c r="D401" s="31"/>
      <c r="E401" s="37" t="s">
        <v>386</v>
      </c>
      <c r="F401" s="37" t="str">
        <f ca="1">IF(VLOOKUP(L396,Dashboard!A:G,2,FALSE)&lt;&gt;"","'plan': true"&amp;CHAR(44)&amp;"'actual': false","")</f>
        <v>'plan': true,'actual': false</v>
      </c>
      <c r="G401" s="33" t="s">
        <v>385</v>
      </c>
      <c r="H401" s="31"/>
      <c r="I401" s="32"/>
      <c r="J401" s="101"/>
      <c r="K401" s="32"/>
      <c r="L401" s="100"/>
    </row>
    <row r="402" spans="1:13" ht="15" thickBot="1">
      <c r="A402" s="31"/>
      <c r="B402" s="32"/>
      <c r="C402" s="32"/>
      <c r="D402" s="28"/>
      <c r="E402" s="43" t="str">
        <f>IF(F402="","//","")&amp;"nestedGroups: ["</f>
        <v>//nestedGroups: [</v>
      </c>
      <c r="F402" s="43"/>
      <c r="G402" s="30" t="s">
        <v>370</v>
      </c>
      <c r="H402" s="31"/>
      <c r="I402" s="32"/>
      <c r="J402" s="101"/>
      <c r="K402" s="32"/>
      <c r="L402" s="100"/>
    </row>
    <row r="403" spans="1:13">
      <c r="A403" s="31"/>
      <c r="B403" s="32"/>
      <c r="C403" s="32"/>
      <c r="D403" s="25" t="s">
        <v>362</v>
      </c>
      <c r="E403" s="41"/>
      <c r="F403" s="41"/>
      <c r="G403" s="27"/>
      <c r="H403" s="31"/>
      <c r="I403" s="32"/>
      <c r="J403" s="101"/>
      <c r="K403" s="32"/>
      <c r="L403" s="100"/>
    </row>
    <row r="404" spans="1:13">
      <c r="A404" s="31"/>
      <c r="B404" s="32"/>
      <c r="C404" s="32"/>
      <c r="D404" s="31"/>
      <c r="E404" s="37" t="str">
        <f ca="1">"id: "&amp;K404</f>
        <v>id: "7.4"</v>
      </c>
      <c r="F404" s="37"/>
      <c r="G404" s="33" t="s">
        <v>366</v>
      </c>
      <c r="H404" s="31"/>
      <c r="I404" s="32"/>
      <c r="J404" s="101">
        <f>$J$2+COUNTA($J$1:J403)</f>
        <v>54</v>
      </c>
      <c r="K404" s="32" t="str">
        <f ca="1">CHAR(34)&amp;L404&amp;CHAR(34)</f>
        <v>"7.4"</v>
      </c>
      <c r="L404" s="100" t="str">
        <f ca="1">INDIRECT("Dashboard!A"&amp;J404)</f>
        <v>7.4</v>
      </c>
      <c r="M404" s="32" t="str">
        <f ca="1">VLOOKUP(L404,Dashboard!A:G,7,FALSE)</f>
        <v>Deployment Procedure of the code</v>
      </c>
    </row>
    <row r="405" spans="1:13">
      <c r="A405" s="31"/>
      <c r="B405" s="32"/>
      <c r="C405" s="32"/>
      <c r="D405" s="31"/>
      <c r="E405" s="37" t="s">
        <v>369</v>
      </c>
      <c r="F405" s="102">
        <f>IF(F410="",2,1)</f>
        <v>2</v>
      </c>
      <c r="G405" s="33" t="s">
        <v>366</v>
      </c>
      <c r="H405" s="31"/>
      <c r="I405" s="32"/>
      <c r="J405" s="101"/>
      <c r="K405" s="32"/>
      <c r="L405" s="100"/>
    </row>
    <row r="406" spans="1:13">
      <c r="A406" s="31"/>
      <c r="B406" s="32"/>
      <c r="C406" s="32"/>
      <c r="D406" s="31"/>
      <c r="E406" s="37" t="s">
        <v>368</v>
      </c>
      <c r="F406" s="37" t="str">
        <f ca="1">M404</f>
        <v>Deployment Procedure of the code</v>
      </c>
      <c r="G406" s="33" t="s">
        <v>367</v>
      </c>
      <c r="H406" s="31"/>
      <c r="I406" s="32"/>
      <c r="J406" s="101"/>
      <c r="K406" s="32"/>
      <c r="L406" s="100"/>
    </row>
    <row r="407" spans="1:13">
      <c r="A407" s="31"/>
      <c r="B407" s="32"/>
      <c r="C407" s="32"/>
      <c r="D407" s="31"/>
      <c r="E407" s="37" t="s">
        <v>374</v>
      </c>
      <c r="F407" s="37"/>
      <c r="G407" s="33" t="s">
        <v>367</v>
      </c>
      <c r="H407" s="31"/>
      <c r="I407" s="32"/>
      <c r="J407" s="101"/>
      <c r="K407" s="32"/>
      <c r="L407" s="100"/>
    </row>
    <row r="408" spans="1:13">
      <c r="A408" s="31"/>
      <c r="B408" s="32"/>
      <c r="C408" s="32"/>
      <c r="D408" s="31"/>
      <c r="E408" s="37" t="s">
        <v>395</v>
      </c>
      <c r="F408" s="37" t="s">
        <v>394</v>
      </c>
      <c r="G408" s="33" t="s">
        <v>366</v>
      </c>
      <c r="H408" s="31"/>
      <c r="I408" s="32"/>
      <c r="J408" s="101"/>
      <c r="K408" s="32"/>
      <c r="L408" s="100"/>
    </row>
    <row r="409" spans="1:13">
      <c r="A409" s="31"/>
      <c r="B409" s="32"/>
      <c r="C409" s="32"/>
      <c r="D409" s="31"/>
      <c r="E409" s="37" t="s">
        <v>386</v>
      </c>
      <c r="F409" s="37" t="str">
        <f ca="1">IF(VLOOKUP(L404,Dashboard!A:G,2,FALSE)&lt;&gt;"","'plan': true"&amp;CHAR(44)&amp;"'actual': false","")</f>
        <v>'plan': true,'actual': false</v>
      </c>
      <c r="G409" s="33" t="s">
        <v>385</v>
      </c>
      <c r="H409" s="31"/>
      <c r="I409" s="32"/>
      <c r="J409" s="101"/>
      <c r="K409" s="32"/>
      <c r="L409" s="100"/>
    </row>
    <row r="410" spans="1:13" ht="15" thickBot="1">
      <c r="A410" s="31"/>
      <c r="B410" s="32"/>
      <c r="C410" s="32"/>
      <c r="D410" s="28"/>
      <c r="E410" s="43" t="str">
        <f>IF(F410="","//","")&amp;"nestedGroups: ["</f>
        <v>//nestedGroups: [</v>
      </c>
      <c r="F410" s="43"/>
      <c r="G410" s="30" t="s">
        <v>370</v>
      </c>
      <c r="H410" s="31"/>
      <c r="I410" s="32"/>
      <c r="J410" s="101"/>
      <c r="K410" s="32"/>
      <c r="L410" s="100"/>
    </row>
    <row r="411" spans="1:13">
      <c r="A411" s="31"/>
      <c r="B411" s="32"/>
      <c r="C411" s="32"/>
      <c r="D411" s="25" t="s">
        <v>362</v>
      </c>
      <c r="E411" s="41"/>
      <c r="F411" s="41"/>
      <c r="G411" s="27"/>
      <c r="H411" s="31"/>
      <c r="I411" s="32"/>
      <c r="J411" s="101"/>
      <c r="K411" s="32"/>
      <c r="L411" s="100"/>
    </row>
    <row r="412" spans="1:13">
      <c r="A412" s="31"/>
      <c r="B412" s="32"/>
      <c r="C412" s="32"/>
      <c r="D412" s="31"/>
      <c r="E412" s="37" t="str">
        <f ca="1">"id: "&amp;K412</f>
        <v>id: "7.5"</v>
      </c>
      <c r="F412" s="37"/>
      <c r="G412" s="33" t="s">
        <v>366</v>
      </c>
      <c r="H412" s="31"/>
      <c r="I412" s="32"/>
      <c r="J412" s="101">
        <f>$J$2+COUNTA($J$1:J411)</f>
        <v>55</v>
      </c>
      <c r="K412" s="32" t="str">
        <f ca="1">CHAR(34)&amp;L412&amp;CHAR(34)</f>
        <v>"7.5"</v>
      </c>
      <c r="L412" s="100" t="str">
        <f ca="1">INDIRECT("Dashboard!A"&amp;J412)</f>
        <v>7.5</v>
      </c>
      <c r="M412" s="32" t="str">
        <f ca="1">VLOOKUP(L412,Dashboard!A:G,7,FALSE)</f>
        <v>Product usage guide with examples for all the functional usecases</v>
      </c>
    </row>
    <row r="413" spans="1:13">
      <c r="A413" s="31"/>
      <c r="B413" s="32"/>
      <c r="C413" s="32"/>
      <c r="D413" s="31"/>
      <c r="E413" s="37" t="s">
        <v>369</v>
      </c>
      <c r="F413" s="102">
        <f>IF(F418="",2,1)</f>
        <v>2</v>
      </c>
      <c r="G413" s="33" t="s">
        <v>366</v>
      </c>
      <c r="H413" s="31"/>
      <c r="I413" s="32"/>
      <c r="J413" s="101"/>
      <c r="K413" s="32"/>
      <c r="L413" s="100"/>
    </row>
    <row r="414" spans="1:13">
      <c r="A414" s="31"/>
      <c r="B414" s="32"/>
      <c r="C414" s="32"/>
      <c r="D414" s="31"/>
      <c r="E414" s="37" t="s">
        <v>368</v>
      </c>
      <c r="F414" s="37" t="str">
        <f ca="1">M412</f>
        <v>Product usage guide with examples for all the functional usecases</v>
      </c>
      <c r="G414" s="33" t="s">
        <v>367</v>
      </c>
      <c r="H414" s="31"/>
      <c r="I414" s="32"/>
      <c r="J414" s="101"/>
      <c r="K414" s="32"/>
      <c r="L414" s="100"/>
    </row>
    <row r="415" spans="1:13">
      <c r="A415" s="31"/>
      <c r="B415" s="32"/>
      <c r="C415" s="32"/>
      <c r="D415" s="31"/>
      <c r="E415" s="37" t="s">
        <v>374</v>
      </c>
      <c r="F415" s="37"/>
      <c r="G415" s="33" t="s">
        <v>367</v>
      </c>
      <c r="H415" s="31"/>
      <c r="I415" s="32"/>
      <c r="J415" s="101"/>
      <c r="K415" s="32"/>
      <c r="L415" s="100"/>
    </row>
    <row r="416" spans="1:13">
      <c r="A416" s="31"/>
      <c r="B416" s="32"/>
      <c r="C416" s="32"/>
      <c r="D416" s="31"/>
      <c r="E416" s="37" t="s">
        <v>395</v>
      </c>
      <c r="F416" s="37" t="s">
        <v>394</v>
      </c>
      <c r="G416" s="33" t="s">
        <v>366</v>
      </c>
      <c r="H416" s="31"/>
      <c r="I416" s="32"/>
      <c r="J416" s="101"/>
      <c r="K416" s="32"/>
      <c r="L416" s="100"/>
    </row>
    <row r="417" spans="1:13">
      <c r="A417" s="31"/>
      <c r="B417" s="32"/>
      <c r="C417" s="32"/>
      <c r="D417" s="31"/>
      <c r="E417" s="37" t="s">
        <v>386</v>
      </c>
      <c r="F417" s="37" t="str">
        <f ca="1">IF(VLOOKUP(L412,Dashboard!A:G,2,FALSE)&lt;&gt;"","'plan': true"&amp;CHAR(44)&amp;"'actual': false","")</f>
        <v>'plan': true,'actual': false</v>
      </c>
      <c r="G417" s="33" t="s">
        <v>385</v>
      </c>
      <c r="H417" s="31"/>
      <c r="I417" s="32"/>
      <c r="J417" s="101"/>
      <c r="K417" s="32"/>
      <c r="L417" s="100"/>
    </row>
    <row r="418" spans="1:13" ht="15" thickBot="1">
      <c r="A418" s="31"/>
      <c r="B418" s="32"/>
      <c r="C418" s="32"/>
      <c r="D418" s="28"/>
      <c r="E418" s="43" t="str">
        <f>IF(F418="","//","")&amp;"nestedGroups: ["</f>
        <v>//nestedGroups: [</v>
      </c>
      <c r="F418" s="43"/>
      <c r="G418" s="30" t="s">
        <v>370</v>
      </c>
      <c r="H418" s="31"/>
      <c r="I418" s="32"/>
      <c r="J418" s="101"/>
      <c r="K418" s="32"/>
      <c r="L418" s="100"/>
    </row>
    <row r="419" spans="1:13">
      <c r="A419" s="31"/>
      <c r="B419" s="32"/>
      <c r="C419" s="32"/>
      <c r="D419" s="25" t="s">
        <v>362</v>
      </c>
      <c r="E419" s="41"/>
      <c r="F419" s="41"/>
      <c r="G419" s="27"/>
      <c r="H419" s="31"/>
      <c r="I419" s="32"/>
      <c r="J419" s="101"/>
      <c r="K419" s="32"/>
      <c r="L419" s="100"/>
    </row>
    <row r="420" spans="1:13">
      <c r="A420" s="31"/>
      <c r="B420" s="32"/>
      <c r="C420" s="32"/>
      <c r="D420" s="31"/>
      <c r="E420" s="37" t="str">
        <f ca="1">"id: "&amp;K420</f>
        <v>id: "7.6"</v>
      </c>
      <c r="F420" s="37"/>
      <c r="G420" s="33" t="s">
        <v>366</v>
      </c>
      <c r="H420" s="31"/>
      <c r="I420" s="32"/>
      <c r="J420" s="101">
        <f>$J$2+COUNTA($J$1:J419)</f>
        <v>56</v>
      </c>
      <c r="K420" s="32" t="str">
        <f ca="1">CHAR(34)&amp;L420&amp;CHAR(34)</f>
        <v>"7.6"</v>
      </c>
      <c r="L420" s="100" t="str">
        <f ca="1">INDIRECT("Dashboard!A"&amp;J420)</f>
        <v>7.6</v>
      </c>
      <c r="M420" s="32" t="str">
        <f ca="1">VLOOKUP(L420,Dashboard!A:G,7,FALSE)</f>
        <v xml:space="preserve">Test report </v>
      </c>
    </row>
    <row r="421" spans="1:13">
      <c r="A421" s="31"/>
      <c r="B421" s="32"/>
      <c r="C421" s="32"/>
      <c r="D421" s="31"/>
      <c r="E421" s="37" t="s">
        <v>369</v>
      </c>
      <c r="F421" s="102">
        <f>IF(F426="",2,1)</f>
        <v>2</v>
      </c>
      <c r="G421" s="33" t="s">
        <v>366</v>
      </c>
      <c r="H421" s="31"/>
      <c r="I421" s="32"/>
      <c r="J421" s="101"/>
      <c r="K421" s="32"/>
      <c r="L421" s="100"/>
    </row>
    <row r="422" spans="1:13">
      <c r="A422" s="31"/>
      <c r="B422" s="32"/>
      <c r="C422" s="32"/>
      <c r="D422" s="31"/>
      <c r="E422" s="37" t="s">
        <v>368</v>
      </c>
      <c r="F422" s="37" t="str">
        <f ca="1">M420</f>
        <v xml:space="preserve">Test report </v>
      </c>
      <c r="G422" s="33" t="s">
        <v>367</v>
      </c>
      <c r="H422" s="31"/>
      <c r="I422" s="32"/>
      <c r="J422" s="101"/>
      <c r="K422" s="32"/>
      <c r="L422" s="100"/>
    </row>
    <row r="423" spans="1:13">
      <c r="A423" s="31"/>
      <c r="B423" s="32"/>
      <c r="C423" s="32"/>
      <c r="D423" s="31"/>
      <c r="E423" s="37" t="s">
        <v>374</v>
      </c>
      <c r="F423" s="37"/>
      <c r="G423" s="33" t="s">
        <v>367</v>
      </c>
      <c r="H423" s="31"/>
      <c r="I423" s="32"/>
      <c r="J423" s="101"/>
      <c r="K423" s="32"/>
      <c r="L423" s="100"/>
    </row>
    <row r="424" spans="1:13">
      <c r="A424" s="31"/>
      <c r="B424" s="32"/>
      <c r="C424" s="32"/>
      <c r="D424" s="31"/>
      <c r="E424" s="37" t="s">
        <v>395</v>
      </c>
      <c r="F424" s="37" t="s">
        <v>394</v>
      </c>
      <c r="G424" s="33" t="s">
        <v>366</v>
      </c>
      <c r="H424" s="31"/>
      <c r="I424" s="32"/>
      <c r="J424" s="101"/>
      <c r="K424" s="32"/>
      <c r="L424" s="100"/>
    </row>
    <row r="425" spans="1:13">
      <c r="A425" s="31"/>
      <c r="B425" s="32"/>
      <c r="C425" s="32"/>
      <c r="D425" s="31"/>
      <c r="E425" s="37" t="s">
        <v>386</v>
      </c>
      <c r="F425" s="37" t="str">
        <f ca="1">IF(VLOOKUP(L420,Dashboard!A:G,2,FALSE)&lt;&gt;"","'plan': true"&amp;CHAR(44)&amp;"'actual': false","")</f>
        <v>'plan': true,'actual': false</v>
      </c>
      <c r="G425" s="33" t="s">
        <v>385</v>
      </c>
      <c r="H425" s="31"/>
      <c r="I425" s="32"/>
      <c r="J425" s="101"/>
      <c r="K425" s="32"/>
      <c r="L425" s="100"/>
    </row>
    <row r="426" spans="1:13" ht="15" thickBot="1">
      <c r="A426" s="31"/>
      <c r="B426" s="32"/>
      <c r="C426" s="32"/>
      <c r="D426" s="28"/>
      <c r="E426" s="43" t="str">
        <f>IF(F426="","//","")&amp;"nestedGroups: ["</f>
        <v>//nestedGroups: [</v>
      </c>
      <c r="F426" s="43"/>
      <c r="G426" s="30" t="s">
        <v>370</v>
      </c>
      <c r="H426" s="31"/>
      <c r="I426" s="32"/>
      <c r="J426" s="101"/>
      <c r="K426" s="32"/>
      <c r="L426" s="100"/>
    </row>
    <row r="427" spans="1:13">
      <c r="A427" s="31"/>
      <c r="B427" s="32"/>
      <c r="C427" s="32"/>
      <c r="D427" s="25" t="s">
        <v>362</v>
      </c>
      <c r="E427" s="114"/>
      <c r="F427" s="114"/>
      <c r="G427" s="27"/>
      <c r="H427" s="31"/>
      <c r="I427" s="32"/>
      <c r="J427" s="101"/>
      <c r="K427" s="32"/>
      <c r="L427" s="100"/>
    </row>
    <row r="428" spans="1:13">
      <c r="A428" s="31"/>
      <c r="B428" s="32"/>
      <c r="C428" s="32"/>
      <c r="D428" s="31"/>
      <c r="E428" s="37" t="str">
        <f ca="1">"id: "&amp;K428</f>
        <v>id: "8"</v>
      </c>
      <c r="F428" s="37"/>
      <c r="G428" s="33" t="s">
        <v>366</v>
      </c>
      <c r="H428" s="31"/>
      <c r="I428" s="32"/>
      <c r="J428" s="101">
        <f>$J$2+COUNTA($J$1:J427)</f>
        <v>57</v>
      </c>
      <c r="K428" s="32" t="str">
        <f ca="1">CHAR(34)&amp;L428&amp;CHAR(34)</f>
        <v>"8"</v>
      </c>
      <c r="L428" s="100" t="str">
        <f ca="1">INDIRECT("Dashboard!A"&amp;J428)</f>
        <v>8</v>
      </c>
      <c r="M428" s="32" t="str">
        <f ca="1">VLOOKUP(L428,Dashboard!A:G,7,FALSE)</f>
        <v>M7. Android UI Dashboard &amp; Alerts for Energy Optimization</v>
      </c>
    </row>
    <row r="429" spans="1:13">
      <c r="A429" s="31"/>
      <c r="B429" s="32"/>
      <c r="C429" s="32"/>
      <c r="D429" s="31"/>
      <c r="E429" s="37" t="s">
        <v>369</v>
      </c>
      <c r="F429" s="102" t="e">
        <f>IF(F434="",2,1)</f>
        <v>#VALUE!</v>
      </c>
      <c r="G429" s="33" t="s">
        <v>366</v>
      </c>
      <c r="H429" s="31"/>
      <c r="I429" s="32"/>
      <c r="J429" s="101"/>
      <c r="K429" s="32"/>
      <c r="L429" s="100"/>
    </row>
    <row r="430" spans="1:13">
      <c r="A430" s="31"/>
      <c r="B430" s="32"/>
      <c r="C430" s="32"/>
      <c r="D430" s="31"/>
      <c r="E430" s="37" t="s">
        <v>368</v>
      </c>
      <c r="F430" s="37" t="str">
        <f ca="1">M428</f>
        <v>M7. Android UI Dashboard &amp; Alerts for Energy Optimization</v>
      </c>
      <c r="G430" s="33" t="s">
        <v>367</v>
      </c>
      <c r="H430" s="31"/>
      <c r="I430" s="32"/>
      <c r="J430" s="101"/>
      <c r="K430" s="32"/>
      <c r="L430" s="100"/>
    </row>
    <row r="431" spans="1:13">
      <c r="A431" s="31"/>
      <c r="B431" s="32"/>
      <c r="C431" s="32"/>
      <c r="D431" s="31"/>
      <c r="E431" s="37" t="s">
        <v>374</v>
      </c>
      <c r="F431" s="37"/>
      <c r="G431" s="33" t="s">
        <v>367</v>
      </c>
      <c r="H431" s="31"/>
      <c r="I431" s="32"/>
      <c r="J431" s="101"/>
      <c r="K431" s="32"/>
      <c r="L431" s="100"/>
    </row>
    <row r="432" spans="1:13">
      <c r="A432" s="31"/>
      <c r="B432" s="32"/>
      <c r="C432" s="32"/>
      <c r="D432" s="31"/>
      <c r="E432" s="37" t="s">
        <v>395</v>
      </c>
      <c r="F432" s="37" t="s">
        <v>394</v>
      </c>
      <c r="G432" s="33" t="s">
        <v>366</v>
      </c>
      <c r="H432" s="31"/>
      <c r="I432" s="32"/>
      <c r="J432" s="101"/>
      <c r="K432" s="32"/>
      <c r="L432" s="100"/>
    </row>
    <row r="433" spans="1:13">
      <c r="A433" s="31"/>
      <c r="B433" s="32"/>
      <c r="C433" s="32"/>
      <c r="D433" s="31"/>
      <c r="E433" s="37" t="s">
        <v>386</v>
      </c>
      <c r="F433" s="37" t="str">
        <f ca="1">IF(VLOOKUP(L428,Dashboard!A:G,2,FALSE)&lt;&gt;"","'plan': true"&amp;CHAR(44)&amp;"'actual': false","")</f>
        <v>'plan': true,'actual': false</v>
      </c>
      <c r="G433" s="33" t="s">
        <v>385</v>
      </c>
      <c r="H433" s="31"/>
      <c r="I433" s="32" t="s">
        <v>571</v>
      </c>
      <c r="J433" s="101"/>
      <c r="K433" s="32"/>
      <c r="L433" s="100"/>
    </row>
    <row r="434" spans="1:13" ht="15" thickBot="1">
      <c r="A434" s="31"/>
      <c r="B434" s="32"/>
      <c r="C434" s="32"/>
      <c r="D434" s="28"/>
      <c r="E434" s="43" t="e">
        <f>IF(F434="","//","")&amp;"nestedGroups: ["</f>
        <v>#VALUE!</v>
      </c>
      <c r="F434" s="37" t="e">
        <f>nestedGroups(5,I434*$I$2,", ")</f>
        <v>#VALUE!</v>
      </c>
      <c r="G434" s="30" t="s">
        <v>370</v>
      </c>
      <c r="H434" s="31"/>
      <c r="I434" s="3">
        <v>6</v>
      </c>
      <c r="J434" s="101"/>
      <c r="K434" s="32"/>
      <c r="L434" s="100"/>
    </row>
    <row r="435" spans="1:13">
      <c r="A435" s="31"/>
      <c r="B435" s="32"/>
      <c r="C435" s="32"/>
      <c r="D435" s="25" t="s">
        <v>362</v>
      </c>
      <c r="E435" s="41"/>
      <c r="F435" s="41"/>
      <c r="G435" s="27"/>
      <c r="H435" s="31"/>
      <c r="I435" s="32"/>
      <c r="J435" s="101"/>
      <c r="K435" s="32"/>
      <c r="L435" s="100"/>
    </row>
    <row r="436" spans="1:13">
      <c r="A436" s="31"/>
      <c r="B436" s="32"/>
      <c r="C436" s="32"/>
      <c r="D436" s="31"/>
      <c r="E436" s="37" t="str">
        <f ca="1">"id: "&amp;K436</f>
        <v>id: "8.1"</v>
      </c>
      <c r="F436" s="37"/>
      <c r="G436" s="33" t="s">
        <v>366</v>
      </c>
      <c r="H436" s="31"/>
      <c r="I436" s="32"/>
      <c r="J436" s="101">
        <f>$J$2+COUNTA($J$1:J435)</f>
        <v>58</v>
      </c>
      <c r="K436" s="32" t="str">
        <f ca="1">CHAR(34)&amp;L436&amp;CHAR(34)</f>
        <v>"8.1"</v>
      </c>
      <c r="L436" s="100" t="str">
        <f ca="1">INDIRECT("Dashboard!A"&amp;J436)</f>
        <v>8.1</v>
      </c>
      <c r="M436" s="32" t="str">
        <f ca="1">VLOOKUP(L436,Dashboard!A:G,7,FALSE)</f>
        <v>Note : First Version for above use cases</v>
      </c>
    </row>
    <row r="437" spans="1:13">
      <c r="A437" s="31"/>
      <c r="B437" s="32"/>
      <c r="C437" s="32"/>
      <c r="D437" s="31"/>
      <c r="E437" s="37" t="s">
        <v>369</v>
      </c>
      <c r="F437" s="102">
        <f>IF(F442="",2,1)</f>
        <v>2</v>
      </c>
      <c r="G437" s="33" t="s">
        <v>366</v>
      </c>
      <c r="H437" s="31"/>
      <c r="I437" s="32"/>
      <c r="J437" s="101"/>
      <c r="K437" s="32"/>
      <c r="L437" s="100"/>
    </row>
    <row r="438" spans="1:13">
      <c r="A438" s="31"/>
      <c r="B438" s="32"/>
      <c r="C438" s="32"/>
      <c r="D438" s="31"/>
      <c r="E438" s="37" t="s">
        <v>368</v>
      </c>
      <c r="F438" s="37" t="str">
        <f ca="1">M436</f>
        <v>Note : First Version for above use cases</v>
      </c>
      <c r="G438" s="33" t="s">
        <v>367</v>
      </c>
      <c r="H438" s="31"/>
      <c r="I438" s="32"/>
      <c r="J438" s="101"/>
      <c r="K438" s="32"/>
      <c r="L438" s="100"/>
    </row>
    <row r="439" spans="1:13">
      <c r="A439" s="31"/>
      <c r="B439" s="32"/>
      <c r="C439" s="32"/>
      <c r="D439" s="31"/>
      <c r="E439" s="37" t="s">
        <v>374</v>
      </c>
      <c r="F439" s="37"/>
      <c r="G439" s="33" t="s">
        <v>367</v>
      </c>
      <c r="H439" s="31"/>
      <c r="I439" s="32"/>
      <c r="J439" s="101"/>
      <c r="K439" s="32"/>
      <c r="L439" s="100"/>
    </row>
    <row r="440" spans="1:13">
      <c r="A440" s="31"/>
      <c r="B440" s="32"/>
      <c r="C440" s="32"/>
      <c r="D440" s="31"/>
      <c r="E440" s="37" t="s">
        <v>395</v>
      </c>
      <c r="F440" s="37" t="s">
        <v>394</v>
      </c>
      <c r="G440" s="33" t="s">
        <v>366</v>
      </c>
      <c r="H440" s="31"/>
      <c r="I440" s="32"/>
      <c r="J440" s="101"/>
      <c r="K440" s="32"/>
      <c r="L440" s="100"/>
    </row>
    <row r="441" spans="1:13">
      <c r="A441" s="31"/>
      <c r="B441" s="32"/>
      <c r="C441" s="32"/>
      <c r="D441" s="31"/>
      <c r="E441" s="37" t="s">
        <v>386</v>
      </c>
      <c r="F441" s="37" t="str">
        <f ca="1">IF(VLOOKUP(L436,Dashboard!A:G,2,FALSE)&lt;&gt;"","'plan': true"&amp;CHAR(44)&amp;"'actual': false","")</f>
        <v/>
      </c>
      <c r="G441" s="33" t="s">
        <v>385</v>
      </c>
      <c r="H441" s="31"/>
      <c r="I441" s="32"/>
      <c r="J441" s="101"/>
      <c r="K441" s="32"/>
      <c r="L441" s="100"/>
    </row>
    <row r="442" spans="1:13" ht="15" thickBot="1">
      <c r="A442" s="31"/>
      <c r="B442" s="32"/>
      <c r="C442" s="32"/>
      <c r="D442" s="28"/>
      <c r="E442" s="43" t="str">
        <f>IF(F442="","//","")&amp;"nestedGroups: ["</f>
        <v>//nestedGroups: [</v>
      </c>
      <c r="F442" s="43"/>
      <c r="G442" s="30" t="s">
        <v>370</v>
      </c>
      <c r="H442" s="31"/>
      <c r="I442" s="32"/>
      <c r="J442" s="101"/>
      <c r="K442" s="32"/>
      <c r="L442" s="100"/>
    </row>
    <row r="443" spans="1:13">
      <c r="A443" s="31"/>
      <c r="B443" s="32"/>
      <c r="C443" s="32"/>
      <c r="D443" s="25" t="s">
        <v>362</v>
      </c>
      <c r="E443" s="41"/>
      <c r="F443" s="41"/>
      <c r="G443" s="27"/>
      <c r="H443" s="31"/>
      <c r="I443" s="32"/>
      <c r="J443" s="101"/>
      <c r="K443" s="32"/>
      <c r="L443" s="100"/>
    </row>
    <row r="444" spans="1:13">
      <c r="A444" s="31"/>
      <c r="B444" s="32"/>
      <c r="C444" s="32"/>
      <c r="D444" s="31"/>
      <c r="E444" s="37" t="str">
        <f ca="1">"id: "&amp;K444</f>
        <v>id: "8.2"</v>
      </c>
      <c r="F444" s="37"/>
      <c r="G444" s="33" t="s">
        <v>366</v>
      </c>
      <c r="H444" s="31"/>
      <c r="I444" s="32"/>
      <c r="J444" s="101">
        <f>$J$2+COUNTA($J$1:J443)</f>
        <v>59</v>
      </c>
      <c r="K444" s="32" t="str">
        <f ca="1">CHAR(34)&amp;L444&amp;CHAR(34)</f>
        <v>"8.2"</v>
      </c>
      <c r="L444" s="100" t="str">
        <f ca="1">INDIRECT("Dashboard!A"&amp;J444)</f>
        <v>8.2</v>
      </c>
      <c r="M444" s="32" t="str">
        <f ca="1">VLOOKUP(L444,Dashboard!A:G,7,FALSE)</f>
        <v>Technical design document explaining the data schema and algorithm</v>
      </c>
    </row>
    <row r="445" spans="1:13">
      <c r="A445" s="31"/>
      <c r="B445" s="32"/>
      <c r="C445" s="32"/>
      <c r="D445" s="31"/>
      <c r="E445" s="37" t="s">
        <v>369</v>
      </c>
      <c r="F445" s="102">
        <f>IF(F450="",2,1)</f>
        <v>2</v>
      </c>
      <c r="G445" s="33" t="s">
        <v>366</v>
      </c>
      <c r="H445" s="31"/>
      <c r="I445" s="32"/>
      <c r="J445" s="101"/>
      <c r="K445" s="32"/>
      <c r="L445" s="100"/>
    </row>
    <row r="446" spans="1:13">
      <c r="A446" s="31"/>
      <c r="B446" s="32"/>
      <c r="C446" s="32"/>
      <c r="D446" s="31"/>
      <c r="E446" s="37" t="s">
        <v>368</v>
      </c>
      <c r="F446" s="37" t="str">
        <f ca="1">M444</f>
        <v>Technical design document explaining the data schema and algorithm</v>
      </c>
      <c r="G446" s="33" t="s">
        <v>367</v>
      </c>
      <c r="H446" s="31"/>
      <c r="I446" s="32"/>
      <c r="J446" s="101"/>
      <c r="K446" s="32"/>
      <c r="L446" s="100"/>
    </row>
    <row r="447" spans="1:13">
      <c r="A447" s="31"/>
      <c r="B447" s="32"/>
      <c r="C447" s="32"/>
      <c r="D447" s="31"/>
      <c r="E447" s="37" t="s">
        <v>374</v>
      </c>
      <c r="F447" s="37"/>
      <c r="G447" s="33" t="s">
        <v>367</v>
      </c>
      <c r="H447" s="31"/>
      <c r="I447" s="32"/>
      <c r="J447" s="101"/>
      <c r="K447" s="32"/>
      <c r="L447" s="100"/>
    </row>
    <row r="448" spans="1:13">
      <c r="A448" s="31"/>
      <c r="B448" s="32"/>
      <c r="C448" s="32"/>
      <c r="D448" s="31"/>
      <c r="E448" s="37" t="s">
        <v>395</v>
      </c>
      <c r="F448" s="37" t="s">
        <v>394</v>
      </c>
      <c r="G448" s="33" t="s">
        <v>366</v>
      </c>
      <c r="H448" s="31"/>
      <c r="I448" s="32"/>
      <c r="J448" s="101"/>
      <c r="K448" s="32"/>
      <c r="L448" s="100"/>
    </row>
    <row r="449" spans="1:13">
      <c r="A449" s="31"/>
      <c r="B449" s="32"/>
      <c r="C449" s="32"/>
      <c r="D449" s="31"/>
      <c r="E449" s="37" t="s">
        <v>386</v>
      </c>
      <c r="F449" s="37" t="str">
        <f ca="1">IF(VLOOKUP(L444,Dashboard!A:G,2,FALSE)&lt;&gt;"","'plan': true"&amp;CHAR(44)&amp;"'actual': false","")</f>
        <v>'plan': true,'actual': false</v>
      </c>
      <c r="G449" s="33" t="s">
        <v>385</v>
      </c>
      <c r="H449" s="31"/>
      <c r="I449" s="32"/>
      <c r="J449" s="101"/>
      <c r="K449" s="32"/>
      <c r="L449" s="100"/>
    </row>
    <row r="450" spans="1:13" ht="15" thickBot="1">
      <c r="A450" s="31"/>
      <c r="B450" s="32"/>
      <c r="C450" s="32"/>
      <c r="D450" s="28"/>
      <c r="E450" s="43" t="str">
        <f>IF(F450="","//","")&amp;"nestedGroups: ["</f>
        <v>//nestedGroups: [</v>
      </c>
      <c r="F450" s="43"/>
      <c r="G450" s="30" t="s">
        <v>370</v>
      </c>
      <c r="H450" s="31"/>
      <c r="I450" s="32"/>
      <c r="J450" s="101"/>
      <c r="K450" s="32"/>
      <c r="L450" s="100"/>
    </row>
    <row r="451" spans="1:13">
      <c r="A451" s="31"/>
      <c r="B451" s="32"/>
      <c r="C451" s="32"/>
      <c r="D451" s="25" t="s">
        <v>362</v>
      </c>
      <c r="E451" s="41"/>
      <c r="F451" s="41"/>
      <c r="G451" s="27"/>
      <c r="H451" s="31"/>
      <c r="I451" s="32"/>
      <c r="J451" s="101"/>
      <c r="K451" s="32"/>
      <c r="L451" s="100"/>
    </row>
    <row r="452" spans="1:13">
      <c r="A452" s="31"/>
      <c r="B452" s="32"/>
      <c r="C452" s="32"/>
      <c r="D452" s="31"/>
      <c r="E452" s="37" t="str">
        <f ca="1">"id: "&amp;K452</f>
        <v>id: "8.3"</v>
      </c>
      <c r="F452" s="37"/>
      <c r="G452" s="33" t="s">
        <v>366</v>
      </c>
      <c r="H452" s="31"/>
      <c r="I452" s="32"/>
      <c r="J452" s="101">
        <f>$J$2+COUNTA($J$1:J451)</f>
        <v>60</v>
      </c>
      <c r="K452" s="32" t="str">
        <f ca="1">CHAR(34)&amp;L452&amp;CHAR(34)</f>
        <v>"8.3"</v>
      </c>
      <c r="L452" s="100" t="str">
        <f ca="1">INDIRECT("Dashboard!A"&amp;J452)</f>
        <v>8.3</v>
      </c>
      <c r="M452" s="32" t="str">
        <f ca="1">VLOOKUP(L452,Dashboard!A:G,7,FALSE)</f>
        <v>Software Code</v>
      </c>
    </row>
    <row r="453" spans="1:13">
      <c r="A453" s="31"/>
      <c r="B453" s="32"/>
      <c r="C453" s="32"/>
      <c r="D453" s="31"/>
      <c r="E453" s="37" t="s">
        <v>369</v>
      </c>
      <c r="F453" s="102">
        <f>IF(F458="",2,1)</f>
        <v>2</v>
      </c>
      <c r="G453" s="33" t="s">
        <v>366</v>
      </c>
      <c r="H453" s="31"/>
      <c r="I453" s="32"/>
      <c r="J453" s="101"/>
      <c r="K453" s="32"/>
      <c r="L453" s="100"/>
    </row>
    <row r="454" spans="1:13">
      <c r="A454" s="31"/>
      <c r="B454" s="32"/>
      <c r="C454" s="32"/>
      <c r="D454" s="31"/>
      <c r="E454" s="37" t="s">
        <v>368</v>
      </c>
      <c r="F454" s="37" t="str">
        <f ca="1">M452</f>
        <v>Software Code</v>
      </c>
      <c r="G454" s="33" t="s">
        <v>367</v>
      </c>
      <c r="H454" s="31"/>
      <c r="I454" s="32"/>
      <c r="J454" s="101"/>
      <c r="K454" s="32"/>
      <c r="L454" s="100"/>
    </row>
    <row r="455" spans="1:13">
      <c r="A455" s="31"/>
      <c r="B455" s="32"/>
      <c r="C455" s="32"/>
      <c r="D455" s="31"/>
      <c r="E455" s="37" t="s">
        <v>374</v>
      </c>
      <c r="F455" s="37"/>
      <c r="G455" s="33" t="s">
        <v>367</v>
      </c>
      <c r="H455" s="31"/>
      <c r="I455" s="32"/>
      <c r="J455" s="101"/>
      <c r="K455" s="32"/>
      <c r="L455" s="100"/>
    </row>
    <row r="456" spans="1:13">
      <c r="A456" s="31"/>
      <c r="B456" s="32"/>
      <c r="C456" s="32"/>
      <c r="D456" s="31"/>
      <c r="E456" s="37" t="s">
        <v>395</v>
      </c>
      <c r="F456" s="37" t="s">
        <v>394</v>
      </c>
      <c r="G456" s="33" t="s">
        <v>366</v>
      </c>
      <c r="H456" s="31"/>
      <c r="I456" s="32"/>
      <c r="J456" s="101"/>
      <c r="K456" s="32"/>
      <c r="L456" s="100"/>
    </row>
    <row r="457" spans="1:13">
      <c r="A457" s="31"/>
      <c r="B457" s="32"/>
      <c r="C457" s="32"/>
      <c r="D457" s="31"/>
      <c r="E457" s="37" t="s">
        <v>386</v>
      </c>
      <c r="F457" s="37" t="str">
        <f ca="1">IF(VLOOKUP(L452,Dashboard!A:G,2,FALSE)&lt;&gt;"","'plan': true"&amp;CHAR(44)&amp;"'actual': false","")</f>
        <v>'plan': true,'actual': false</v>
      </c>
      <c r="G457" s="33" t="s">
        <v>385</v>
      </c>
      <c r="H457" s="31"/>
      <c r="I457" s="32"/>
      <c r="J457" s="101"/>
      <c r="K457" s="32"/>
      <c r="L457" s="100"/>
    </row>
    <row r="458" spans="1:13" ht="15" thickBot="1">
      <c r="A458" s="31"/>
      <c r="B458" s="32"/>
      <c r="C458" s="32"/>
      <c r="D458" s="28"/>
      <c r="E458" s="43" t="str">
        <f>IF(F458="","//","")&amp;"nestedGroups: ["</f>
        <v>//nestedGroups: [</v>
      </c>
      <c r="F458" s="43"/>
      <c r="G458" s="30" t="s">
        <v>370</v>
      </c>
      <c r="H458" s="31"/>
      <c r="I458" s="32"/>
      <c r="J458" s="101"/>
      <c r="K458" s="32"/>
      <c r="L458" s="100"/>
    </row>
    <row r="459" spans="1:13">
      <c r="A459" s="31"/>
      <c r="B459" s="32"/>
      <c r="C459" s="32"/>
      <c r="D459" s="25" t="s">
        <v>362</v>
      </c>
      <c r="E459" s="41"/>
      <c r="F459" s="41"/>
      <c r="G459" s="27"/>
      <c r="H459" s="31"/>
      <c r="I459" s="32"/>
      <c r="J459" s="101"/>
      <c r="K459" s="32"/>
      <c r="L459" s="100"/>
    </row>
    <row r="460" spans="1:13">
      <c r="A460" s="31"/>
      <c r="B460" s="32"/>
      <c r="C460" s="32"/>
      <c r="D460" s="31"/>
      <c r="E460" s="37" t="str">
        <f ca="1">"id: "&amp;K460</f>
        <v>id: "8.4"</v>
      </c>
      <c r="F460" s="37"/>
      <c r="G460" s="33" t="s">
        <v>366</v>
      </c>
      <c r="H460" s="31"/>
      <c r="I460" s="32"/>
      <c r="J460" s="101">
        <f>$J$2+COUNTA($J$1:J459)</f>
        <v>61</v>
      </c>
      <c r="K460" s="32" t="str">
        <f ca="1">CHAR(34)&amp;L460&amp;CHAR(34)</f>
        <v>"8.4"</v>
      </c>
      <c r="L460" s="100" t="str">
        <f ca="1">INDIRECT("Dashboard!A"&amp;J460)</f>
        <v>8.4</v>
      </c>
      <c r="M460" s="32" t="str">
        <f ca="1">VLOOKUP(L460,Dashboard!A:G,7,FALSE)</f>
        <v>Deployment Procedure of the code</v>
      </c>
    </row>
    <row r="461" spans="1:13">
      <c r="A461" s="31"/>
      <c r="B461" s="32"/>
      <c r="C461" s="32"/>
      <c r="D461" s="31"/>
      <c r="E461" s="37" t="s">
        <v>369</v>
      </c>
      <c r="F461" s="102">
        <f>IF(F466="",2,1)</f>
        <v>2</v>
      </c>
      <c r="G461" s="33" t="s">
        <v>366</v>
      </c>
      <c r="H461" s="31"/>
      <c r="I461" s="32"/>
      <c r="J461" s="101"/>
      <c r="K461" s="32"/>
      <c r="L461" s="100"/>
    </row>
    <row r="462" spans="1:13">
      <c r="A462" s="31"/>
      <c r="B462" s="32"/>
      <c r="C462" s="32"/>
      <c r="D462" s="31"/>
      <c r="E462" s="37" t="s">
        <v>368</v>
      </c>
      <c r="F462" s="37" t="str">
        <f ca="1">M460</f>
        <v>Deployment Procedure of the code</v>
      </c>
      <c r="G462" s="33" t="s">
        <v>367</v>
      </c>
      <c r="H462" s="31"/>
      <c r="I462" s="32"/>
      <c r="J462" s="101"/>
      <c r="K462" s="32"/>
      <c r="L462" s="100"/>
    </row>
    <row r="463" spans="1:13">
      <c r="A463" s="31"/>
      <c r="B463" s="32"/>
      <c r="C463" s="32"/>
      <c r="D463" s="31"/>
      <c r="E463" s="37" t="s">
        <v>374</v>
      </c>
      <c r="F463" s="37"/>
      <c r="G463" s="33" t="s">
        <v>367</v>
      </c>
      <c r="H463" s="31"/>
      <c r="I463" s="32"/>
      <c r="J463" s="101"/>
      <c r="K463" s="32"/>
      <c r="L463" s="100"/>
    </row>
    <row r="464" spans="1:13">
      <c r="A464" s="31"/>
      <c r="B464" s="32"/>
      <c r="C464" s="32"/>
      <c r="D464" s="31"/>
      <c r="E464" s="37" t="s">
        <v>395</v>
      </c>
      <c r="F464" s="37" t="s">
        <v>394</v>
      </c>
      <c r="G464" s="33" t="s">
        <v>366</v>
      </c>
      <c r="H464" s="31"/>
      <c r="I464" s="32"/>
      <c r="J464" s="101"/>
      <c r="K464" s="32"/>
      <c r="L464" s="100"/>
    </row>
    <row r="465" spans="1:13">
      <c r="A465" s="31"/>
      <c r="B465" s="32"/>
      <c r="C465" s="32"/>
      <c r="D465" s="31"/>
      <c r="E465" s="37" t="s">
        <v>386</v>
      </c>
      <c r="F465" s="37" t="str">
        <f ca="1">IF(VLOOKUP(L460,Dashboard!A:G,2,FALSE)&lt;&gt;"","'plan': true"&amp;CHAR(44)&amp;"'actual': false","")</f>
        <v>'plan': true,'actual': false</v>
      </c>
      <c r="G465" s="33" t="s">
        <v>385</v>
      </c>
      <c r="H465" s="31"/>
      <c r="I465" s="32"/>
      <c r="J465" s="101"/>
      <c r="K465" s="32"/>
      <c r="L465" s="100"/>
    </row>
    <row r="466" spans="1:13" ht="15" thickBot="1">
      <c r="A466" s="31"/>
      <c r="B466" s="32"/>
      <c r="C466" s="32"/>
      <c r="D466" s="28"/>
      <c r="E466" s="43" t="str">
        <f>IF(F466="","//","")&amp;"nestedGroups: ["</f>
        <v>//nestedGroups: [</v>
      </c>
      <c r="F466" s="43"/>
      <c r="G466" s="30" t="s">
        <v>370</v>
      </c>
      <c r="H466" s="31"/>
      <c r="I466" s="32"/>
      <c r="J466" s="101"/>
      <c r="K466" s="32"/>
      <c r="L466" s="100"/>
    </row>
    <row r="467" spans="1:13">
      <c r="A467" s="31"/>
      <c r="B467" s="32"/>
      <c r="C467" s="32"/>
      <c r="D467" s="25" t="s">
        <v>362</v>
      </c>
      <c r="E467" s="41"/>
      <c r="F467" s="41"/>
      <c r="G467" s="27"/>
      <c r="H467" s="31"/>
      <c r="I467" s="32"/>
      <c r="J467" s="101"/>
      <c r="K467" s="32"/>
      <c r="L467" s="100"/>
    </row>
    <row r="468" spans="1:13">
      <c r="A468" s="31"/>
      <c r="B468" s="32"/>
      <c r="C468" s="32"/>
      <c r="D468" s="31"/>
      <c r="E468" s="37" t="str">
        <f ca="1">"id: "&amp;K468</f>
        <v>id: "8.5"</v>
      </c>
      <c r="F468" s="37"/>
      <c r="G468" s="33" t="s">
        <v>366</v>
      </c>
      <c r="H468" s="31"/>
      <c r="I468" s="32"/>
      <c r="J468" s="101">
        <f>$J$2+COUNTA($J$1:J467)</f>
        <v>62</v>
      </c>
      <c r="K468" s="32" t="str">
        <f ca="1">CHAR(34)&amp;L468&amp;CHAR(34)</f>
        <v>"8.5"</v>
      </c>
      <c r="L468" s="100" t="str">
        <f ca="1">INDIRECT("Dashboard!A"&amp;J468)</f>
        <v>8.5</v>
      </c>
      <c r="M468" s="32" t="str">
        <f ca="1">VLOOKUP(L468,Dashboard!A:G,7,FALSE)</f>
        <v>Product usage guide with examples for all the functional usecases</v>
      </c>
    </row>
    <row r="469" spans="1:13">
      <c r="A469" s="31"/>
      <c r="B469" s="32"/>
      <c r="C469" s="32"/>
      <c r="D469" s="31"/>
      <c r="E469" s="37" t="s">
        <v>369</v>
      </c>
      <c r="F469" s="102">
        <f>IF(F474="",2,1)</f>
        <v>2</v>
      </c>
      <c r="G469" s="33" t="s">
        <v>366</v>
      </c>
      <c r="H469" s="31"/>
      <c r="I469" s="32"/>
      <c r="J469" s="101"/>
      <c r="K469" s="32"/>
      <c r="L469" s="100"/>
    </row>
    <row r="470" spans="1:13">
      <c r="A470" s="31"/>
      <c r="B470" s="32"/>
      <c r="C470" s="32"/>
      <c r="D470" s="31"/>
      <c r="E470" s="37" t="s">
        <v>368</v>
      </c>
      <c r="F470" s="37" t="str">
        <f ca="1">M468</f>
        <v>Product usage guide with examples for all the functional usecases</v>
      </c>
      <c r="G470" s="33" t="s">
        <v>367</v>
      </c>
      <c r="H470" s="31"/>
      <c r="I470" s="32"/>
      <c r="J470" s="101"/>
      <c r="K470" s="32"/>
      <c r="L470" s="100"/>
    </row>
    <row r="471" spans="1:13">
      <c r="A471" s="31"/>
      <c r="B471" s="32"/>
      <c r="C471" s="32"/>
      <c r="D471" s="31"/>
      <c r="E471" s="37" t="s">
        <v>374</v>
      </c>
      <c r="F471" s="37"/>
      <c r="G471" s="33" t="s">
        <v>367</v>
      </c>
      <c r="H471" s="31"/>
      <c r="I471" s="32"/>
      <c r="J471" s="101"/>
      <c r="K471" s="32"/>
      <c r="L471" s="100"/>
    </row>
    <row r="472" spans="1:13">
      <c r="A472" s="31"/>
      <c r="B472" s="32"/>
      <c r="C472" s="32"/>
      <c r="D472" s="31"/>
      <c r="E472" s="37" t="s">
        <v>395</v>
      </c>
      <c r="F472" s="37" t="s">
        <v>394</v>
      </c>
      <c r="G472" s="33" t="s">
        <v>366</v>
      </c>
      <c r="H472" s="31"/>
      <c r="I472" s="32"/>
      <c r="J472" s="101"/>
      <c r="K472" s="32"/>
      <c r="L472" s="100"/>
    </row>
    <row r="473" spans="1:13">
      <c r="A473" s="31"/>
      <c r="B473" s="32"/>
      <c r="C473" s="32"/>
      <c r="D473" s="31"/>
      <c r="E473" s="37" t="s">
        <v>386</v>
      </c>
      <c r="F473" s="37" t="str">
        <f ca="1">IF(VLOOKUP(L468,Dashboard!A:G,2,FALSE)&lt;&gt;"","'plan': true"&amp;CHAR(44)&amp;"'actual': false","")</f>
        <v>'plan': true,'actual': false</v>
      </c>
      <c r="G473" s="33" t="s">
        <v>385</v>
      </c>
      <c r="H473" s="31"/>
      <c r="I473" s="32"/>
      <c r="J473" s="101"/>
      <c r="K473" s="32"/>
      <c r="L473" s="100"/>
    </row>
    <row r="474" spans="1:13" ht="15" thickBot="1">
      <c r="A474" s="31"/>
      <c r="B474" s="32"/>
      <c r="C474" s="32"/>
      <c r="D474" s="28"/>
      <c r="E474" s="43" t="str">
        <f>IF(F474="","//","")&amp;"nestedGroups: ["</f>
        <v>//nestedGroups: [</v>
      </c>
      <c r="F474" s="43"/>
      <c r="G474" s="30" t="s">
        <v>370</v>
      </c>
      <c r="H474" s="31"/>
      <c r="I474" s="32"/>
      <c r="J474" s="101"/>
      <c r="K474" s="32"/>
      <c r="L474" s="100"/>
    </row>
    <row r="475" spans="1:13">
      <c r="A475" s="31"/>
      <c r="B475" s="32"/>
      <c r="C475" s="32"/>
      <c r="D475" s="25" t="s">
        <v>362</v>
      </c>
      <c r="E475" s="41"/>
      <c r="F475" s="41"/>
      <c r="G475" s="27"/>
      <c r="H475" s="31"/>
      <c r="I475" s="32"/>
      <c r="J475" s="101"/>
      <c r="K475" s="32"/>
      <c r="L475" s="100"/>
    </row>
    <row r="476" spans="1:13">
      <c r="A476" s="31"/>
      <c r="B476" s="32"/>
      <c r="C476" s="32"/>
      <c r="D476" s="31"/>
      <c r="E476" s="37" t="str">
        <f ca="1">"id: "&amp;K476</f>
        <v>id: "8.6"</v>
      </c>
      <c r="F476" s="37"/>
      <c r="G476" s="33" t="s">
        <v>366</v>
      </c>
      <c r="H476" s="31"/>
      <c r="I476" s="32"/>
      <c r="J476" s="101">
        <f>$J$2+COUNTA($J$1:J475)</f>
        <v>63</v>
      </c>
      <c r="K476" s="32" t="str">
        <f ca="1">CHAR(34)&amp;L476&amp;CHAR(34)</f>
        <v>"8.6"</v>
      </c>
      <c r="L476" s="100" t="str">
        <f ca="1">INDIRECT("Dashboard!A"&amp;J476)</f>
        <v>8.6</v>
      </c>
      <c r="M476" s="32" t="str">
        <f ca="1">VLOOKUP(L476,Dashboard!A:G,7,FALSE)</f>
        <v xml:space="preserve">Test report </v>
      </c>
    </row>
    <row r="477" spans="1:13">
      <c r="A477" s="31"/>
      <c r="B477" s="32"/>
      <c r="C477" s="32"/>
      <c r="D477" s="31"/>
      <c r="E477" s="37" t="s">
        <v>369</v>
      </c>
      <c r="F477" s="102">
        <f>IF(F482="",2,1)</f>
        <v>2</v>
      </c>
      <c r="G477" s="33" t="s">
        <v>366</v>
      </c>
      <c r="H477" s="31"/>
      <c r="I477" s="32"/>
      <c r="J477" s="101"/>
      <c r="K477" s="32"/>
      <c r="L477" s="100"/>
    </row>
    <row r="478" spans="1:13">
      <c r="A478" s="31"/>
      <c r="B478" s="32"/>
      <c r="C478" s="32"/>
      <c r="D478" s="31"/>
      <c r="E478" s="37" t="s">
        <v>368</v>
      </c>
      <c r="F478" s="37" t="str">
        <f ca="1">M476</f>
        <v xml:space="preserve">Test report </v>
      </c>
      <c r="G478" s="33" t="s">
        <v>367</v>
      </c>
      <c r="H478" s="31"/>
      <c r="I478" s="32"/>
      <c r="J478" s="101"/>
      <c r="K478" s="32"/>
      <c r="L478" s="100"/>
    </row>
    <row r="479" spans="1:13">
      <c r="A479" s="31"/>
      <c r="B479" s="32"/>
      <c r="C479" s="32"/>
      <c r="D479" s="31"/>
      <c r="E479" s="37" t="s">
        <v>374</v>
      </c>
      <c r="F479" s="37"/>
      <c r="G479" s="33" t="s">
        <v>367</v>
      </c>
      <c r="H479" s="31"/>
      <c r="I479" s="32"/>
      <c r="J479" s="101"/>
      <c r="K479" s="32"/>
      <c r="L479" s="100"/>
    </row>
    <row r="480" spans="1:13">
      <c r="A480" s="31"/>
      <c r="B480" s="32"/>
      <c r="C480" s="32"/>
      <c r="D480" s="31"/>
      <c r="E480" s="37" t="s">
        <v>395</v>
      </c>
      <c r="F480" s="37" t="s">
        <v>394</v>
      </c>
      <c r="G480" s="33" t="s">
        <v>366</v>
      </c>
      <c r="H480" s="31"/>
      <c r="I480" s="32"/>
      <c r="J480" s="101"/>
      <c r="K480" s="32"/>
      <c r="L480" s="100"/>
    </row>
    <row r="481" spans="1:13">
      <c r="A481" s="31"/>
      <c r="B481" s="32"/>
      <c r="C481" s="32"/>
      <c r="D481" s="31"/>
      <c r="E481" s="37" t="s">
        <v>386</v>
      </c>
      <c r="F481" s="37" t="str">
        <f ca="1">IF(VLOOKUP(L476,Dashboard!A:G,2,FALSE)&lt;&gt;"","'plan': true"&amp;CHAR(44)&amp;"'actual': false","")</f>
        <v>'plan': true,'actual': false</v>
      </c>
      <c r="G481" s="33" t="s">
        <v>385</v>
      </c>
      <c r="H481" s="31"/>
      <c r="I481" s="32"/>
      <c r="J481" s="101"/>
      <c r="K481" s="32"/>
      <c r="L481" s="100"/>
    </row>
    <row r="482" spans="1:13" ht="15" thickBot="1">
      <c r="A482" s="31"/>
      <c r="B482" s="32"/>
      <c r="C482" s="32"/>
      <c r="D482" s="28"/>
      <c r="E482" s="43" t="str">
        <f>IF(F482="","//","")&amp;"nestedGroups: ["</f>
        <v>//nestedGroups: [</v>
      </c>
      <c r="F482" s="43"/>
      <c r="G482" s="30" t="s">
        <v>370</v>
      </c>
      <c r="H482" s="31"/>
      <c r="I482" s="32"/>
      <c r="J482" s="101"/>
      <c r="K482" s="32"/>
      <c r="L482" s="100"/>
    </row>
    <row r="483" spans="1:13">
      <c r="A483" s="31"/>
      <c r="B483" s="32"/>
      <c r="C483" s="32"/>
      <c r="D483" s="25" t="s">
        <v>362</v>
      </c>
      <c r="E483" s="114"/>
      <c r="F483" s="114"/>
      <c r="G483" s="27"/>
      <c r="H483" s="31"/>
      <c r="I483" s="32"/>
      <c r="J483" s="101"/>
      <c r="K483" s="32"/>
      <c r="L483" s="100"/>
    </row>
    <row r="484" spans="1:13">
      <c r="A484" s="31"/>
      <c r="B484" s="32"/>
      <c r="C484" s="32"/>
      <c r="D484" s="31"/>
      <c r="E484" s="37" t="str">
        <f ca="1">"id: "&amp;K484</f>
        <v>id: "9"</v>
      </c>
      <c r="F484" s="37"/>
      <c r="G484" s="33" t="s">
        <v>366</v>
      </c>
      <c r="H484" s="31"/>
      <c r="I484" s="32"/>
      <c r="J484" s="101">
        <f>$J$2+COUNTA($J$1:J483)</f>
        <v>64</v>
      </c>
      <c r="K484" s="32" t="str">
        <f ca="1">CHAR(34)&amp;L484&amp;CHAR(34)</f>
        <v>"9"</v>
      </c>
      <c r="L484" s="100" t="str">
        <f ca="1">INDIRECT("Dashboard!A"&amp;J484)</f>
        <v>9</v>
      </c>
      <c r="M484" s="32" t="str">
        <f ca="1">VLOOKUP(L484,Dashboard!A:G,7,FALSE)</f>
        <v>M8. Decision Engine AI/ML models - Safety and security</v>
      </c>
    </row>
    <row r="485" spans="1:13">
      <c r="A485" s="31"/>
      <c r="B485" s="32"/>
      <c r="C485" s="32"/>
      <c r="D485" s="31"/>
      <c r="E485" s="37" t="s">
        <v>369</v>
      </c>
      <c r="F485" s="102" t="e">
        <f>IF(F490="",2,1)</f>
        <v>#VALUE!</v>
      </c>
      <c r="G485" s="33" t="s">
        <v>366</v>
      </c>
      <c r="H485" s="31"/>
      <c r="I485" s="32"/>
      <c r="J485" s="101"/>
      <c r="K485" s="32"/>
      <c r="L485" s="100"/>
    </row>
    <row r="486" spans="1:13">
      <c r="A486" s="31"/>
      <c r="B486" s="32"/>
      <c r="C486" s="32"/>
      <c r="D486" s="31"/>
      <c r="E486" s="37" t="s">
        <v>368</v>
      </c>
      <c r="F486" s="37" t="str">
        <f ca="1">M484</f>
        <v>M8. Decision Engine AI/ML models - Safety and security</v>
      </c>
      <c r="G486" s="33" t="s">
        <v>367</v>
      </c>
      <c r="H486" s="31"/>
      <c r="I486" s="32"/>
      <c r="J486" s="101"/>
      <c r="K486" s="32"/>
      <c r="L486" s="100"/>
    </row>
    <row r="487" spans="1:13">
      <c r="A487" s="31"/>
      <c r="B487" s="32"/>
      <c r="C487" s="32"/>
      <c r="D487" s="31"/>
      <c r="E487" s="37" t="s">
        <v>374</v>
      </c>
      <c r="F487" s="37"/>
      <c r="G487" s="33" t="s">
        <v>367</v>
      </c>
      <c r="H487" s="31"/>
      <c r="I487" s="32"/>
      <c r="J487" s="101"/>
      <c r="K487" s="32"/>
      <c r="L487" s="100"/>
    </row>
    <row r="488" spans="1:13">
      <c r="A488" s="31"/>
      <c r="B488" s="32"/>
      <c r="C488" s="32"/>
      <c r="D488" s="31"/>
      <c r="E488" s="37" t="s">
        <v>395</v>
      </c>
      <c r="F488" s="37" t="s">
        <v>394</v>
      </c>
      <c r="G488" s="33" t="s">
        <v>366</v>
      </c>
      <c r="H488" s="31"/>
      <c r="I488" s="32"/>
      <c r="J488" s="101"/>
      <c r="K488" s="32"/>
      <c r="L488" s="100"/>
    </row>
    <row r="489" spans="1:13">
      <c r="A489" s="31"/>
      <c r="B489" s="32"/>
      <c r="C489" s="32"/>
      <c r="D489" s="31"/>
      <c r="E489" s="37" t="s">
        <v>386</v>
      </c>
      <c r="F489" s="37" t="str">
        <f ca="1">IF(VLOOKUP(L484,Dashboard!A:G,2,FALSE)&lt;&gt;"","'plan': true"&amp;CHAR(44)&amp;"'actual': false","")</f>
        <v>'plan': true,'actual': false</v>
      </c>
      <c r="G489" s="33" t="s">
        <v>385</v>
      </c>
      <c r="H489" s="31"/>
      <c r="I489" s="32" t="s">
        <v>571</v>
      </c>
      <c r="J489" s="101"/>
      <c r="K489" s="32"/>
      <c r="L489" s="100"/>
    </row>
    <row r="490" spans="1:13" ht="15" thickBot="1">
      <c r="A490" s="31"/>
      <c r="B490" s="32"/>
      <c r="C490" s="32"/>
      <c r="D490" s="28"/>
      <c r="E490" s="43" t="e">
        <f>IF(F490="","//","")&amp;"nestedGroups: ["</f>
        <v>#VALUE!</v>
      </c>
      <c r="F490" s="37" t="e">
        <f>nestedGroups(5,I490*$I$2,", ")</f>
        <v>#VALUE!</v>
      </c>
      <c r="G490" s="30" t="s">
        <v>370</v>
      </c>
      <c r="H490" s="31"/>
      <c r="I490" s="3">
        <v>8</v>
      </c>
      <c r="J490" s="101"/>
      <c r="K490" s="32"/>
      <c r="L490" s="100"/>
    </row>
    <row r="491" spans="1:13">
      <c r="A491" s="31"/>
      <c r="B491" s="32"/>
      <c r="C491" s="32"/>
      <c r="D491" s="25" t="s">
        <v>362</v>
      </c>
      <c r="E491" s="41"/>
      <c r="F491" s="41"/>
      <c r="G491" s="27"/>
      <c r="H491" s="31"/>
      <c r="I491" s="32"/>
      <c r="J491" s="101"/>
      <c r="K491" s="32"/>
      <c r="L491" s="100"/>
    </row>
    <row r="492" spans="1:13">
      <c r="A492" s="31"/>
      <c r="B492" s="32"/>
      <c r="C492" s="32"/>
      <c r="D492" s="31"/>
      <c r="E492" s="37" t="str">
        <f ca="1">"id: "&amp;K492</f>
        <v>id: "9.1"</v>
      </c>
      <c r="F492" s="37"/>
      <c r="G492" s="33" t="s">
        <v>366</v>
      </c>
      <c r="H492" s="31"/>
      <c r="I492" s="32"/>
      <c r="J492" s="101">
        <f>$J$2+COUNTA($J$1:J491)</f>
        <v>65</v>
      </c>
      <c r="K492" s="32" t="str">
        <f ca="1">CHAR(34)&amp;L492&amp;CHAR(34)</f>
        <v>"9.1"</v>
      </c>
      <c r="L492" s="100" t="str">
        <f ca="1">INDIRECT("Dashboard!A"&amp;J492)</f>
        <v>9.1</v>
      </c>
      <c r="M492" s="32" t="str">
        <f ca="1">VLOOKUP(L492,Dashboard!A:G,7,FALSE)</f>
        <v>Note : Personnel access surveillance and safety alert</v>
      </c>
    </row>
    <row r="493" spans="1:13">
      <c r="A493" s="31"/>
      <c r="B493" s="32"/>
      <c r="C493" s="32"/>
      <c r="D493" s="31"/>
      <c r="E493" s="37" t="s">
        <v>369</v>
      </c>
      <c r="F493" s="102">
        <f>IF(F498="",2,1)</f>
        <v>2</v>
      </c>
      <c r="G493" s="33" t="s">
        <v>366</v>
      </c>
      <c r="H493" s="31"/>
      <c r="I493" s="32"/>
      <c r="J493" s="101"/>
      <c r="K493" s="32"/>
      <c r="L493" s="100"/>
    </row>
    <row r="494" spans="1:13">
      <c r="A494" s="31"/>
      <c r="B494" s="32"/>
      <c r="C494" s="32"/>
      <c r="D494" s="31"/>
      <c r="E494" s="37" t="s">
        <v>368</v>
      </c>
      <c r="F494" s="37" t="str">
        <f ca="1">M492</f>
        <v>Note : Personnel access surveillance and safety alert</v>
      </c>
      <c r="G494" s="33" t="s">
        <v>367</v>
      </c>
      <c r="H494" s="31"/>
      <c r="I494" s="32"/>
      <c r="J494" s="101"/>
      <c r="K494" s="32"/>
      <c r="L494" s="100"/>
    </row>
    <row r="495" spans="1:13">
      <c r="A495" s="31"/>
      <c r="B495" s="32"/>
      <c r="C495" s="32"/>
      <c r="D495" s="31"/>
      <c r="E495" s="37" t="s">
        <v>374</v>
      </c>
      <c r="F495" s="37"/>
      <c r="G495" s="33" t="s">
        <v>367</v>
      </c>
      <c r="H495" s="31"/>
      <c r="I495" s="32"/>
      <c r="J495" s="101"/>
      <c r="K495" s="32"/>
      <c r="L495" s="100"/>
    </row>
    <row r="496" spans="1:13">
      <c r="A496" s="31"/>
      <c r="B496" s="32"/>
      <c r="C496" s="32"/>
      <c r="D496" s="31"/>
      <c r="E496" s="37" t="s">
        <v>395</v>
      </c>
      <c r="F496" s="37" t="s">
        <v>394</v>
      </c>
      <c r="G496" s="33" t="s">
        <v>366</v>
      </c>
      <c r="H496" s="31"/>
      <c r="I496" s="32"/>
      <c r="J496" s="101"/>
      <c r="K496" s="32"/>
      <c r="L496" s="100"/>
    </row>
    <row r="497" spans="1:13">
      <c r="A497" s="31"/>
      <c r="B497" s="32"/>
      <c r="C497" s="32"/>
      <c r="D497" s="31"/>
      <c r="E497" s="37" t="s">
        <v>386</v>
      </c>
      <c r="F497" s="37" t="str">
        <f ca="1">IF(VLOOKUP(L492,Dashboard!A:G,2,FALSE)&lt;&gt;"","'plan': true"&amp;CHAR(44)&amp;"'actual': false","")</f>
        <v/>
      </c>
      <c r="G497" s="33" t="s">
        <v>385</v>
      </c>
      <c r="H497" s="31"/>
      <c r="I497" s="32"/>
      <c r="J497" s="101"/>
      <c r="K497" s="32"/>
      <c r="L497" s="100"/>
    </row>
    <row r="498" spans="1:13" ht="15" thickBot="1">
      <c r="A498" s="31"/>
      <c r="B498" s="32"/>
      <c r="C498" s="32"/>
      <c r="D498" s="28"/>
      <c r="E498" s="43" t="str">
        <f>IF(F498="","//","")&amp;"nestedGroups: ["</f>
        <v>//nestedGroups: [</v>
      </c>
      <c r="F498" s="43"/>
      <c r="G498" s="30" t="s">
        <v>370</v>
      </c>
      <c r="H498" s="31"/>
      <c r="I498" s="32"/>
      <c r="J498" s="101"/>
      <c r="K498" s="32"/>
      <c r="L498" s="100"/>
    </row>
    <row r="499" spans="1:13">
      <c r="A499" s="31"/>
      <c r="B499" s="32"/>
      <c r="C499" s="32"/>
      <c r="D499" s="25" t="s">
        <v>362</v>
      </c>
      <c r="E499" s="41"/>
      <c r="F499" s="41"/>
      <c r="G499" s="27"/>
      <c r="H499" s="31"/>
      <c r="I499" s="32"/>
      <c r="J499" s="101"/>
      <c r="K499" s="32"/>
      <c r="L499" s="100"/>
    </row>
    <row r="500" spans="1:13">
      <c r="A500" s="31"/>
      <c r="B500" s="32"/>
      <c r="C500" s="32"/>
      <c r="D500" s="31"/>
      <c r="E500" s="37" t="str">
        <f ca="1">"id: "&amp;K500</f>
        <v>id: "9.2"</v>
      </c>
      <c r="F500" s="37"/>
      <c r="G500" s="33" t="s">
        <v>366</v>
      </c>
      <c r="H500" s="31"/>
      <c r="I500" s="32"/>
      <c r="J500" s="101">
        <f>$J$2+COUNTA($J$1:J499)</f>
        <v>66</v>
      </c>
      <c r="K500" s="32" t="str">
        <f ca="1">CHAR(34)&amp;L500&amp;CHAR(34)</f>
        <v>"9.2"</v>
      </c>
      <c r="L500" s="100" t="str">
        <f ca="1">INDIRECT("Dashboard!A"&amp;J500)</f>
        <v>9.2</v>
      </c>
      <c r="M500" s="32" t="str">
        <f ca="1">VLOOKUP(L500,Dashboard!A:G,7,FALSE)</f>
        <v>Note : 1. Face detection technology for customers and guest entering their premises</v>
      </c>
    </row>
    <row r="501" spans="1:13">
      <c r="A501" s="31"/>
      <c r="B501" s="32"/>
      <c r="C501" s="32"/>
      <c r="D501" s="31"/>
      <c r="E501" s="37" t="s">
        <v>369</v>
      </c>
      <c r="F501" s="102">
        <f>IF(F506="",2,1)</f>
        <v>2</v>
      </c>
      <c r="G501" s="33" t="s">
        <v>366</v>
      </c>
      <c r="H501" s="31"/>
      <c r="I501" s="32"/>
      <c r="J501" s="101"/>
      <c r="K501" s="32"/>
      <c r="L501" s="100"/>
    </row>
    <row r="502" spans="1:13">
      <c r="A502" s="31"/>
      <c r="B502" s="32"/>
      <c r="C502" s="32"/>
      <c r="D502" s="31"/>
      <c r="E502" s="37" t="s">
        <v>368</v>
      </c>
      <c r="F502" s="37" t="str">
        <f ca="1">M500</f>
        <v>Note : 1. Face detection technology for customers and guest entering their premises</v>
      </c>
      <c r="G502" s="33" t="s">
        <v>367</v>
      </c>
      <c r="H502" s="31"/>
      <c r="I502" s="32"/>
      <c r="J502" s="101"/>
      <c r="K502" s="32"/>
      <c r="L502" s="100"/>
    </row>
    <row r="503" spans="1:13">
      <c r="A503" s="31"/>
      <c r="B503" s="32"/>
      <c r="C503" s="32"/>
      <c r="D503" s="31"/>
      <c r="E503" s="37" t="s">
        <v>374</v>
      </c>
      <c r="F503" s="37"/>
      <c r="G503" s="33" t="s">
        <v>367</v>
      </c>
      <c r="H503" s="31"/>
      <c r="I503" s="32"/>
      <c r="J503" s="101"/>
      <c r="K503" s="32"/>
      <c r="L503" s="100"/>
    </row>
    <row r="504" spans="1:13">
      <c r="A504" s="31"/>
      <c r="B504" s="32"/>
      <c r="C504" s="32"/>
      <c r="D504" s="31"/>
      <c r="E504" s="37" t="s">
        <v>395</v>
      </c>
      <c r="F504" s="37" t="s">
        <v>394</v>
      </c>
      <c r="G504" s="33" t="s">
        <v>366</v>
      </c>
      <c r="H504" s="31"/>
      <c r="I504" s="32"/>
      <c r="J504" s="101"/>
      <c r="K504" s="32"/>
      <c r="L504" s="100"/>
    </row>
    <row r="505" spans="1:13">
      <c r="A505" s="31"/>
      <c r="B505" s="32"/>
      <c r="C505" s="32"/>
      <c r="D505" s="31"/>
      <c r="E505" s="37" t="s">
        <v>386</v>
      </c>
      <c r="F505" s="37" t="str">
        <f ca="1">IF(VLOOKUP(L500,Dashboard!A:G,2,FALSE)&lt;&gt;"","'plan': true"&amp;CHAR(44)&amp;"'actual': false","")</f>
        <v/>
      </c>
      <c r="G505" s="33" t="s">
        <v>385</v>
      </c>
      <c r="H505" s="31"/>
      <c r="I505" s="32"/>
      <c r="J505" s="101"/>
      <c r="K505" s="32"/>
      <c r="L505" s="100"/>
    </row>
    <row r="506" spans="1:13" ht="15" thickBot="1">
      <c r="A506" s="31"/>
      <c r="B506" s="32"/>
      <c r="C506" s="32"/>
      <c r="D506" s="28"/>
      <c r="E506" s="43" t="str">
        <f>IF(F506="","//","")&amp;"nestedGroups: ["</f>
        <v>//nestedGroups: [</v>
      </c>
      <c r="F506" s="43"/>
      <c r="G506" s="30" t="s">
        <v>370</v>
      </c>
      <c r="H506" s="31"/>
      <c r="I506" s="32"/>
      <c r="J506" s="101"/>
      <c r="K506" s="32"/>
      <c r="L506" s="100"/>
    </row>
    <row r="507" spans="1:13">
      <c r="A507" s="31"/>
      <c r="B507" s="32"/>
      <c r="C507" s="32"/>
      <c r="D507" s="25" t="s">
        <v>362</v>
      </c>
      <c r="E507" s="41"/>
      <c r="F507" s="41"/>
      <c r="G507" s="27"/>
      <c r="H507" s="31"/>
      <c r="I507" s="32"/>
      <c r="J507" s="101"/>
      <c r="K507" s="32"/>
      <c r="L507" s="100"/>
    </row>
    <row r="508" spans="1:13">
      <c r="A508" s="31"/>
      <c r="B508" s="32"/>
      <c r="C508" s="32"/>
      <c r="D508" s="31"/>
      <c r="E508" s="37" t="str">
        <f ca="1">"id: "&amp;K508</f>
        <v>id: "9.3"</v>
      </c>
      <c r="F508" s="37"/>
      <c r="G508" s="33" t="s">
        <v>366</v>
      </c>
      <c r="H508" s="31"/>
      <c r="I508" s="32"/>
      <c r="J508" s="101">
        <f>$J$2+COUNTA($J$1:J507)</f>
        <v>67</v>
      </c>
      <c r="K508" s="32" t="str">
        <f ca="1">CHAR(34)&amp;L508&amp;CHAR(34)</f>
        <v>"9.3"</v>
      </c>
      <c r="L508" s="100" t="str">
        <f ca="1">INDIRECT("Dashboard!A"&amp;J508)</f>
        <v>9.3</v>
      </c>
      <c r="M508" s="32" t="str">
        <f ca="1">VLOOKUP(L508,Dashboard!A:G,7,FALSE)</f>
        <v>Note : 2. unauthorized intrusion (humans and other animals, Fire, smoke and other object to be evaluated). For other details, refer usecase document.</v>
      </c>
    </row>
    <row r="509" spans="1:13">
      <c r="A509" s="31"/>
      <c r="B509" s="32"/>
      <c r="C509" s="32"/>
      <c r="D509" s="31"/>
      <c r="E509" s="37" t="s">
        <v>369</v>
      </c>
      <c r="F509" s="102">
        <f>IF(F514="",2,1)</f>
        <v>2</v>
      </c>
      <c r="G509" s="33" t="s">
        <v>366</v>
      </c>
      <c r="H509" s="31"/>
      <c r="I509" s="32"/>
      <c r="J509" s="101"/>
      <c r="K509" s="32"/>
      <c r="L509" s="100"/>
    </row>
    <row r="510" spans="1:13">
      <c r="A510" s="31"/>
      <c r="B510" s="32"/>
      <c r="C510" s="32"/>
      <c r="D510" s="31"/>
      <c r="E510" s="37" t="s">
        <v>368</v>
      </c>
      <c r="F510" s="37" t="str">
        <f ca="1">M508</f>
        <v>Note : 2. unauthorized intrusion (humans and other animals, Fire, smoke and other object to be evaluated). For other details, refer usecase document.</v>
      </c>
      <c r="G510" s="33" t="s">
        <v>367</v>
      </c>
      <c r="H510" s="31"/>
      <c r="I510" s="32"/>
      <c r="J510" s="101"/>
      <c r="K510" s="32"/>
      <c r="L510" s="100"/>
    </row>
    <row r="511" spans="1:13">
      <c r="A511" s="31"/>
      <c r="B511" s="32"/>
      <c r="C511" s="32"/>
      <c r="D511" s="31"/>
      <c r="E511" s="37" t="s">
        <v>374</v>
      </c>
      <c r="F511" s="37"/>
      <c r="G511" s="33" t="s">
        <v>367</v>
      </c>
      <c r="H511" s="31"/>
      <c r="I511" s="32"/>
      <c r="J511" s="101"/>
      <c r="K511" s="32"/>
      <c r="L511" s="100"/>
    </row>
    <row r="512" spans="1:13">
      <c r="A512" s="31"/>
      <c r="B512" s="32"/>
      <c r="C512" s="32"/>
      <c r="D512" s="31"/>
      <c r="E512" s="37" t="s">
        <v>395</v>
      </c>
      <c r="F512" s="37" t="s">
        <v>394</v>
      </c>
      <c r="G512" s="33" t="s">
        <v>366</v>
      </c>
      <c r="H512" s="31"/>
      <c r="I512" s="32"/>
      <c r="J512" s="101"/>
      <c r="K512" s="32"/>
      <c r="L512" s="100"/>
    </row>
    <row r="513" spans="1:13">
      <c r="A513" s="31"/>
      <c r="B513" s="32"/>
      <c r="C513" s="32"/>
      <c r="D513" s="31"/>
      <c r="E513" s="37" t="s">
        <v>386</v>
      </c>
      <c r="F513" s="37" t="str">
        <f ca="1">IF(VLOOKUP(L508,Dashboard!A:G,2,FALSE)&lt;&gt;"","'plan': true"&amp;CHAR(44)&amp;"'actual': false","")</f>
        <v/>
      </c>
      <c r="G513" s="33" t="s">
        <v>385</v>
      </c>
      <c r="H513" s="31"/>
      <c r="I513" s="32"/>
      <c r="J513" s="101"/>
      <c r="K513" s="32"/>
      <c r="L513" s="100"/>
    </row>
    <row r="514" spans="1:13" ht="15" thickBot="1">
      <c r="A514" s="31"/>
      <c r="B514" s="32"/>
      <c r="C514" s="32"/>
      <c r="D514" s="28"/>
      <c r="E514" s="43" t="str">
        <f>IF(F514="","//","")&amp;"nestedGroups: ["</f>
        <v>//nestedGroups: [</v>
      </c>
      <c r="F514" s="43"/>
      <c r="G514" s="30" t="s">
        <v>370</v>
      </c>
      <c r="H514" s="31"/>
      <c r="I514" s="32"/>
      <c r="J514" s="101"/>
      <c r="K514" s="32"/>
      <c r="L514" s="100"/>
    </row>
    <row r="515" spans="1:13">
      <c r="A515" s="31"/>
      <c r="B515" s="32"/>
      <c r="C515" s="32"/>
      <c r="D515" s="25" t="s">
        <v>362</v>
      </c>
      <c r="E515" s="41"/>
      <c r="F515" s="41"/>
      <c r="G515" s="27"/>
      <c r="H515" s="31"/>
      <c r="I515" s="32"/>
      <c r="J515" s="101"/>
      <c r="K515" s="32"/>
      <c r="L515" s="100"/>
    </row>
    <row r="516" spans="1:13">
      <c r="A516" s="31"/>
      <c r="B516" s="32"/>
      <c r="C516" s="32"/>
      <c r="D516" s="31"/>
      <c r="E516" s="37" t="str">
        <f ca="1">"id: "&amp;K516</f>
        <v>id: "9.4"</v>
      </c>
      <c r="F516" s="37"/>
      <c r="G516" s="33" t="s">
        <v>366</v>
      </c>
      <c r="H516" s="31"/>
      <c r="I516" s="32"/>
      <c r="J516" s="101">
        <f>$J$2+COUNTA($J$1:J515)</f>
        <v>68</v>
      </c>
      <c r="K516" s="32" t="str">
        <f ca="1">CHAR(34)&amp;L516&amp;CHAR(34)</f>
        <v>"9.4"</v>
      </c>
      <c r="L516" s="100" t="str">
        <f ca="1">INDIRECT("Dashboard!A"&amp;J516)</f>
        <v>9.4</v>
      </c>
      <c r="M516" s="32" t="str">
        <f ca="1">VLOOKUP(L516,Dashboard!A:G,7,FALSE)</f>
        <v>Technical design document explaining the data schema and algorithm</v>
      </c>
    </row>
    <row r="517" spans="1:13">
      <c r="A517" s="31"/>
      <c r="B517" s="32"/>
      <c r="C517" s="32"/>
      <c r="D517" s="31"/>
      <c r="E517" s="37" t="s">
        <v>369</v>
      </c>
      <c r="F517" s="102">
        <f>IF(F522="",2,1)</f>
        <v>2</v>
      </c>
      <c r="G517" s="33" t="s">
        <v>366</v>
      </c>
      <c r="H517" s="31"/>
      <c r="I517" s="32"/>
      <c r="J517" s="101"/>
      <c r="K517" s="32"/>
      <c r="L517" s="100"/>
    </row>
    <row r="518" spans="1:13">
      <c r="A518" s="31"/>
      <c r="B518" s="32"/>
      <c r="C518" s="32"/>
      <c r="D518" s="31"/>
      <c r="E518" s="37" t="s">
        <v>368</v>
      </c>
      <c r="F518" s="37" t="str">
        <f ca="1">M516</f>
        <v>Technical design document explaining the data schema and algorithm</v>
      </c>
      <c r="G518" s="33" t="s">
        <v>367</v>
      </c>
      <c r="H518" s="31"/>
      <c r="I518" s="32"/>
      <c r="J518" s="101"/>
      <c r="K518" s="32"/>
      <c r="L518" s="100"/>
    </row>
    <row r="519" spans="1:13">
      <c r="A519" s="31"/>
      <c r="B519" s="32"/>
      <c r="C519" s="32"/>
      <c r="D519" s="31"/>
      <c r="E519" s="37" t="s">
        <v>374</v>
      </c>
      <c r="F519" s="37"/>
      <c r="G519" s="33" t="s">
        <v>367</v>
      </c>
      <c r="H519" s="31"/>
      <c r="I519" s="32"/>
      <c r="J519" s="101"/>
      <c r="K519" s="32"/>
      <c r="L519" s="100"/>
    </row>
    <row r="520" spans="1:13">
      <c r="A520" s="31"/>
      <c r="B520" s="32"/>
      <c r="C520" s="32"/>
      <c r="D520" s="31"/>
      <c r="E520" s="37" t="s">
        <v>395</v>
      </c>
      <c r="F520" s="37" t="s">
        <v>394</v>
      </c>
      <c r="G520" s="33" t="s">
        <v>366</v>
      </c>
      <c r="H520" s="31"/>
      <c r="I520" s="32"/>
      <c r="J520" s="101"/>
      <c r="K520" s="32"/>
      <c r="L520" s="100"/>
    </row>
    <row r="521" spans="1:13">
      <c r="A521" s="31"/>
      <c r="B521" s="32"/>
      <c r="C521" s="32"/>
      <c r="D521" s="31"/>
      <c r="E521" s="37" t="s">
        <v>386</v>
      </c>
      <c r="F521" s="37" t="str">
        <f ca="1">IF(VLOOKUP(L516,Dashboard!A:G,2,FALSE)&lt;&gt;"","'plan': true"&amp;CHAR(44)&amp;"'actual': false","")</f>
        <v>'plan': true,'actual': false</v>
      </c>
      <c r="G521" s="33" t="s">
        <v>385</v>
      </c>
      <c r="H521" s="31"/>
      <c r="I521" s="32"/>
      <c r="J521" s="101"/>
      <c r="K521" s="32"/>
      <c r="L521" s="100"/>
    </row>
    <row r="522" spans="1:13" ht="15" thickBot="1">
      <c r="A522" s="31"/>
      <c r="B522" s="32"/>
      <c r="C522" s="32"/>
      <c r="D522" s="28"/>
      <c r="E522" s="43" t="str">
        <f>IF(F522="","//","")&amp;"nestedGroups: ["</f>
        <v>//nestedGroups: [</v>
      </c>
      <c r="F522" s="43"/>
      <c r="G522" s="30" t="s">
        <v>370</v>
      </c>
      <c r="H522" s="31"/>
      <c r="I522" s="32"/>
      <c r="J522" s="101"/>
      <c r="K522" s="32"/>
      <c r="L522" s="100"/>
    </row>
    <row r="523" spans="1:13">
      <c r="A523" s="31"/>
      <c r="B523" s="32"/>
      <c r="C523" s="32"/>
      <c r="D523" s="25" t="s">
        <v>362</v>
      </c>
      <c r="E523" s="41"/>
      <c r="F523" s="41"/>
      <c r="G523" s="27"/>
      <c r="H523" s="31"/>
      <c r="I523" s="32"/>
      <c r="J523" s="101"/>
      <c r="K523" s="32"/>
      <c r="L523" s="100"/>
    </row>
    <row r="524" spans="1:13">
      <c r="A524" s="31"/>
      <c r="B524" s="32"/>
      <c r="C524" s="32"/>
      <c r="D524" s="31"/>
      <c r="E524" s="37" t="str">
        <f ca="1">"id: "&amp;K524</f>
        <v>id: "9.5"</v>
      </c>
      <c r="F524" s="37"/>
      <c r="G524" s="33" t="s">
        <v>366</v>
      </c>
      <c r="H524" s="31"/>
      <c r="I524" s="32"/>
      <c r="J524" s="101">
        <f>$J$2+COUNTA($J$1:J523)</f>
        <v>69</v>
      </c>
      <c r="K524" s="32" t="str">
        <f ca="1">CHAR(34)&amp;L524&amp;CHAR(34)</f>
        <v>"9.5"</v>
      </c>
      <c r="L524" s="100" t="str">
        <f ca="1">INDIRECT("Dashboard!A"&amp;J524)</f>
        <v>9.5</v>
      </c>
      <c r="M524" s="32" t="str">
        <f ca="1">VLOOKUP(L524,Dashboard!A:G,7,FALSE)</f>
        <v>Software Code</v>
      </c>
    </row>
    <row r="525" spans="1:13">
      <c r="A525" s="31"/>
      <c r="B525" s="32"/>
      <c r="C525" s="32"/>
      <c r="D525" s="31"/>
      <c r="E525" s="37" t="s">
        <v>369</v>
      </c>
      <c r="F525" s="102">
        <f>IF(F530="",2,1)</f>
        <v>2</v>
      </c>
      <c r="G525" s="33" t="s">
        <v>366</v>
      </c>
      <c r="H525" s="31"/>
      <c r="I525" s="32"/>
      <c r="J525" s="101"/>
      <c r="K525" s="32"/>
      <c r="L525" s="100"/>
    </row>
    <row r="526" spans="1:13">
      <c r="A526" s="31"/>
      <c r="B526" s="32"/>
      <c r="C526" s="32"/>
      <c r="D526" s="31"/>
      <c r="E526" s="37" t="s">
        <v>368</v>
      </c>
      <c r="F526" s="37" t="str">
        <f ca="1">M524</f>
        <v>Software Code</v>
      </c>
      <c r="G526" s="33" t="s">
        <v>367</v>
      </c>
      <c r="H526" s="31"/>
      <c r="I526" s="32"/>
      <c r="J526" s="101"/>
      <c r="K526" s="32"/>
      <c r="L526" s="100"/>
    </row>
    <row r="527" spans="1:13">
      <c r="A527" s="31"/>
      <c r="B527" s="32"/>
      <c r="C527" s="32"/>
      <c r="D527" s="31"/>
      <c r="E527" s="37" t="s">
        <v>374</v>
      </c>
      <c r="F527" s="37"/>
      <c r="G527" s="33" t="s">
        <v>367</v>
      </c>
      <c r="H527" s="31"/>
      <c r="I527" s="32"/>
      <c r="J527" s="101"/>
      <c r="K527" s="32"/>
      <c r="L527" s="100"/>
    </row>
    <row r="528" spans="1:13">
      <c r="A528" s="31"/>
      <c r="B528" s="32"/>
      <c r="C528" s="32"/>
      <c r="D528" s="31"/>
      <c r="E528" s="37" t="s">
        <v>395</v>
      </c>
      <c r="F528" s="37" t="s">
        <v>394</v>
      </c>
      <c r="G528" s="33" t="s">
        <v>366</v>
      </c>
      <c r="H528" s="31"/>
      <c r="I528" s="32"/>
      <c r="J528" s="101"/>
      <c r="K528" s="32"/>
      <c r="L528" s="100"/>
    </row>
    <row r="529" spans="1:13">
      <c r="A529" s="31"/>
      <c r="B529" s="32"/>
      <c r="C529" s="32"/>
      <c r="D529" s="31"/>
      <c r="E529" s="37" t="s">
        <v>386</v>
      </c>
      <c r="F529" s="37" t="str">
        <f ca="1">IF(VLOOKUP(L524,Dashboard!A:G,2,FALSE)&lt;&gt;"","'plan': true"&amp;CHAR(44)&amp;"'actual': false","")</f>
        <v>'plan': true,'actual': false</v>
      </c>
      <c r="G529" s="33" t="s">
        <v>385</v>
      </c>
      <c r="H529" s="31"/>
      <c r="I529" s="32"/>
      <c r="J529" s="101"/>
      <c r="K529" s="32"/>
      <c r="L529" s="100"/>
    </row>
    <row r="530" spans="1:13" ht="15" thickBot="1">
      <c r="A530" s="31"/>
      <c r="B530" s="32"/>
      <c r="C530" s="32"/>
      <c r="D530" s="28"/>
      <c r="E530" s="43" t="str">
        <f>IF(F530="","//","")&amp;"nestedGroups: ["</f>
        <v>//nestedGroups: [</v>
      </c>
      <c r="F530" s="43"/>
      <c r="G530" s="30" t="s">
        <v>370</v>
      </c>
      <c r="H530" s="31"/>
      <c r="I530" s="32"/>
      <c r="J530" s="101"/>
      <c r="K530" s="32"/>
      <c r="L530" s="100"/>
    </row>
    <row r="531" spans="1:13">
      <c r="A531" s="31"/>
      <c r="B531" s="32"/>
      <c r="C531" s="32"/>
      <c r="D531" s="25" t="s">
        <v>362</v>
      </c>
      <c r="E531" s="41"/>
      <c r="F531" s="41"/>
      <c r="G531" s="27"/>
      <c r="H531" s="31"/>
      <c r="I531" s="32"/>
      <c r="J531" s="101"/>
      <c r="K531" s="32"/>
      <c r="L531" s="100"/>
    </row>
    <row r="532" spans="1:13">
      <c r="A532" s="31"/>
      <c r="B532" s="32"/>
      <c r="C532" s="32"/>
      <c r="D532" s="31"/>
      <c r="E532" s="37" t="str">
        <f ca="1">"id: "&amp;K532</f>
        <v>id: "9.6"</v>
      </c>
      <c r="F532" s="37"/>
      <c r="G532" s="33" t="s">
        <v>366</v>
      </c>
      <c r="H532" s="31"/>
      <c r="I532" s="32"/>
      <c r="J532" s="101">
        <f>$J$2+COUNTA($J$1:J531)</f>
        <v>70</v>
      </c>
      <c r="K532" s="32" t="str">
        <f ca="1">CHAR(34)&amp;L532&amp;CHAR(34)</f>
        <v>"9.6"</v>
      </c>
      <c r="L532" s="100" t="str">
        <f ca="1">INDIRECT("Dashboard!A"&amp;J532)</f>
        <v>9.6</v>
      </c>
      <c r="M532" s="32" t="str">
        <f ca="1">VLOOKUP(L532,Dashboard!A:G,7,FALSE)</f>
        <v>Deployment Procedure of the code</v>
      </c>
    </row>
    <row r="533" spans="1:13">
      <c r="A533" s="31"/>
      <c r="B533" s="32"/>
      <c r="C533" s="32"/>
      <c r="D533" s="31"/>
      <c r="E533" s="37" t="s">
        <v>369</v>
      </c>
      <c r="F533" s="102">
        <f>IF(F538="",2,1)</f>
        <v>2</v>
      </c>
      <c r="G533" s="33" t="s">
        <v>366</v>
      </c>
      <c r="H533" s="31"/>
      <c r="I533" s="32"/>
      <c r="J533" s="101"/>
      <c r="K533" s="32"/>
      <c r="L533" s="100"/>
    </row>
    <row r="534" spans="1:13">
      <c r="A534" s="31"/>
      <c r="B534" s="32"/>
      <c r="C534" s="32"/>
      <c r="D534" s="31"/>
      <c r="E534" s="37" t="s">
        <v>368</v>
      </c>
      <c r="F534" s="37" t="str">
        <f ca="1">M532</f>
        <v>Deployment Procedure of the code</v>
      </c>
      <c r="G534" s="33" t="s">
        <v>367</v>
      </c>
      <c r="H534" s="31"/>
      <c r="I534" s="32"/>
      <c r="J534" s="101"/>
      <c r="K534" s="32"/>
      <c r="L534" s="100"/>
    </row>
    <row r="535" spans="1:13">
      <c r="A535" s="31"/>
      <c r="B535" s="32"/>
      <c r="C535" s="32"/>
      <c r="D535" s="31"/>
      <c r="E535" s="37" t="s">
        <v>374</v>
      </c>
      <c r="F535" s="37"/>
      <c r="G535" s="33" t="s">
        <v>367</v>
      </c>
      <c r="H535" s="31"/>
      <c r="I535" s="32"/>
      <c r="J535" s="101"/>
      <c r="K535" s="32"/>
      <c r="L535" s="100"/>
    </row>
    <row r="536" spans="1:13">
      <c r="A536" s="31"/>
      <c r="B536" s="32"/>
      <c r="C536" s="32"/>
      <c r="D536" s="31"/>
      <c r="E536" s="37" t="s">
        <v>395</v>
      </c>
      <c r="F536" s="37" t="s">
        <v>394</v>
      </c>
      <c r="G536" s="33" t="s">
        <v>366</v>
      </c>
      <c r="H536" s="31"/>
      <c r="I536" s="32"/>
      <c r="J536" s="101"/>
      <c r="K536" s="32"/>
      <c r="L536" s="100"/>
    </row>
    <row r="537" spans="1:13">
      <c r="A537" s="31"/>
      <c r="B537" s="32"/>
      <c r="C537" s="32"/>
      <c r="D537" s="31"/>
      <c r="E537" s="37" t="s">
        <v>386</v>
      </c>
      <c r="F537" s="37" t="str">
        <f ca="1">IF(VLOOKUP(L532,Dashboard!A:G,2,FALSE)&lt;&gt;"","'plan': true"&amp;CHAR(44)&amp;"'actual': false","")</f>
        <v>'plan': true,'actual': false</v>
      </c>
      <c r="G537" s="33" t="s">
        <v>385</v>
      </c>
      <c r="H537" s="31"/>
      <c r="I537" s="32"/>
      <c r="J537" s="101"/>
      <c r="K537" s="32"/>
      <c r="L537" s="100"/>
    </row>
    <row r="538" spans="1:13" ht="15" thickBot="1">
      <c r="A538" s="31"/>
      <c r="B538" s="32"/>
      <c r="C538" s="32"/>
      <c r="D538" s="28"/>
      <c r="E538" s="43" t="str">
        <f>IF(F538="","//","")&amp;"nestedGroups: ["</f>
        <v>//nestedGroups: [</v>
      </c>
      <c r="F538" s="43"/>
      <c r="G538" s="30" t="s">
        <v>370</v>
      </c>
      <c r="H538" s="31"/>
      <c r="I538" s="32"/>
      <c r="J538" s="101"/>
      <c r="K538" s="32"/>
      <c r="L538" s="100"/>
    </row>
    <row r="539" spans="1:13">
      <c r="A539" s="31"/>
      <c r="B539" s="32"/>
      <c r="C539" s="32"/>
      <c r="D539" s="25" t="s">
        <v>362</v>
      </c>
      <c r="E539" s="41"/>
      <c r="F539" s="41"/>
      <c r="G539" s="27"/>
      <c r="H539" s="31"/>
      <c r="I539" s="32"/>
      <c r="J539" s="101"/>
      <c r="K539" s="32"/>
      <c r="L539" s="100"/>
    </row>
    <row r="540" spans="1:13">
      <c r="A540" s="31"/>
      <c r="B540" s="32"/>
      <c r="C540" s="32"/>
      <c r="D540" s="31"/>
      <c r="E540" s="37" t="str">
        <f ca="1">"id: "&amp;K540</f>
        <v>id: "9.7"</v>
      </c>
      <c r="F540" s="37"/>
      <c r="G540" s="33" t="s">
        <v>366</v>
      </c>
      <c r="H540" s="31"/>
      <c r="I540" s="32"/>
      <c r="J540" s="101">
        <f>$J$2+COUNTA($J$1:J539)</f>
        <v>71</v>
      </c>
      <c r="K540" s="32" t="str">
        <f ca="1">CHAR(34)&amp;L540&amp;CHAR(34)</f>
        <v>"9.7"</v>
      </c>
      <c r="L540" s="100" t="str">
        <f ca="1">INDIRECT("Dashboard!A"&amp;J540)</f>
        <v>9.7</v>
      </c>
      <c r="M540" s="32" t="str">
        <f ca="1">VLOOKUP(L540,Dashboard!A:G,7,FALSE)</f>
        <v>Product usage guide with examples for all the functional usecases</v>
      </c>
    </row>
    <row r="541" spans="1:13">
      <c r="A541" s="31"/>
      <c r="B541" s="32"/>
      <c r="C541" s="32"/>
      <c r="D541" s="31"/>
      <c r="E541" s="37" t="s">
        <v>369</v>
      </c>
      <c r="F541" s="102">
        <f>IF(F546="",2,1)</f>
        <v>2</v>
      </c>
      <c r="G541" s="33" t="s">
        <v>366</v>
      </c>
      <c r="H541" s="31"/>
      <c r="I541" s="32"/>
      <c r="J541" s="101"/>
      <c r="K541" s="32"/>
      <c r="L541" s="100"/>
    </row>
    <row r="542" spans="1:13">
      <c r="A542" s="31"/>
      <c r="B542" s="32"/>
      <c r="C542" s="32"/>
      <c r="D542" s="31"/>
      <c r="E542" s="37" t="s">
        <v>368</v>
      </c>
      <c r="F542" s="37" t="str">
        <f ca="1">M540</f>
        <v>Product usage guide with examples for all the functional usecases</v>
      </c>
      <c r="G542" s="33" t="s">
        <v>367</v>
      </c>
      <c r="H542" s="31"/>
      <c r="I542" s="32"/>
      <c r="J542" s="101"/>
      <c r="K542" s="32"/>
      <c r="L542" s="100"/>
    </row>
    <row r="543" spans="1:13">
      <c r="A543" s="31"/>
      <c r="B543" s="32"/>
      <c r="C543" s="32"/>
      <c r="D543" s="31"/>
      <c r="E543" s="37" t="s">
        <v>374</v>
      </c>
      <c r="F543" s="37"/>
      <c r="G543" s="33" t="s">
        <v>367</v>
      </c>
      <c r="H543" s="31"/>
      <c r="I543" s="32"/>
      <c r="J543" s="101"/>
      <c r="K543" s="32"/>
      <c r="L543" s="100"/>
    </row>
    <row r="544" spans="1:13">
      <c r="A544" s="31"/>
      <c r="B544" s="32"/>
      <c r="C544" s="32"/>
      <c r="D544" s="31"/>
      <c r="E544" s="37" t="s">
        <v>395</v>
      </c>
      <c r="F544" s="37" t="s">
        <v>394</v>
      </c>
      <c r="G544" s="33" t="s">
        <v>366</v>
      </c>
      <c r="H544" s="31"/>
      <c r="I544" s="32"/>
      <c r="J544" s="101"/>
      <c r="K544" s="32"/>
      <c r="L544" s="100"/>
    </row>
    <row r="545" spans="1:13">
      <c r="A545" s="31"/>
      <c r="B545" s="32"/>
      <c r="C545" s="32"/>
      <c r="D545" s="31"/>
      <c r="E545" s="37" t="s">
        <v>386</v>
      </c>
      <c r="F545" s="37" t="str">
        <f ca="1">IF(VLOOKUP(L540,Dashboard!A:G,2,FALSE)&lt;&gt;"","'plan': true"&amp;CHAR(44)&amp;"'actual': false","")</f>
        <v>'plan': true,'actual': false</v>
      </c>
      <c r="G545" s="33" t="s">
        <v>385</v>
      </c>
      <c r="H545" s="31"/>
      <c r="I545" s="32"/>
      <c r="J545" s="101"/>
      <c r="K545" s="32"/>
      <c r="L545" s="100"/>
    </row>
    <row r="546" spans="1:13" ht="15" thickBot="1">
      <c r="A546" s="31"/>
      <c r="B546" s="32"/>
      <c r="C546" s="32"/>
      <c r="D546" s="28"/>
      <c r="E546" s="43" t="str">
        <f>IF(F546="","//","")&amp;"nestedGroups: ["</f>
        <v>//nestedGroups: [</v>
      </c>
      <c r="F546" s="43"/>
      <c r="G546" s="30" t="s">
        <v>370</v>
      </c>
      <c r="H546" s="31"/>
      <c r="I546" s="32"/>
      <c r="J546" s="101"/>
      <c r="K546" s="32"/>
      <c r="L546" s="100"/>
    </row>
    <row r="547" spans="1:13">
      <c r="A547" s="31"/>
      <c r="B547" s="32"/>
      <c r="C547" s="32"/>
      <c r="D547" s="25" t="s">
        <v>362</v>
      </c>
      <c r="E547" s="41"/>
      <c r="F547" s="41"/>
      <c r="G547" s="27"/>
      <c r="H547" s="31"/>
      <c r="I547" s="32"/>
      <c r="J547" s="101"/>
      <c r="K547" s="32"/>
      <c r="L547" s="100"/>
    </row>
    <row r="548" spans="1:13">
      <c r="A548" s="31"/>
      <c r="B548" s="32"/>
      <c r="C548" s="32"/>
      <c r="D548" s="31"/>
      <c r="E548" s="37" t="str">
        <f ca="1">"id: "&amp;K548</f>
        <v>id: "9.8"</v>
      </c>
      <c r="F548" s="37"/>
      <c r="G548" s="33" t="s">
        <v>366</v>
      </c>
      <c r="H548" s="31"/>
      <c r="I548" s="32"/>
      <c r="J548" s="101">
        <f>$J$2+COUNTA($J$1:J547)</f>
        <v>72</v>
      </c>
      <c r="K548" s="32" t="str">
        <f ca="1">CHAR(34)&amp;L548&amp;CHAR(34)</f>
        <v>"9.8"</v>
      </c>
      <c r="L548" s="100" t="str">
        <f ca="1">INDIRECT("Dashboard!A"&amp;J548)</f>
        <v>9.8</v>
      </c>
      <c r="M548" s="32" t="str">
        <f ca="1">VLOOKUP(L548,Dashboard!A:G,7,FALSE)</f>
        <v xml:space="preserve">Test report </v>
      </c>
    </row>
    <row r="549" spans="1:13">
      <c r="A549" s="31"/>
      <c r="B549" s="32"/>
      <c r="C549" s="32"/>
      <c r="D549" s="31"/>
      <c r="E549" s="37" t="s">
        <v>369</v>
      </c>
      <c r="F549" s="102">
        <f>IF(F554="",2,1)</f>
        <v>2</v>
      </c>
      <c r="G549" s="33" t="s">
        <v>366</v>
      </c>
      <c r="H549" s="31"/>
      <c r="I549" s="32"/>
      <c r="J549" s="101"/>
      <c r="K549" s="32"/>
      <c r="L549" s="100"/>
    </row>
    <row r="550" spans="1:13">
      <c r="A550" s="31"/>
      <c r="B550" s="32"/>
      <c r="C550" s="32"/>
      <c r="D550" s="31"/>
      <c r="E550" s="37" t="s">
        <v>368</v>
      </c>
      <c r="F550" s="37" t="str">
        <f ca="1">M548</f>
        <v xml:space="preserve">Test report </v>
      </c>
      <c r="G550" s="33" t="s">
        <v>367</v>
      </c>
      <c r="H550" s="31"/>
      <c r="I550" s="32"/>
      <c r="J550" s="101"/>
      <c r="K550" s="32"/>
      <c r="L550" s="100"/>
    </row>
    <row r="551" spans="1:13">
      <c r="A551" s="31"/>
      <c r="B551" s="32"/>
      <c r="C551" s="32"/>
      <c r="D551" s="31"/>
      <c r="E551" s="37" t="s">
        <v>374</v>
      </c>
      <c r="F551" s="37"/>
      <c r="G551" s="33" t="s">
        <v>367</v>
      </c>
      <c r="H551" s="31"/>
      <c r="I551" s="32"/>
      <c r="J551" s="101"/>
      <c r="K551" s="32"/>
      <c r="L551" s="100"/>
    </row>
    <row r="552" spans="1:13">
      <c r="A552" s="31"/>
      <c r="B552" s="32"/>
      <c r="C552" s="32"/>
      <c r="D552" s="31"/>
      <c r="E552" s="37" t="s">
        <v>395</v>
      </c>
      <c r="F552" s="37" t="s">
        <v>394</v>
      </c>
      <c r="G552" s="33" t="s">
        <v>366</v>
      </c>
      <c r="H552" s="31"/>
      <c r="I552" s="32"/>
      <c r="J552" s="101"/>
      <c r="K552" s="32"/>
      <c r="L552" s="100"/>
    </row>
    <row r="553" spans="1:13">
      <c r="A553" s="31"/>
      <c r="B553" s="32"/>
      <c r="C553" s="32"/>
      <c r="D553" s="31"/>
      <c r="E553" s="37" t="s">
        <v>386</v>
      </c>
      <c r="F553" s="37" t="str">
        <f ca="1">IF(VLOOKUP(L548,Dashboard!A:G,2,FALSE)&lt;&gt;"","'plan': true"&amp;CHAR(44)&amp;"'actual': false","")</f>
        <v>'plan': true,'actual': false</v>
      </c>
      <c r="G553" s="33" t="s">
        <v>385</v>
      </c>
      <c r="H553" s="31"/>
      <c r="I553" s="32"/>
      <c r="J553" s="101"/>
      <c r="K553" s="32"/>
      <c r="L553" s="100"/>
    </row>
    <row r="554" spans="1:13" ht="15" thickBot="1">
      <c r="A554" s="31"/>
      <c r="B554" s="32"/>
      <c r="C554" s="32"/>
      <c r="D554" s="28"/>
      <c r="E554" s="43" t="str">
        <f>IF(F554="","//","")&amp;"nestedGroups: ["</f>
        <v>//nestedGroups: [</v>
      </c>
      <c r="F554" s="43"/>
      <c r="G554" s="30" t="s">
        <v>370</v>
      </c>
      <c r="H554" s="31"/>
      <c r="I554" s="32"/>
      <c r="J554" s="101"/>
      <c r="K554" s="32"/>
      <c r="L554" s="100"/>
    </row>
    <row r="555" spans="1:13">
      <c r="A555" s="31"/>
      <c r="B555" s="32"/>
      <c r="C555" s="32"/>
      <c r="D555" s="25" t="s">
        <v>362</v>
      </c>
      <c r="E555" s="114"/>
      <c r="F555" s="114"/>
      <c r="G555" s="27"/>
      <c r="H555" s="31"/>
      <c r="I555" s="32"/>
      <c r="J555" s="101"/>
      <c r="K555" s="32"/>
      <c r="L555" s="100"/>
    </row>
    <row r="556" spans="1:13">
      <c r="A556" s="31"/>
      <c r="B556" s="32"/>
      <c r="C556" s="32"/>
      <c r="D556" s="31"/>
      <c r="E556" s="37" t="str">
        <f ca="1">"id: "&amp;K556</f>
        <v>id: "10"</v>
      </c>
      <c r="F556" s="37"/>
      <c r="G556" s="33" t="s">
        <v>366</v>
      </c>
      <c r="H556" s="31"/>
      <c r="I556" s="32"/>
      <c r="J556" s="101">
        <f>$J$2+COUNTA($J$1:J555)</f>
        <v>73</v>
      </c>
      <c r="K556" s="32" t="str">
        <f ca="1">CHAR(34)&amp;L556&amp;CHAR(34)</f>
        <v>"10"</v>
      </c>
      <c r="L556" s="100" t="str">
        <f ca="1">INDIRECT("Dashboard!A"&amp;J556)</f>
        <v>10</v>
      </c>
      <c r="M556" s="32" t="str">
        <f ca="1">VLOOKUP(L556,Dashboard!A:G,7,FALSE)</f>
        <v>M9. Decision Engine AI/ML models - NIDS</v>
      </c>
    </row>
    <row r="557" spans="1:13">
      <c r="A557" s="31"/>
      <c r="B557" s="32"/>
      <c r="C557" s="32"/>
      <c r="D557" s="31"/>
      <c r="E557" s="37" t="s">
        <v>369</v>
      </c>
      <c r="F557" s="102" t="e">
        <f>IF(F562="",2,1)</f>
        <v>#VALUE!</v>
      </c>
      <c r="G557" s="33" t="s">
        <v>366</v>
      </c>
      <c r="H557" s="31"/>
      <c r="I557" s="32"/>
      <c r="J557" s="101"/>
      <c r="K557" s="32"/>
      <c r="L557" s="100"/>
    </row>
    <row r="558" spans="1:13">
      <c r="A558" s="31"/>
      <c r="B558" s="32"/>
      <c r="C558" s="32"/>
      <c r="D558" s="31"/>
      <c r="E558" s="37" t="s">
        <v>368</v>
      </c>
      <c r="F558" s="37" t="str">
        <f ca="1">M556</f>
        <v>M9. Decision Engine AI/ML models - NIDS</v>
      </c>
      <c r="G558" s="33" t="s">
        <v>367</v>
      </c>
      <c r="H558" s="31"/>
      <c r="I558" s="32"/>
      <c r="J558" s="101"/>
      <c r="K558" s="32"/>
      <c r="L558" s="100"/>
    </row>
    <row r="559" spans="1:13">
      <c r="A559" s="31"/>
      <c r="B559" s="32"/>
      <c r="C559" s="32"/>
      <c r="D559" s="31"/>
      <c r="E559" s="37" t="s">
        <v>374</v>
      </c>
      <c r="F559" s="37"/>
      <c r="G559" s="33" t="s">
        <v>367</v>
      </c>
      <c r="H559" s="31"/>
      <c r="I559" s="32"/>
      <c r="J559" s="101"/>
      <c r="K559" s="32"/>
      <c r="L559" s="100"/>
    </row>
    <row r="560" spans="1:13">
      <c r="A560" s="31"/>
      <c r="B560" s="32"/>
      <c r="C560" s="32"/>
      <c r="D560" s="31"/>
      <c r="E560" s="37" t="s">
        <v>395</v>
      </c>
      <c r="F560" s="37" t="s">
        <v>394</v>
      </c>
      <c r="G560" s="33" t="s">
        <v>366</v>
      </c>
      <c r="H560" s="31"/>
      <c r="I560" s="32"/>
      <c r="J560" s="101"/>
      <c r="K560" s="32"/>
      <c r="L560" s="100"/>
    </row>
    <row r="561" spans="1:13">
      <c r="A561" s="31"/>
      <c r="B561" s="32"/>
      <c r="C561" s="32"/>
      <c r="D561" s="31"/>
      <c r="E561" s="37" t="s">
        <v>386</v>
      </c>
      <c r="F561" s="37" t="str">
        <f ca="1">IF(VLOOKUP(L556,Dashboard!A:G,2,FALSE)&lt;&gt;"","'plan': true"&amp;CHAR(44)&amp;"'actual': false","")</f>
        <v>'plan': true,'actual': false</v>
      </c>
      <c r="G561" s="33" t="s">
        <v>385</v>
      </c>
      <c r="H561" s="31"/>
      <c r="I561" s="32" t="s">
        <v>571</v>
      </c>
      <c r="J561" s="101"/>
      <c r="K561" s="32"/>
      <c r="L561" s="100"/>
    </row>
    <row r="562" spans="1:13" ht="15" thickBot="1">
      <c r="A562" s="31"/>
      <c r="B562" s="32"/>
      <c r="C562" s="32"/>
      <c r="D562" s="28"/>
      <c r="E562" s="43" t="e">
        <f>IF(F562="","//","")&amp;"nestedGroups: ["</f>
        <v>#VALUE!</v>
      </c>
      <c r="F562" s="37" t="e">
        <f>nestedGroups(5,I562*$I$2,", ")</f>
        <v>#VALUE!</v>
      </c>
      <c r="G562" s="30" t="s">
        <v>370</v>
      </c>
      <c r="H562" s="31"/>
      <c r="I562" s="3">
        <v>8</v>
      </c>
      <c r="J562" s="101"/>
      <c r="K562" s="32"/>
      <c r="L562" s="100"/>
    </row>
    <row r="563" spans="1:13">
      <c r="A563" s="31"/>
      <c r="B563" s="32"/>
      <c r="C563" s="32"/>
      <c r="D563" s="25" t="s">
        <v>362</v>
      </c>
      <c r="E563" s="41"/>
      <c r="F563" s="41"/>
      <c r="G563" s="27"/>
      <c r="H563" s="31"/>
      <c r="I563" s="32"/>
      <c r="J563" s="101"/>
      <c r="K563" s="32"/>
      <c r="L563" s="100"/>
    </row>
    <row r="564" spans="1:13">
      <c r="A564" s="31"/>
      <c r="B564" s="32"/>
      <c r="C564" s="32"/>
      <c r="D564" s="31"/>
      <c r="E564" s="37" t="str">
        <f ca="1">"id: "&amp;K564</f>
        <v>id: "10.1"</v>
      </c>
      <c r="F564" s="37"/>
      <c r="G564" s="33" t="s">
        <v>366</v>
      </c>
      <c r="H564" s="31"/>
      <c r="I564" s="32"/>
      <c r="J564" s="101">
        <f>$J$2+COUNTA($J$1:J563)</f>
        <v>74</v>
      </c>
      <c r="K564" s="32" t="str">
        <f ca="1">CHAR(34)&amp;L564&amp;CHAR(34)</f>
        <v>"10.1"</v>
      </c>
      <c r="L564" s="100" t="str">
        <f ca="1">INDIRECT("Dashboard!A"&amp;J564)</f>
        <v>10.1</v>
      </c>
      <c r="M564" s="32" t="str">
        <f ca="1">VLOOKUP(L564,Dashboard!A:G,7,FALSE)</f>
        <v>Note : Network intrusion detection model</v>
      </c>
    </row>
    <row r="565" spans="1:13">
      <c r="A565" s="31"/>
      <c r="B565" s="32"/>
      <c r="C565" s="32"/>
      <c r="D565" s="31"/>
      <c r="E565" s="37" t="s">
        <v>369</v>
      </c>
      <c r="F565" s="102">
        <f>IF(F570="",2,1)</f>
        <v>2</v>
      </c>
      <c r="G565" s="33" t="s">
        <v>366</v>
      </c>
      <c r="H565" s="31"/>
      <c r="I565" s="32"/>
      <c r="J565" s="101"/>
      <c r="K565" s="32"/>
      <c r="L565" s="100"/>
    </row>
    <row r="566" spans="1:13">
      <c r="A566" s="31"/>
      <c r="B566" s="32"/>
      <c r="C566" s="32"/>
      <c r="D566" s="31"/>
      <c r="E566" s="37" t="s">
        <v>368</v>
      </c>
      <c r="F566" s="37" t="str">
        <f ca="1">M564</f>
        <v>Note : Network intrusion detection model</v>
      </c>
      <c r="G566" s="33" t="s">
        <v>367</v>
      </c>
      <c r="H566" s="31"/>
      <c r="I566" s="32"/>
      <c r="J566" s="101"/>
      <c r="K566" s="32"/>
      <c r="L566" s="100"/>
    </row>
    <row r="567" spans="1:13">
      <c r="A567" s="31"/>
      <c r="B567" s="32"/>
      <c r="C567" s="32"/>
      <c r="D567" s="31"/>
      <c r="E567" s="37" t="s">
        <v>374</v>
      </c>
      <c r="F567" s="37"/>
      <c r="G567" s="33" t="s">
        <v>367</v>
      </c>
      <c r="H567" s="31"/>
      <c r="I567" s="32"/>
      <c r="J567" s="101"/>
      <c r="K567" s="32"/>
      <c r="L567" s="100"/>
    </row>
    <row r="568" spans="1:13">
      <c r="A568" s="31"/>
      <c r="B568" s="32"/>
      <c r="C568" s="32"/>
      <c r="D568" s="31"/>
      <c r="E568" s="37" t="s">
        <v>395</v>
      </c>
      <c r="F568" s="37" t="s">
        <v>394</v>
      </c>
      <c r="G568" s="33" t="s">
        <v>366</v>
      </c>
      <c r="H568" s="31"/>
      <c r="I568" s="32"/>
      <c r="J568" s="101"/>
      <c r="K568" s="32"/>
      <c r="L568" s="100"/>
    </row>
    <row r="569" spans="1:13">
      <c r="A569" s="31"/>
      <c r="B569" s="32"/>
      <c r="C569" s="32"/>
      <c r="D569" s="31"/>
      <c r="E569" s="37" t="s">
        <v>386</v>
      </c>
      <c r="F569" s="37" t="str">
        <f ca="1">IF(VLOOKUP(L564,Dashboard!A:G,2,FALSE)&lt;&gt;"","'plan': true"&amp;CHAR(44)&amp;"'actual': false","")</f>
        <v/>
      </c>
      <c r="G569" s="33" t="s">
        <v>385</v>
      </c>
      <c r="H569" s="31"/>
      <c r="I569" s="32"/>
      <c r="J569" s="101"/>
      <c r="K569" s="32"/>
      <c r="L569" s="100"/>
    </row>
    <row r="570" spans="1:13" ht="15" thickBot="1">
      <c r="A570" s="31"/>
      <c r="B570" s="32"/>
      <c r="C570" s="32"/>
      <c r="D570" s="28"/>
      <c r="E570" s="43" t="str">
        <f>IF(F570="","//","")&amp;"nestedGroups: ["</f>
        <v>//nestedGroups: [</v>
      </c>
      <c r="F570" s="43"/>
      <c r="G570" s="30" t="s">
        <v>370</v>
      </c>
      <c r="H570" s="31"/>
      <c r="I570" s="32"/>
      <c r="J570" s="101"/>
      <c r="K570" s="32"/>
      <c r="L570" s="100"/>
    </row>
    <row r="571" spans="1:13">
      <c r="A571" s="31"/>
      <c r="B571" s="32"/>
      <c r="C571" s="32"/>
      <c r="D571" s="25" t="s">
        <v>362</v>
      </c>
      <c r="E571" s="41"/>
      <c r="F571" s="41"/>
      <c r="G571" s="27"/>
      <c r="H571" s="31"/>
      <c r="I571" s="32"/>
      <c r="J571" s="101"/>
      <c r="K571" s="32"/>
      <c r="L571" s="100"/>
    </row>
    <row r="572" spans="1:13">
      <c r="A572" s="31"/>
      <c r="B572" s="32"/>
      <c r="C572" s="32"/>
      <c r="D572" s="31"/>
      <c r="E572" s="37" t="str">
        <f ca="1">"id: "&amp;K572</f>
        <v>id: "10.2"</v>
      </c>
      <c r="F572" s="37"/>
      <c r="G572" s="33" t="s">
        <v>366</v>
      </c>
      <c r="H572" s="31"/>
      <c r="I572" s="32"/>
      <c r="J572" s="101">
        <f>$J$2+COUNTA($J$1:J571)</f>
        <v>75</v>
      </c>
      <c r="K572" s="32" t="str">
        <f ca="1">CHAR(34)&amp;L572&amp;CHAR(34)</f>
        <v>"10.2"</v>
      </c>
      <c r="L572" s="100" t="str">
        <f ca="1">INDIRECT("Dashboard!A"&amp;J572)</f>
        <v>10.2</v>
      </c>
      <c r="M572" s="32" t="str">
        <f ca="1">VLOOKUP(L572,Dashboard!A:G,7,FALSE)</f>
        <v>Note : (round truth data will be provided by LiteOn. Based on which NTU shall come up with model for anomaly detection system)</v>
      </c>
    </row>
    <row r="573" spans="1:13">
      <c r="A573" s="31"/>
      <c r="B573" s="32"/>
      <c r="C573" s="32"/>
      <c r="D573" s="31"/>
      <c r="E573" s="37" t="s">
        <v>369</v>
      </c>
      <c r="F573" s="102">
        <f>IF(F578="",2,1)</f>
        <v>2</v>
      </c>
      <c r="G573" s="33" t="s">
        <v>366</v>
      </c>
      <c r="H573" s="31"/>
      <c r="I573" s="32"/>
      <c r="J573" s="101"/>
      <c r="K573" s="32"/>
      <c r="L573" s="100"/>
    </row>
    <row r="574" spans="1:13">
      <c r="A574" s="31"/>
      <c r="B574" s="32"/>
      <c r="C574" s="32"/>
      <c r="D574" s="31"/>
      <c r="E574" s="37" t="s">
        <v>368</v>
      </c>
      <c r="F574" s="37" t="str">
        <f ca="1">M572</f>
        <v>Note : (round truth data will be provided by LiteOn. Based on which NTU shall come up with model for anomaly detection system)</v>
      </c>
      <c r="G574" s="33" t="s">
        <v>367</v>
      </c>
      <c r="H574" s="31"/>
      <c r="I574" s="32"/>
      <c r="J574" s="101"/>
      <c r="K574" s="32"/>
      <c r="L574" s="100"/>
    </row>
    <row r="575" spans="1:13">
      <c r="A575" s="31"/>
      <c r="B575" s="32"/>
      <c r="C575" s="32"/>
      <c r="D575" s="31"/>
      <c r="E575" s="37" t="s">
        <v>374</v>
      </c>
      <c r="F575" s="37"/>
      <c r="G575" s="33" t="s">
        <v>367</v>
      </c>
      <c r="H575" s="31"/>
      <c r="I575" s="32"/>
      <c r="J575" s="101"/>
      <c r="K575" s="32"/>
      <c r="L575" s="100"/>
    </row>
    <row r="576" spans="1:13">
      <c r="A576" s="31"/>
      <c r="B576" s="32"/>
      <c r="C576" s="32"/>
      <c r="D576" s="31"/>
      <c r="E576" s="37" t="s">
        <v>395</v>
      </c>
      <c r="F576" s="37" t="s">
        <v>394</v>
      </c>
      <c r="G576" s="33" t="s">
        <v>366</v>
      </c>
      <c r="H576" s="31"/>
      <c r="I576" s="32"/>
      <c r="J576" s="101"/>
      <c r="K576" s="32"/>
      <c r="L576" s="100"/>
    </row>
    <row r="577" spans="1:13">
      <c r="A577" s="31"/>
      <c r="B577" s="32"/>
      <c r="C577" s="32"/>
      <c r="D577" s="31"/>
      <c r="E577" s="37" t="s">
        <v>386</v>
      </c>
      <c r="F577" s="37" t="str">
        <f ca="1">IF(VLOOKUP(L572,Dashboard!A:G,2,FALSE)&lt;&gt;"","'plan': true"&amp;CHAR(44)&amp;"'actual': false","")</f>
        <v/>
      </c>
      <c r="G577" s="33" t="s">
        <v>385</v>
      </c>
      <c r="H577" s="31"/>
      <c r="I577" s="32"/>
      <c r="J577" s="101"/>
      <c r="K577" s="32"/>
      <c r="L577" s="100"/>
    </row>
    <row r="578" spans="1:13" ht="15" thickBot="1">
      <c r="A578" s="31"/>
      <c r="B578" s="32"/>
      <c r="C578" s="32"/>
      <c r="D578" s="28"/>
      <c r="E578" s="43" t="str">
        <f>IF(F578="","//","")&amp;"nestedGroups: ["</f>
        <v>//nestedGroups: [</v>
      </c>
      <c r="F578" s="43"/>
      <c r="G578" s="30" t="s">
        <v>370</v>
      </c>
      <c r="H578" s="31"/>
      <c r="I578" s="32"/>
      <c r="J578" s="101"/>
      <c r="K578" s="32"/>
      <c r="L578" s="100"/>
    </row>
    <row r="579" spans="1:13">
      <c r="A579" s="31"/>
      <c r="B579" s="32"/>
      <c r="C579" s="32"/>
      <c r="D579" s="25" t="s">
        <v>362</v>
      </c>
      <c r="E579" s="41"/>
      <c r="F579" s="41"/>
      <c r="G579" s="27"/>
      <c r="H579" s="31"/>
      <c r="I579" s="32"/>
      <c r="J579" s="101"/>
      <c r="K579" s="32"/>
      <c r="L579" s="100"/>
    </row>
    <row r="580" spans="1:13">
      <c r="A580" s="31"/>
      <c r="B580" s="32"/>
      <c r="C580" s="32"/>
      <c r="D580" s="31"/>
      <c r="E580" s="37" t="str">
        <f ca="1">"id: "&amp;K580</f>
        <v>id: "10.3"</v>
      </c>
      <c r="F580" s="37"/>
      <c r="G580" s="33" t="s">
        <v>366</v>
      </c>
      <c r="H580" s="31"/>
      <c r="I580" s="32"/>
      <c r="J580" s="101">
        <f>$J$2+COUNTA($J$1:J579)</f>
        <v>76</v>
      </c>
      <c r="K580" s="32" t="str">
        <f ca="1">CHAR(34)&amp;L580&amp;CHAR(34)</f>
        <v>"10.3"</v>
      </c>
      <c r="L580" s="100" t="str">
        <f ca="1">INDIRECT("Dashboard!A"&amp;J580)</f>
        <v>10.3</v>
      </c>
      <c r="M580" s="32" t="str">
        <f ca="1">VLOOKUP(L580,Dashboard!A:G,7,FALSE)</f>
        <v>Note : (Might extend till 2024)</v>
      </c>
    </row>
    <row r="581" spans="1:13">
      <c r="A581" s="31"/>
      <c r="B581" s="32"/>
      <c r="C581" s="32"/>
      <c r="D581" s="31"/>
      <c r="E581" s="37" t="s">
        <v>369</v>
      </c>
      <c r="F581" s="102">
        <f>IF(F586="",2,1)</f>
        <v>2</v>
      </c>
      <c r="G581" s="33" t="s">
        <v>366</v>
      </c>
      <c r="H581" s="31"/>
      <c r="I581" s="32"/>
      <c r="J581" s="101"/>
      <c r="K581" s="32"/>
      <c r="L581" s="100"/>
    </row>
    <row r="582" spans="1:13">
      <c r="A582" s="31"/>
      <c r="B582" s="32"/>
      <c r="C582" s="32"/>
      <c r="D582" s="31"/>
      <c r="E582" s="37" t="s">
        <v>368</v>
      </c>
      <c r="F582" s="37" t="str">
        <f ca="1">M580</f>
        <v>Note : (Might extend till 2024)</v>
      </c>
      <c r="G582" s="33" t="s">
        <v>367</v>
      </c>
      <c r="H582" s="31"/>
      <c r="I582" s="32"/>
      <c r="J582" s="101"/>
      <c r="K582" s="32"/>
      <c r="L582" s="100"/>
    </row>
    <row r="583" spans="1:13">
      <c r="A583" s="31"/>
      <c r="B583" s="32"/>
      <c r="C583" s="32"/>
      <c r="D583" s="31"/>
      <c r="E583" s="37" t="s">
        <v>374</v>
      </c>
      <c r="F583" s="37"/>
      <c r="G583" s="33" t="s">
        <v>367</v>
      </c>
      <c r="H583" s="31"/>
      <c r="I583" s="32"/>
      <c r="J583" s="101"/>
      <c r="K583" s="32"/>
      <c r="L583" s="100"/>
    </row>
    <row r="584" spans="1:13">
      <c r="A584" s="31"/>
      <c r="B584" s="32"/>
      <c r="C584" s="32"/>
      <c r="D584" s="31"/>
      <c r="E584" s="37" t="s">
        <v>395</v>
      </c>
      <c r="F584" s="37" t="s">
        <v>394</v>
      </c>
      <c r="G584" s="33" t="s">
        <v>366</v>
      </c>
      <c r="H584" s="31"/>
      <c r="I584" s="32"/>
      <c r="J584" s="101"/>
      <c r="K584" s="32"/>
      <c r="L584" s="100"/>
    </row>
    <row r="585" spans="1:13">
      <c r="A585" s="31"/>
      <c r="B585" s="32"/>
      <c r="C585" s="32"/>
      <c r="D585" s="31"/>
      <c r="E585" s="37" t="s">
        <v>386</v>
      </c>
      <c r="F585" s="37" t="str">
        <f ca="1">IF(VLOOKUP(L580,Dashboard!A:G,2,FALSE)&lt;&gt;"","'plan': true"&amp;CHAR(44)&amp;"'actual': false","")</f>
        <v/>
      </c>
      <c r="G585" s="33" t="s">
        <v>385</v>
      </c>
      <c r="H585" s="31"/>
      <c r="I585" s="32"/>
      <c r="J585" s="101"/>
      <c r="K585" s="32"/>
      <c r="L585" s="100"/>
    </row>
    <row r="586" spans="1:13" ht="15" thickBot="1">
      <c r="A586" s="31"/>
      <c r="B586" s="32"/>
      <c r="C586" s="32"/>
      <c r="D586" s="28"/>
      <c r="E586" s="43" t="str">
        <f>IF(F586="","//","")&amp;"nestedGroups: ["</f>
        <v>//nestedGroups: [</v>
      </c>
      <c r="F586" s="43"/>
      <c r="G586" s="30" t="s">
        <v>370</v>
      </c>
      <c r="H586" s="31"/>
      <c r="I586" s="32"/>
      <c r="J586" s="101"/>
      <c r="K586" s="32"/>
      <c r="L586" s="100"/>
    </row>
    <row r="587" spans="1:13">
      <c r="A587" s="31"/>
      <c r="B587" s="32"/>
      <c r="C587" s="32"/>
      <c r="D587" s="25" t="s">
        <v>362</v>
      </c>
      <c r="E587" s="41"/>
      <c r="F587" s="41"/>
      <c r="G587" s="27"/>
      <c r="H587" s="31"/>
      <c r="I587" s="32"/>
      <c r="J587" s="101"/>
      <c r="K587" s="32"/>
      <c r="L587" s="100"/>
    </row>
    <row r="588" spans="1:13">
      <c r="A588" s="31"/>
      <c r="B588" s="32"/>
      <c r="C588" s="32"/>
      <c r="D588" s="31"/>
      <c r="E588" s="37" t="str">
        <f ca="1">"id: "&amp;K588</f>
        <v>id: "10.4"</v>
      </c>
      <c r="F588" s="37"/>
      <c r="G588" s="33" t="s">
        <v>366</v>
      </c>
      <c r="H588" s="31"/>
      <c r="I588" s="32"/>
      <c r="J588" s="101">
        <f>$J$2+COUNTA($J$1:J587)</f>
        <v>77</v>
      </c>
      <c r="K588" s="32" t="str">
        <f ca="1">CHAR(34)&amp;L588&amp;CHAR(34)</f>
        <v>"10.4"</v>
      </c>
      <c r="L588" s="100" t="str">
        <f ca="1">INDIRECT("Dashboard!A"&amp;J588)</f>
        <v>10.4</v>
      </c>
      <c r="M588" s="32" t="str">
        <f ca="1">VLOOKUP(L588,Dashboard!A:G,7,FALSE)</f>
        <v>Technical design document explaining the data schema and algorithm</v>
      </c>
    </row>
    <row r="589" spans="1:13">
      <c r="A589" s="31"/>
      <c r="B589" s="32"/>
      <c r="C589" s="32"/>
      <c r="D589" s="31"/>
      <c r="E589" s="37" t="s">
        <v>369</v>
      </c>
      <c r="F589" s="102">
        <f>IF(F594="",2,1)</f>
        <v>2</v>
      </c>
      <c r="G589" s="33" t="s">
        <v>366</v>
      </c>
      <c r="H589" s="31"/>
      <c r="I589" s="32"/>
      <c r="J589" s="101"/>
      <c r="K589" s="32"/>
      <c r="L589" s="100"/>
    </row>
    <row r="590" spans="1:13">
      <c r="A590" s="31"/>
      <c r="B590" s="32"/>
      <c r="C590" s="32"/>
      <c r="D590" s="31"/>
      <c r="E590" s="37" t="s">
        <v>368</v>
      </c>
      <c r="F590" s="37" t="str">
        <f ca="1">M588</f>
        <v>Technical design document explaining the data schema and algorithm</v>
      </c>
      <c r="G590" s="33" t="s">
        <v>367</v>
      </c>
      <c r="H590" s="31"/>
      <c r="I590" s="32"/>
      <c r="J590" s="101"/>
      <c r="K590" s="32"/>
      <c r="L590" s="100"/>
    </row>
    <row r="591" spans="1:13">
      <c r="A591" s="31"/>
      <c r="B591" s="32"/>
      <c r="C591" s="32"/>
      <c r="D591" s="31"/>
      <c r="E591" s="37" t="s">
        <v>374</v>
      </c>
      <c r="F591" s="37"/>
      <c r="G591" s="33" t="s">
        <v>367</v>
      </c>
      <c r="H591" s="31"/>
      <c r="I591" s="32"/>
      <c r="J591" s="101"/>
      <c r="K591" s="32"/>
      <c r="L591" s="100"/>
    </row>
    <row r="592" spans="1:13">
      <c r="A592" s="31"/>
      <c r="B592" s="32"/>
      <c r="C592" s="32"/>
      <c r="D592" s="31"/>
      <c r="E592" s="37" t="s">
        <v>395</v>
      </c>
      <c r="F592" s="37" t="s">
        <v>394</v>
      </c>
      <c r="G592" s="33" t="s">
        <v>366</v>
      </c>
      <c r="H592" s="31"/>
      <c r="I592" s="32"/>
      <c r="J592" s="101"/>
      <c r="K592" s="32"/>
      <c r="L592" s="100"/>
    </row>
    <row r="593" spans="1:13">
      <c r="A593" s="31"/>
      <c r="B593" s="32"/>
      <c r="C593" s="32"/>
      <c r="D593" s="31"/>
      <c r="E593" s="37" t="s">
        <v>386</v>
      </c>
      <c r="F593" s="37" t="str">
        <f ca="1">IF(VLOOKUP(L588,Dashboard!A:G,2,FALSE)&lt;&gt;"","'plan': true"&amp;CHAR(44)&amp;"'actual': false","")</f>
        <v>'plan': true,'actual': false</v>
      </c>
      <c r="G593" s="33" t="s">
        <v>385</v>
      </c>
      <c r="H593" s="31"/>
      <c r="I593" s="32"/>
      <c r="J593" s="101"/>
      <c r="K593" s="32"/>
      <c r="L593" s="100"/>
    </row>
    <row r="594" spans="1:13" ht="15" thickBot="1">
      <c r="A594" s="31"/>
      <c r="B594" s="32"/>
      <c r="C594" s="32"/>
      <c r="D594" s="28"/>
      <c r="E594" s="43" t="str">
        <f>IF(F594="","//","")&amp;"nestedGroups: ["</f>
        <v>//nestedGroups: [</v>
      </c>
      <c r="F594" s="43"/>
      <c r="G594" s="30" t="s">
        <v>370</v>
      </c>
      <c r="H594" s="31"/>
      <c r="I594" s="32"/>
      <c r="J594" s="101"/>
      <c r="K594" s="32"/>
      <c r="L594" s="100"/>
    </row>
    <row r="595" spans="1:13">
      <c r="A595" s="31"/>
      <c r="B595" s="32"/>
      <c r="C595" s="32"/>
      <c r="D595" s="25" t="s">
        <v>362</v>
      </c>
      <c r="E595" s="41"/>
      <c r="F595" s="41"/>
      <c r="G595" s="27"/>
      <c r="H595" s="31"/>
      <c r="I595" s="32"/>
      <c r="J595" s="101"/>
      <c r="K595" s="32"/>
      <c r="L595" s="100"/>
    </row>
    <row r="596" spans="1:13">
      <c r="A596" s="31"/>
      <c r="B596" s="32"/>
      <c r="C596" s="32"/>
      <c r="D596" s="31"/>
      <c r="E596" s="37" t="str">
        <f ca="1">"id: "&amp;K596</f>
        <v>id: "10.5"</v>
      </c>
      <c r="F596" s="37"/>
      <c r="G596" s="33" t="s">
        <v>366</v>
      </c>
      <c r="H596" s="31"/>
      <c r="I596" s="32"/>
      <c r="J596" s="101">
        <f>$J$2+COUNTA($J$1:J595)</f>
        <v>78</v>
      </c>
      <c r="K596" s="32" t="str">
        <f ca="1">CHAR(34)&amp;L596&amp;CHAR(34)</f>
        <v>"10.5"</v>
      </c>
      <c r="L596" s="100" t="str">
        <f ca="1">INDIRECT("Dashboard!A"&amp;J596)</f>
        <v>10.5</v>
      </c>
      <c r="M596" s="32" t="str">
        <f ca="1">VLOOKUP(L596,Dashboard!A:G,7,FALSE)</f>
        <v>Software Code</v>
      </c>
    </row>
    <row r="597" spans="1:13">
      <c r="A597" s="31"/>
      <c r="B597" s="32"/>
      <c r="C597" s="32"/>
      <c r="D597" s="31"/>
      <c r="E597" s="37" t="s">
        <v>369</v>
      </c>
      <c r="F597" s="102">
        <f>IF(F602="",2,1)</f>
        <v>2</v>
      </c>
      <c r="G597" s="33" t="s">
        <v>366</v>
      </c>
      <c r="H597" s="31"/>
      <c r="I597" s="32"/>
      <c r="J597" s="101"/>
      <c r="K597" s="32"/>
      <c r="L597" s="100"/>
    </row>
    <row r="598" spans="1:13">
      <c r="A598" s="31"/>
      <c r="B598" s="32"/>
      <c r="C598" s="32"/>
      <c r="D598" s="31"/>
      <c r="E598" s="37" t="s">
        <v>368</v>
      </c>
      <c r="F598" s="37" t="str">
        <f ca="1">M596</f>
        <v>Software Code</v>
      </c>
      <c r="G598" s="33" t="s">
        <v>367</v>
      </c>
      <c r="H598" s="31"/>
      <c r="I598" s="32"/>
      <c r="J598" s="101"/>
      <c r="K598" s="32"/>
      <c r="L598" s="100"/>
    </row>
    <row r="599" spans="1:13">
      <c r="A599" s="31"/>
      <c r="B599" s="32"/>
      <c r="C599" s="32"/>
      <c r="D599" s="31"/>
      <c r="E599" s="37" t="s">
        <v>374</v>
      </c>
      <c r="F599" s="37"/>
      <c r="G599" s="33" t="s">
        <v>367</v>
      </c>
      <c r="H599" s="31"/>
      <c r="I599" s="32"/>
      <c r="J599" s="101"/>
      <c r="K599" s="32"/>
      <c r="L599" s="100"/>
    </row>
    <row r="600" spans="1:13">
      <c r="A600" s="31"/>
      <c r="B600" s="32"/>
      <c r="C600" s="32"/>
      <c r="D600" s="31"/>
      <c r="E600" s="37" t="s">
        <v>395</v>
      </c>
      <c r="F600" s="37" t="s">
        <v>394</v>
      </c>
      <c r="G600" s="33" t="s">
        <v>366</v>
      </c>
      <c r="H600" s="31"/>
      <c r="I600" s="32"/>
      <c r="J600" s="101"/>
      <c r="K600" s="32"/>
      <c r="L600" s="100"/>
    </row>
    <row r="601" spans="1:13">
      <c r="A601" s="31"/>
      <c r="B601" s="32"/>
      <c r="C601" s="32"/>
      <c r="D601" s="31"/>
      <c r="E601" s="37" t="s">
        <v>386</v>
      </c>
      <c r="F601" s="37" t="str">
        <f ca="1">IF(VLOOKUP(L596,Dashboard!A:G,2,FALSE)&lt;&gt;"","'plan': true"&amp;CHAR(44)&amp;"'actual': false","")</f>
        <v>'plan': true,'actual': false</v>
      </c>
      <c r="G601" s="33" t="s">
        <v>385</v>
      </c>
      <c r="H601" s="31"/>
      <c r="I601" s="32"/>
      <c r="J601" s="101"/>
      <c r="K601" s="32"/>
      <c r="L601" s="100"/>
    </row>
    <row r="602" spans="1:13" ht="15" thickBot="1">
      <c r="A602" s="31"/>
      <c r="B602" s="32"/>
      <c r="C602" s="32"/>
      <c r="D602" s="28"/>
      <c r="E602" s="43" t="str">
        <f>IF(F602="","//","")&amp;"nestedGroups: ["</f>
        <v>//nestedGroups: [</v>
      </c>
      <c r="F602" s="43"/>
      <c r="G602" s="30" t="s">
        <v>370</v>
      </c>
      <c r="H602" s="31"/>
      <c r="I602" s="32"/>
      <c r="J602" s="101"/>
      <c r="K602" s="32"/>
      <c r="L602" s="100"/>
    </row>
    <row r="603" spans="1:13">
      <c r="A603" s="31"/>
      <c r="B603" s="32"/>
      <c r="C603" s="32"/>
      <c r="D603" s="25" t="s">
        <v>362</v>
      </c>
      <c r="E603" s="41"/>
      <c r="F603" s="41"/>
      <c r="G603" s="27"/>
      <c r="H603" s="31"/>
      <c r="I603" s="32"/>
      <c r="J603" s="101"/>
      <c r="K603" s="32"/>
      <c r="L603" s="100"/>
    </row>
    <row r="604" spans="1:13">
      <c r="A604" s="31"/>
      <c r="B604" s="32"/>
      <c r="C604" s="32"/>
      <c r="D604" s="31"/>
      <c r="E604" s="37" t="str">
        <f ca="1">"id: "&amp;K604</f>
        <v>id: "10.6"</v>
      </c>
      <c r="F604" s="37"/>
      <c r="G604" s="33" t="s">
        <v>366</v>
      </c>
      <c r="H604" s="31"/>
      <c r="I604" s="32"/>
      <c r="J604" s="101">
        <f>$J$2+COUNTA($J$1:J603)</f>
        <v>79</v>
      </c>
      <c r="K604" s="32" t="str">
        <f ca="1">CHAR(34)&amp;L604&amp;CHAR(34)</f>
        <v>"10.6"</v>
      </c>
      <c r="L604" s="100" t="str">
        <f ca="1">INDIRECT("Dashboard!A"&amp;J604)</f>
        <v>10.6</v>
      </c>
      <c r="M604" s="32" t="str">
        <f ca="1">VLOOKUP(L604,Dashboard!A:G,7,FALSE)</f>
        <v>Deployment Procedure of the code</v>
      </c>
    </row>
    <row r="605" spans="1:13">
      <c r="A605" s="31"/>
      <c r="B605" s="32"/>
      <c r="C605" s="32"/>
      <c r="D605" s="31"/>
      <c r="E605" s="37" t="s">
        <v>369</v>
      </c>
      <c r="F605" s="102">
        <f>IF(F610="",2,1)</f>
        <v>2</v>
      </c>
      <c r="G605" s="33" t="s">
        <v>366</v>
      </c>
      <c r="H605" s="31"/>
      <c r="I605" s="32"/>
      <c r="J605" s="101"/>
      <c r="K605" s="32"/>
      <c r="L605" s="100"/>
    </row>
    <row r="606" spans="1:13">
      <c r="A606" s="31"/>
      <c r="B606" s="32"/>
      <c r="C606" s="32"/>
      <c r="D606" s="31"/>
      <c r="E606" s="37" t="s">
        <v>368</v>
      </c>
      <c r="F606" s="37" t="str">
        <f ca="1">M604</f>
        <v>Deployment Procedure of the code</v>
      </c>
      <c r="G606" s="33" t="s">
        <v>367</v>
      </c>
      <c r="H606" s="31"/>
      <c r="I606" s="32"/>
      <c r="J606" s="101"/>
      <c r="K606" s="32"/>
      <c r="L606" s="100"/>
    </row>
    <row r="607" spans="1:13">
      <c r="A607" s="31"/>
      <c r="B607" s="32"/>
      <c r="C607" s="32"/>
      <c r="D607" s="31"/>
      <c r="E607" s="37" t="s">
        <v>374</v>
      </c>
      <c r="F607" s="37"/>
      <c r="G607" s="33" t="s">
        <v>367</v>
      </c>
      <c r="H607" s="31"/>
      <c r="I607" s="32"/>
      <c r="J607" s="101"/>
      <c r="K607" s="32"/>
      <c r="L607" s="100"/>
    </row>
    <row r="608" spans="1:13">
      <c r="A608" s="31"/>
      <c r="B608" s="32"/>
      <c r="C608" s="32"/>
      <c r="D608" s="31"/>
      <c r="E608" s="37" t="s">
        <v>395</v>
      </c>
      <c r="F608" s="37" t="s">
        <v>394</v>
      </c>
      <c r="G608" s="33" t="s">
        <v>366</v>
      </c>
      <c r="H608" s="31"/>
      <c r="I608" s="32"/>
      <c r="J608" s="101"/>
      <c r="K608" s="32"/>
      <c r="L608" s="100"/>
    </row>
    <row r="609" spans="1:13">
      <c r="A609" s="31"/>
      <c r="B609" s="32"/>
      <c r="C609" s="32"/>
      <c r="D609" s="31"/>
      <c r="E609" s="37" t="s">
        <v>386</v>
      </c>
      <c r="F609" s="37" t="str">
        <f ca="1">IF(VLOOKUP(L604,Dashboard!A:G,2,FALSE)&lt;&gt;"","'plan': true"&amp;CHAR(44)&amp;"'actual': false","")</f>
        <v>'plan': true,'actual': false</v>
      </c>
      <c r="G609" s="33" t="s">
        <v>385</v>
      </c>
      <c r="H609" s="31"/>
      <c r="I609" s="32"/>
      <c r="J609" s="101"/>
      <c r="K609" s="32"/>
      <c r="L609" s="100"/>
    </row>
    <row r="610" spans="1:13" ht="15" thickBot="1">
      <c r="A610" s="31"/>
      <c r="B610" s="32"/>
      <c r="C610" s="32"/>
      <c r="D610" s="28"/>
      <c r="E610" s="43" t="str">
        <f>IF(F610="","//","")&amp;"nestedGroups: ["</f>
        <v>//nestedGroups: [</v>
      </c>
      <c r="F610" s="43"/>
      <c r="G610" s="30" t="s">
        <v>370</v>
      </c>
      <c r="H610" s="31"/>
      <c r="I610" s="32"/>
      <c r="J610" s="101"/>
      <c r="K610" s="32"/>
      <c r="L610" s="100"/>
    </row>
    <row r="611" spans="1:13">
      <c r="A611" s="31"/>
      <c r="B611" s="32"/>
      <c r="C611" s="32"/>
      <c r="D611" s="25" t="s">
        <v>362</v>
      </c>
      <c r="E611" s="41"/>
      <c r="F611" s="41"/>
      <c r="G611" s="27"/>
      <c r="H611" s="31"/>
      <c r="I611" s="32"/>
      <c r="J611" s="101"/>
      <c r="K611" s="32"/>
      <c r="L611" s="100"/>
    </row>
    <row r="612" spans="1:13">
      <c r="A612" s="31"/>
      <c r="B612" s="32"/>
      <c r="C612" s="32"/>
      <c r="D612" s="31"/>
      <c r="E612" s="37" t="str">
        <f ca="1">"id: "&amp;K612</f>
        <v>id: "10.7"</v>
      </c>
      <c r="F612" s="37"/>
      <c r="G612" s="33" t="s">
        <v>366</v>
      </c>
      <c r="H612" s="31"/>
      <c r="I612" s="32"/>
      <c r="J612" s="101">
        <f>$J$2+COUNTA($J$1:J611)</f>
        <v>80</v>
      </c>
      <c r="K612" s="32" t="str">
        <f ca="1">CHAR(34)&amp;L612&amp;CHAR(34)</f>
        <v>"10.7"</v>
      </c>
      <c r="L612" s="100" t="str">
        <f ca="1">INDIRECT("Dashboard!A"&amp;J612)</f>
        <v>10.7</v>
      </c>
      <c r="M612" s="32" t="str">
        <f ca="1">VLOOKUP(L612,Dashboard!A:G,7,FALSE)</f>
        <v>Product usage guide with examples for all the functional usecases</v>
      </c>
    </row>
    <row r="613" spans="1:13">
      <c r="A613" s="31"/>
      <c r="B613" s="32"/>
      <c r="C613" s="32"/>
      <c r="D613" s="31"/>
      <c r="E613" s="37" t="s">
        <v>369</v>
      </c>
      <c r="F613" s="102">
        <f>IF(F618="",2,1)</f>
        <v>2</v>
      </c>
      <c r="G613" s="33" t="s">
        <v>366</v>
      </c>
      <c r="H613" s="31"/>
      <c r="I613" s="32"/>
      <c r="J613" s="101"/>
      <c r="K613" s="32"/>
      <c r="L613" s="100"/>
    </row>
    <row r="614" spans="1:13">
      <c r="A614" s="31"/>
      <c r="B614" s="32"/>
      <c r="C614" s="32"/>
      <c r="D614" s="31"/>
      <c r="E614" s="37" t="s">
        <v>368</v>
      </c>
      <c r="F614" s="37" t="str">
        <f ca="1">M612</f>
        <v>Product usage guide with examples for all the functional usecases</v>
      </c>
      <c r="G614" s="33" t="s">
        <v>367</v>
      </c>
      <c r="H614" s="31"/>
      <c r="I614" s="32"/>
      <c r="J614" s="101"/>
      <c r="K614" s="32"/>
      <c r="L614" s="100"/>
    </row>
    <row r="615" spans="1:13">
      <c r="A615" s="31"/>
      <c r="B615" s="32"/>
      <c r="C615" s="32"/>
      <c r="D615" s="31"/>
      <c r="E615" s="37" t="s">
        <v>374</v>
      </c>
      <c r="F615" s="37"/>
      <c r="G615" s="33" t="s">
        <v>367</v>
      </c>
      <c r="H615" s="31"/>
      <c r="I615" s="32"/>
      <c r="J615" s="101"/>
      <c r="K615" s="32"/>
      <c r="L615" s="100"/>
    </row>
    <row r="616" spans="1:13">
      <c r="A616" s="31"/>
      <c r="B616" s="32"/>
      <c r="C616" s="32"/>
      <c r="D616" s="31"/>
      <c r="E616" s="37" t="s">
        <v>395</v>
      </c>
      <c r="F616" s="37" t="s">
        <v>394</v>
      </c>
      <c r="G616" s="33" t="s">
        <v>366</v>
      </c>
      <c r="H616" s="31"/>
      <c r="I616" s="32"/>
      <c r="J616" s="101"/>
      <c r="K616" s="32"/>
      <c r="L616" s="100"/>
    </row>
    <row r="617" spans="1:13">
      <c r="A617" s="31"/>
      <c r="B617" s="32"/>
      <c r="C617" s="32"/>
      <c r="D617" s="31"/>
      <c r="E617" s="37" t="s">
        <v>386</v>
      </c>
      <c r="F617" s="37" t="str">
        <f ca="1">IF(VLOOKUP(L612,Dashboard!A:G,2,FALSE)&lt;&gt;"","'plan': true"&amp;CHAR(44)&amp;"'actual': false","")</f>
        <v>'plan': true,'actual': false</v>
      </c>
      <c r="G617" s="33" t="s">
        <v>385</v>
      </c>
      <c r="H617" s="31"/>
      <c r="I617" s="32"/>
      <c r="J617" s="101"/>
      <c r="K617" s="32"/>
      <c r="L617" s="100"/>
    </row>
    <row r="618" spans="1:13" ht="15" thickBot="1">
      <c r="A618" s="31"/>
      <c r="B618" s="32"/>
      <c r="C618" s="32"/>
      <c r="D618" s="28"/>
      <c r="E618" s="43" t="str">
        <f>IF(F618="","//","")&amp;"nestedGroups: ["</f>
        <v>//nestedGroups: [</v>
      </c>
      <c r="F618" s="43"/>
      <c r="G618" s="30" t="s">
        <v>370</v>
      </c>
      <c r="H618" s="31"/>
      <c r="I618" s="32"/>
      <c r="J618" s="101"/>
      <c r="K618" s="32"/>
      <c r="L618" s="100"/>
    </row>
    <row r="619" spans="1:13">
      <c r="A619" s="31"/>
      <c r="B619" s="32"/>
      <c r="C619" s="32"/>
      <c r="D619" s="25" t="s">
        <v>362</v>
      </c>
      <c r="E619" s="41"/>
      <c r="F619" s="41"/>
      <c r="G619" s="27"/>
      <c r="H619" s="31"/>
      <c r="I619" s="32"/>
      <c r="J619" s="101"/>
      <c r="K619" s="32"/>
      <c r="L619" s="100"/>
    </row>
    <row r="620" spans="1:13">
      <c r="A620" s="31"/>
      <c r="B620" s="32"/>
      <c r="C620" s="32"/>
      <c r="D620" s="31"/>
      <c r="E620" s="37" t="str">
        <f ca="1">"id: "&amp;K620</f>
        <v>id: "10.8"</v>
      </c>
      <c r="F620" s="37"/>
      <c r="G620" s="33" t="s">
        <v>366</v>
      </c>
      <c r="H620" s="31"/>
      <c r="I620" s="32"/>
      <c r="J620" s="101">
        <f>$J$2+COUNTA($J$1:J619)</f>
        <v>81</v>
      </c>
      <c r="K620" s="32" t="str">
        <f ca="1">CHAR(34)&amp;L620&amp;CHAR(34)</f>
        <v>"10.8"</v>
      </c>
      <c r="L620" s="100" t="str">
        <f ca="1">INDIRECT("Dashboard!A"&amp;J620)</f>
        <v>10.8</v>
      </c>
      <c r="M620" s="32" t="str">
        <f ca="1">VLOOKUP(L620,Dashboard!A:G,7,FALSE)</f>
        <v xml:space="preserve">Test report </v>
      </c>
    </row>
    <row r="621" spans="1:13">
      <c r="A621" s="31"/>
      <c r="B621" s="32"/>
      <c r="C621" s="32"/>
      <c r="D621" s="31"/>
      <c r="E621" s="37" t="s">
        <v>369</v>
      </c>
      <c r="F621" s="102">
        <f>IF(F626="",2,1)</f>
        <v>2</v>
      </c>
      <c r="G621" s="33" t="s">
        <v>366</v>
      </c>
      <c r="H621" s="31"/>
      <c r="I621" s="32"/>
      <c r="J621" s="101"/>
      <c r="K621" s="32"/>
      <c r="L621" s="100"/>
    </row>
    <row r="622" spans="1:13">
      <c r="A622" s="31"/>
      <c r="B622" s="32"/>
      <c r="C622" s="32"/>
      <c r="D622" s="31"/>
      <c r="E622" s="37" t="s">
        <v>368</v>
      </c>
      <c r="F622" s="37" t="str">
        <f ca="1">M620</f>
        <v xml:space="preserve">Test report </v>
      </c>
      <c r="G622" s="33" t="s">
        <v>367</v>
      </c>
      <c r="H622" s="31"/>
      <c r="I622" s="32"/>
      <c r="J622" s="101"/>
      <c r="K622" s="32"/>
      <c r="L622" s="100"/>
    </row>
    <row r="623" spans="1:13">
      <c r="A623" s="31"/>
      <c r="B623" s="32"/>
      <c r="C623" s="32"/>
      <c r="D623" s="31"/>
      <c r="E623" s="37" t="s">
        <v>374</v>
      </c>
      <c r="F623" s="37"/>
      <c r="G623" s="33" t="s">
        <v>367</v>
      </c>
      <c r="H623" s="31"/>
      <c r="I623" s="32"/>
      <c r="J623" s="101"/>
      <c r="K623" s="32"/>
      <c r="L623" s="100"/>
    </row>
    <row r="624" spans="1:13">
      <c r="A624" s="31"/>
      <c r="B624" s="32"/>
      <c r="C624" s="32"/>
      <c r="D624" s="31"/>
      <c r="E624" s="37" t="s">
        <v>395</v>
      </c>
      <c r="F624" s="37" t="s">
        <v>394</v>
      </c>
      <c r="G624" s="33" t="s">
        <v>366</v>
      </c>
      <c r="H624" s="31"/>
      <c r="I624" s="32"/>
      <c r="J624" s="101"/>
      <c r="K624" s="32"/>
      <c r="L624" s="100"/>
    </row>
    <row r="625" spans="1:13">
      <c r="A625" s="31"/>
      <c r="B625" s="32"/>
      <c r="C625" s="32"/>
      <c r="D625" s="31"/>
      <c r="E625" s="37" t="s">
        <v>386</v>
      </c>
      <c r="F625" s="37" t="str">
        <f ca="1">IF(VLOOKUP(L620,Dashboard!A:G,2,FALSE)&lt;&gt;"","'plan': true"&amp;CHAR(44)&amp;"'actual': false","")</f>
        <v>'plan': true,'actual': false</v>
      </c>
      <c r="G625" s="33" t="s">
        <v>385</v>
      </c>
      <c r="H625" s="31"/>
      <c r="I625" s="32"/>
      <c r="J625" s="101"/>
      <c r="K625" s="32"/>
      <c r="L625" s="100"/>
    </row>
    <row r="626" spans="1:13" ht="15" thickBot="1">
      <c r="A626" s="31"/>
      <c r="B626" s="32"/>
      <c r="C626" s="32"/>
      <c r="D626" s="28"/>
      <c r="E626" s="43" t="str">
        <f>IF(F626="","//","")&amp;"nestedGroups: ["</f>
        <v>//nestedGroups: [</v>
      </c>
      <c r="F626" s="43"/>
      <c r="G626" s="30" t="s">
        <v>370</v>
      </c>
      <c r="H626" s="31"/>
      <c r="I626" s="32"/>
      <c r="J626" s="101"/>
      <c r="K626" s="32"/>
      <c r="L626" s="100"/>
    </row>
    <row r="627" spans="1:13">
      <c r="A627" s="31"/>
      <c r="B627" s="32"/>
      <c r="C627" s="32"/>
      <c r="D627" s="25" t="s">
        <v>362</v>
      </c>
      <c r="E627" s="114"/>
      <c r="F627" s="114"/>
      <c r="G627" s="27"/>
      <c r="H627" s="31"/>
      <c r="I627" s="32"/>
      <c r="J627" s="101"/>
      <c r="K627" s="32"/>
      <c r="L627" s="100"/>
    </row>
    <row r="628" spans="1:13">
      <c r="A628" s="31"/>
      <c r="B628" s="32"/>
      <c r="C628" s="32"/>
      <c r="D628" s="31"/>
      <c r="E628" s="37" t="str">
        <f ca="1">"id: "&amp;K628</f>
        <v>id: "11"</v>
      </c>
      <c r="F628" s="37"/>
      <c r="G628" s="33" t="s">
        <v>366</v>
      </c>
      <c r="H628" s="31"/>
      <c r="I628" s="32"/>
      <c r="J628" s="101">
        <f>$J$2+COUNTA($J$1:J627)</f>
        <v>82</v>
      </c>
      <c r="K628" s="32" t="str">
        <f ca="1">CHAR(34)&amp;L628&amp;CHAR(34)</f>
        <v>"11"</v>
      </c>
      <c r="L628" s="100" t="str">
        <f ca="1">INDIRECT("Dashboard!A"&amp;J628)</f>
        <v>11</v>
      </c>
      <c r="M628" s="32" t="str">
        <f ca="1">VLOOKUP(L628,Dashboard!A:G,7,FALSE)</f>
        <v>M10. Decision Engine AI/ML models - Bidder operation</v>
      </c>
    </row>
    <row r="629" spans="1:13">
      <c r="A629" s="31"/>
      <c r="B629" s="32"/>
      <c r="C629" s="32"/>
      <c r="D629" s="31"/>
      <c r="E629" s="37" t="s">
        <v>369</v>
      </c>
      <c r="F629" s="102" t="e">
        <f>IF(F634="",2,1)</f>
        <v>#VALUE!</v>
      </c>
      <c r="G629" s="33" t="s">
        <v>366</v>
      </c>
      <c r="H629" s="31"/>
      <c r="I629" s="32"/>
      <c r="J629" s="101"/>
      <c r="K629" s="32"/>
      <c r="L629" s="100"/>
    </row>
    <row r="630" spans="1:13">
      <c r="A630" s="31"/>
      <c r="B630" s="32"/>
      <c r="C630" s="32"/>
      <c r="D630" s="31"/>
      <c r="E630" s="37" t="s">
        <v>368</v>
      </c>
      <c r="F630" s="37" t="str">
        <f ca="1">M628</f>
        <v>M10. Decision Engine AI/ML models - Bidder operation</v>
      </c>
      <c r="G630" s="33" t="s">
        <v>367</v>
      </c>
      <c r="H630" s="31"/>
      <c r="I630" s="32"/>
      <c r="J630" s="101"/>
      <c r="K630" s="32"/>
      <c r="L630" s="100"/>
    </row>
    <row r="631" spans="1:13">
      <c r="A631" s="31"/>
      <c r="B631" s="32"/>
      <c r="C631" s="32"/>
      <c r="D631" s="31"/>
      <c r="E631" s="37" t="s">
        <v>374</v>
      </c>
      <c r="F631" s="37"/>
      <c r="G631" s="33" t="s">
        <v>367</v>
      </c>
      <c r="H631" s="31"/>
      <c r="I631" s="32"/>
      <c r="J631" s="101"/>
      <c r="K631" s="32"/>
      <c r="L631" s="100"/>
    </row>
    <row r="632" spans="1:13">
      <c r="A632" s="31"/>
      <c r="B632" s="32"/>
      <c r="C632" s="32"/>
      <c r="D632" s="31"/>
      <c r="E632" s="37" t="s">
        <v>395</v>
      </c>
      <c r="F632" s="37" t="s">
        <v>394</v>
      </c>
      <c r="G632" s="33" t="s">
        <v>366</v>
      </c>
      <c r="H632" s="31"/>
      <c r="I632" s="32"/>
      <c r="J632" s="101"/>
      <c r="K632" s="32"/>
      <c r="L632" s="100"/>
    </row>
    <row r="633" spans="1:13">
      <c r="A633" s="31"/>
      <c r="B633" s="32"/>
      <c r="C633" s="32"/>
      <c r="D633" s="31"/>
      <c r="E633" s="37" t="s">
        <v>386</v>
      </c>
      <c r="F633" s="37" t="str">
        <f ca="1">IF(VLOOKUP(L628,Dashboard!A:G,2,FALSE)&lt;&gt;"","'plan': true"&amp;CHAR(44)&amp;"'actual': false","")</f>
        <v>'plan': true,'actual': false</v>
      </c>
      <c r="G633" s="33" t="s">
        <v>385</v>
      </c>
      <c r="H633" s="31"/>
      <c r="I633" s="32" t="s">
        <v>571</v>
      </c>
      <c r="J633" s="101"/>
      <c r="K633" s="32"/>
      <c r="L633" s="100"/>
    </row>
    <row r="634" spans="1:13" ht="15" thickBot="1">
      <c r="A634" s="31"/>
      <c r="B634" s="32"/>
      <c r="C634" s="32"/>
      <c r="D634" s="28"/>
      <c r="E634" s="43" t="e">
        <f>IF(F634="","//","")&amp;"nestedGroups: ["</f>
        <v>#VALUE!</v>
      </c>
      <c r="F634" s="37" t="e">
        <f>nestedGroups(5,I634*$I$2,", ")</f>
        <v>#VALUE!</v>
      </c>
      <c r="G634" s="30" t="s">
        <v>370</v>
      </c>
      <c r="H634" s="31"/>
      <c r="I634" s="3">
        <v>6</v>
      </c>
      <c r="J634" s="101"/>
      <c r="K634" s="32"/>
      <c r="L634" s="100"/>
    </row>
    <row r="635" spans="1:13">
      <c r="A635" s="31"/>
      <c r="B635" s="32"/>
      <c r="C635" s="32"/>
      <c r="D635" s="25" t="s">
        <v>362</v>
      </c>
      <c r="E635" s="41"/>
      <c r="F635" s="41"/>
      <c r="G635" s="27"/>
      <c r="H635" s="31"/>
      <c r="I635" s="32"/>
      <c r="J635" s="101"/>
      <c r="K635" s="32"/>
      <c r="L635" s="100"/>
    </row>
    <row r="636" spans="1:13">
      <c r="A636" s="31"/>
      <c r="B636" s="32"/>
      <c r="C636" s="32"/>
      <c r="D636" s="31"/>
      <c r="E636" s="37" t="str">
        <f ca="1">"id: "&amp;K636</f>
        <v>id: "11.1"</v>
      </c>
      <c r="F636" s="37"/>
      <c r="G636" s="33" t="s">
        <v>366</v>
      </c>
      <c r="H636" s="31"/>
      <c r="I636" s="32"/>
      <c r="J636" s="101">
        <f>$J$2+COUNTA($J$1:J635)</f>
        <v>83</v>
      </c>
      <c r="K636" s="32" t="str">
        <f ca="1">CHAR(34)&amp;L636&amp;CHAR(34)</f>
        <v>"11.1"</v>
      </c>
      <c r="L636" s="100" t="str">
        <f ca="1">INDIRECT("Dashboard!A"&amp;J636)</f>
        <v>11.1</v>
      </c>
      <c r="M636" s="32" t="str">
        <f ca="1">VLOOKUP(L636,Dashboard!A:G,7,FALSE)</f>
        <v>Note : Use data fusion platform to smartly decide bidding operation between energy mode and regulation mode for participation in the energy/ancillary services market.</v>
      </c>
    </row>
    <row r="637" spans="1:13">
      <c r="A637" s="31"/>
      <c r="B637" s="32"/>
      <c r="C637" s="32"/>
      <c r="D637" s="31"/>
      <c r="E637" s="37" t="s">
        <v>369</v>
      </c>
      <c r="F637" s="102">
        <f>IF(F642="",2,1)</f>
        <v>2</v>
      </c>
      <c r="G637" s="33" t="s">
        <v>366</v>
      </c>
      <c r="H637" s="31"/>
      <c r="I637" s="32"/>
      <c r="J637" s="101"/>
      <c r="K637" s="32"/>
      <c r="L637" s="100"/>
    </row>
    <row r="638" spans="1:13">
      <c r="A638" s="31"/>
      <c r="B638" s="32"/>
      <c r="C638" s="32"/>
      <c r="D638" s="31"/>
      <c r="E638" s="37" t="s">
        <v>368</v>
      </c>
      <c r="F638" s="37" t="str">
        <f ca="1">M636</f>
        <v>Note : Use data fusion platform to smartly decide bidding operation between energy mode and regulation mode for participation in the energy/ancillary services market.</v>
      </c>
      <c r="G638" s="33" t="s">
        <v>367</v>
      </c>
      <c r="H638" s="31"/>
      <c r="I638" s="32"/>
      <c r="J638" s="101"/>
      <c r="K638" s="32"/>
      <c r="L638" s="100"/>
    </row>
    <row r="639" spans="1:13">
      <c r="A639" s="31"/>
      <c r="B639" s="32"/>
      <c r="C639" s="32"/>
      <c r="D639" s="31"/>
      <c r="E639" s="37" t="s">
        <v>374</v>
      </c>
      <c r="F639" s="37"/>
      <c r="G639" s="33" t="s">
        <v>367</v>
      </c>
      <c r="H639" s="31"/>
      <c r="I639" s="32"/>
      <c r="J639" s="101"/>
      <c r="K639" s="32"/>
      <c r="L639" s="100"/>
    </row>
    <row r="640" spans="1:13">
      <c r="A640" s="31"/>
      <c r="B640" s="32"/>
      <c r="C640" s="32"/>
      <c r="D640" s="31"/>
      <c r="E640" s="37" t="s">
        <v>395</v>
      </c>
      <c r="F640" s="37" t="s">
        <v>394</v>
      </c>
      <c r="G640" s="33" t="s">
        <v>366</v>
      </c>
      <c r="H640" s="31"/>
      <c r="I640" s="32"/>
      <c r="J640" s="101"/>
      <c r="K640" s="32"/>
      <c r="L640" s="100"/>
    </row>
    <row r="641" spans="1:13">
      <c r="A641" s="31"/>
      <c r="B641" s="32"/>
      <c r="C641" s="32"/>
      <c r="D641" s="31"/>
      <c r="E641" s="37" t="s">
        <v>386</v>
      </c>
      <c r="F641" s="37" t="str">
        <f ca="1">IF(VLOOKUP(L636,Dashboard!A:G,2,FALSE)&lt;&gt;"","'plan': true"&amp;CHAR(44)&amp;"'actual': false","")</f>
        <v/>
      </c>
      <c r="G641" s="33" t="s">
        <v>385</v>
      </c>
      <c r="H641" s="31"/>
      <c r="I641" s="32"/>
      <c r="J641" s="101"/>
      <c r="K641" s="32"/>
      <c r="L641" s="100"/>
    </row>
    <row r="642" spans="1:13" ht="15" thickBot="1">
      <c r="A642" s="31"/>
      <c r="B642" s="32"/>
      <c r="C642" s="32"/>
      <c r="D642" s="28"/>
      <c r="E642" s="43" t="str">
        <f>IF(F642="","//","")&amp;"nestedGroups: ["</f>
        <v>//nestedGroups: [</v>
      </c>
      <c r="F642" s="43"/>
      <c r="G642" s="30" t="s">
        <v>370</v>
      </c>
      <c r="H642" s="31"/>
      <c r="I642" s="32"/>
      <c r="J642" s="101"/>
      <c r="K642" s="32"/>
      <c r="L642" s="100"/>
    </row>
    <row r="643" spans="1:13">
      <c r="A643" s="31"/>
      <c r="B643" s="32"/>
      <c r="C643" s="32"/>
      <c r="D643" s="25" t="s">
        <v>362</v>
      </c>
      <c r="E643" s="41"/>
      <c r="F643" s="41"/>
      <c r="G643" s="27"/>
      <c r="H643" s="31"/>
      <c r="I643" s="32"/>
      <c r="J643" s="101"/>
      <c r="K643" s="32"/>
      <c r="L643" s="100"/>
    </row>
    <row r="644" spans="1:13">
      <c r="A644" s="31"/>
      <c r="B644" s="32"/>
      <c r="C644" s="32"/>
      <c r="D644" s="31"/>
      <c r="E644" s="37" t="str">
        <f ca="1">"id: "&amp;K644</f>
        <v>id: "11.2"</v>
      </c>
      <c r="F644" s="37"/>
      <c r="G644" s="33" t="s">
        <v>366</v>
      </c>
      <c r="H644" s="31"/>
      <c r="I644" s="32"/>
      <c r="J644" s="101">
        <f>$J$2+COUNTA($J$1:J643)</f>
        <v>84</v>
      </c>
      <c r="K644" s="32" t="str">
        <f ca="1">CHAR(34)&amp;L644&amp;CHAR(34)</f>
        <v>"11.2"</v>
      </c>
      <c r="L644" s="100" t="str">
        <f ca="1">INDIRECT("Dashboard!A"&amp;J644)</f>
        <v>11.2</v>
      </c>
      <c r="M644" s="32" t="str">
        <f ca="1">VLOOKUP(L644,Dashboard!A:G,7,FALSE)</f>
        <v>Technical design document explaining the data schema and algorithm</v>
      </c>
    </row>
    <row r="645" spans="1:13">
      <c r="A645" s="31"/>
      <c r="B645" s="32"/>
      <c r="C645" s="32"/>
      <c r="D645" s="31"/>
      <c r="E645" s="37" t="s">
        <v>369</v>
      </c>
      <c r="F645" s="102">
        <f>IF(F650="",2,1)</f>
        <v>2</v>
      </c>
      <c r="G645" s="33" t="s">
        <v>366</v>
      </c>
      <c r="H645" s="31"/>
      <c r="I645" s="32"/>
      <c r="J645" s="101"/>
      <c r="K645" s="32"/>
      <c r="L645" s="100"/>
    </row>
    <row r="646" spans="1:13">
      <c r="A646" s="31"/>
      <c r="B646" s="32"/>
      <c r="C646" s="32"/>
      <c r="D646" s="31"/>
      <c r="E646" s="37" t="s">
        <v>368</v>
      </c>
      <c r="F646" s="37" t="str">
        <f ca="1">M644</f>
        <v>Technical design document explaining the data schema and algorithm</v>
      </c>
      <c r="G646" s="33" t="s">
        <v>367</v>
      </c>
      <c r="H646" s="31"/>
      <c r="I646" s="32"/>
      <c r="J646" s="101"/>
      <c r="K646" s="32"/>
      <c r="L646" s="100"/>
    </row>
    <row r="647" spans="1:13">
      <c r="A647" s="31"/>
      <c r="B647" s="32"/>
      <c r="C647" s="32"/>
      <c r="D647" s="31"/>
      <c r="E647" s="37" t="s">
        <v>374</v>
      </c>
      <c r="F647" s="37"/>
      <c r="G647" s="33" t="s">
        <v>367</v>
      </c>
      <c r="H647" s="31"/>
      <c r="I647" s="32"/>
      <c r="J647" s="101"/>
      <c r="K647" s="32"/>
      <c r="L647" s="100"/>
    </row>
    <row r="648" spans="1:13">
      <c r="A648" s="31"/>
      <c r="B648" s="32"/>
      <c r="C648" s="32"/>
      <c r="D648" s="31"/>
      <c r="E648" s="37" t="s">
        <v>395</v>
      </c>
      <c r="F648" s="37" t="s">
        <v>394</v>
      </c>
      <c r="G648" s="33" t="s">
        <v>366</v>
      </c>
      <c r="H648" s="31"/>
      <c r="I648" s="32"/>
      <c r="J648" s="101"/>
      <c r="K648" s="32"/>
      <c r="L648" s="100"/>
    </row>
    <row r="649" spans="1:13">
      <c r="A649" s="31"/>
      <c r="B649" s="32"/>
      <c r="C649" s="32"/>
      <c r="D649" s="31"/>
      <c r="E649" s="37" t="s">
        <v>386</v>
      </c>
      <c r="F649" s="37" t="str">
        <f ca="1">IF(VLOOKUP(L644,Dashboard!A:G,2,FALSE)&lt;&gt;"","'plan': true"&amp;CHAR(44)&amp;"'actual': false","")</f>
        <v>'plan': true,'actual': false</v>
      </c>
      <c r="G649" s="33" t="s">
        <v>385</v>
      </c>
      <c r="H649" s="31"/>
      <c r="I649" s="32"/>
      <c r="J649" s="101"/>
      <c r="K649" s="32"/>
      <c r="L649" s="100"/>
    </row>
    <row r="650" spans="1:13" ht="15" thickBot="1">
      <c r="A650" s="31"/>
      <c r="B650" s="32"/>
      <c r="C650" s="32"/>
      <c r="D650" s="28"/>
      <c r="E650" s="43" t="str">
        <f>IF(F650="","//","")&amp;"nestedGroups: ["</f>
        <v>//nestedGroups: [</v>
      </c>
      <c r="F650" s="43"/>
      <c r="G650" s="30" t="s">
        <v>370</v>
      </c>
      <c r="H650" s="31"/>
      <c r="I650" s="32"/>
      <c r="J650" s="101"/>
      <c r="K650" s="32"/>
      <c r="L650" s="100"/>
    </row>
    <row r="651" spans="1:13">
      <c r="A651" s="31"/>
      <c r="B651" s="32"/>
      <c r="C651" s="32"/>
      <c r="D651" s="25" t="s">
        <v>362</v>
      </c>
      <c r="E651" s="41"/>
      <c r="F651" s="41"/>
      <c r="G651" s="27"/>
      <c r="H651" s="31"/>
      <c r="I651" s="32"/>
      <c r="J651" s="101"/>
      <c r="K651" s="32"/>
      <c r="L651" s="100"/>
    </row>
    <row r="652" spans="1:13">
      <c r="A652" s="31"/>
      <c r="B652" s="32"/>
      <c r="C652" s="32"/>
      <c r="D652" s="31"/>
      <c r="E652" s="37" t="str">
        <f ca="1">"id: "&amp;K652</f>
        <v>id: "11.3"</v>
      </c>
      <c r="F652" s="37"/>
      <c r="G652" s="33" t="s">
        <v>366</v>
      </c>
      <c r="H652" s="31"/>
      <c r="I652" s="32"/>
      <c r="J652" s="101">
        <f>$J$2+COUNTA($J$1:J651)</f>
        <v>85</v>
      </c>
      <c r="K652" s="32" t="str">
        <f ca="1">CHAR(34)&amp;L652&amp;CHAR(34)</f>
        <v>"11.3"</v>
      </c>
      <c r="L652" s="100" t="str">
        <f ca="1">INDIRECT("Dashboard!A"&amp;J652)</f>
        <v>11.3</v>
      </c>
      <c r="M652" s="32" t="str">
        <f ca="1">VLOOKUP(L652,Dashboard!A:G,7,FALSE)</f>
        <v>Software Code</v>
      </c>
    </row>
    <row r="653" spans="1:13">
      <c r="A653" s="31"/>
      <c r="B653" s="32"/>
      <c r="C653" s="32"/>
      <c r="D653" s="31"/>
      <c r="E653" s="37" t="s">
        <v>369</v>
      </c>
      <c r="F653" s="102">
        <f>IF(F658="",2,1)</f>
        <v>2</v>
      </c>
      <c r="G653" s="33" t="s">
        <v>366</v>
      </c>
      <c r="H653" s="31"/>
      <c r="I653" s="32"/>
      <c r="J653" s="101"/>
      <c r="K653" s="32"/>
      <c r="L653" s="100"/>
    </row>
    <row r="654" spans="1:13">
      <c r="A654" s="31"/>
      <c r="B654" s="32"/>
      <c r="C654" s="32"/>
      <c r="D654" s="31"/>
      <c r="E654" s="37" t="s">
        <v>368</v>
      </c>
      <c r="F654" s="37" t="str">
        <f ca="1">M652</f>
        <v>Software Code</v>
      </c>
      <c r="G654" s="33" t="s">
        <v>367</v>
      </c>
      <c r="H654" s="31"/>
      <c r="I654" s="32"/>
      <c r="J654" s="101"/>
      <c r="K654" s="32"/>
      <c r="L654" s="100"/>
    </row>
    <row r="655" spans="1:13">
      <c r="A655" s="31"/>
      <c r="B655" s="32"/>
      <c r="C655" s="32"/>
      <c r="D655" s="31"/>
      <c r="E655" s="37" t="s">
        <v>374</v>
      </c>
      <c r="F655" s="37"/>
      <c r="G655" s="33" t="s">
        <v>367</v>
      </c>
      <c r="H655" s="31"/>
      <c r="I655" s="32"/>
      <c r="J655" s="101"/>
      <c r="K655" s="32"/>
      <c r="L655" s="100"/>
    </row>
    <row r="656" spans="1:13">
      <c r="A656" s="31"/>
      <c r="B656" s="32"/>
      <c r="C656" s="32"/>
      <c r="D656" s="31"/>
      <c r="E656" s="37" t="s">
        <v>395</v>
      </c>
      <c r="F656" s="37" t="s">
        <v>394</v>
      </c>
      <c r="G656" s="33" t="s">
        <v>366</v>
      </c>
      <c r="H656" s="31"/>
      <c r="I656" s="32"/>
      <c r="J656" s="101"/>
      <c r="K656" s="32"/>
      <c r="L656" s="100"/>
    </row>
    <row r="657" spans="1:13">
      <c r="A657" s="31"/>
      <c r="B657" s="32"/>
      <c r="C657" s="32"/>
      <c r="D657" s="31"/>
      <c r="E657" s="37" t="s">
        <v>386</v>
      </c>
      <c r="F657" s="37" t="str">
        <f ca="1">IF(VLOOKUP(L652,Dashboard!A:G,2,FALSE)&lt;&gt;"","'plan': true"&amp;CHAR(44)&amp;"'actual': false","")</f>
        <v>'plan': true,'actual': false</v>
      </c>
      <c r="G657" s="33" t="s">
        <v>385</v>
      </c>
      <c r="H657" s="31"/>
      <c r="I657" s="32"/>
      <c r="J657" s="101"/>
      <c r="K657" s="32"/>
      <c r="L657" s="100"/>
    </row>
    <row r="658" spans="1:13" ht="15" thickBot="1">
      <c r="A658" s="31"/>
      <c r="B658" s="32"/>
      <c r="C658" s="32"/>
      <c r="D658" s="28"/>
      <c r="E658" s="43" t="str">
        <f>IF(F658="","//","")&amp;"nestedGroups: ["</f>
        <v>//nestedGroups: [</v>
      </c>
      <c r="F658" s="43"/>
      <c r="G658" s="30" t="s">
        <v>370</v>
      </c>
      <c r="H658" s="31"/>
      <c r="I658" s="32"/>
      <c r="J658" s="101"/>
      <c r="K658" s="32"/>
      <c r="L658" s="100"/>
    </row>
    <row r="659" spans="1:13">
      <c r="A659" s="31"/>
      <c r="B659" s="32"/>
      <c r="C659" s="32"/>
      <c r="D659" s="25" t="s">
        <v>362</v>
      </c>
      <c r="E659" s="41"/>
      <c r="F659" s="41"/>
      <c r="G659" s="27"/>
      <c r="H659" s="31"/>
      <c r="I659" s="32"/>
      <c r="J659" s="101"/>
      <c r="K659" s="32"/>
      <c r="L659" s="100"/>
    </row>
    <row r="660" spans="1:13">
      <c r="A660" s="31"/>
      <c r="B660" s="32"/>
      <c r="C660" s="32"/>
      <c r="D660" s="31"/>
      <c r="E660" s="37" t="str">
        <f ca="1">"id: "&amp;K660</f>
        <v>id: "11.4"</v>
      </c>
      <c r="F660" s="37"/>
      <c r="G660" s="33" t="s">
        <v>366</v>
      </c>
      <c r="H660" s="31"/>
      <c r="I660" s="32"/>
      <c r="J660" s="101">
        <f>$J$2+COUNTA($J$1:J659)</f>
        <v>86</v>
      </c>
      <c r="K660" s="32" t="str">
        <f ca="1">CHAR(34)&amp;L660&amp;CHAR(34)</f>
        <v>"11.4"</v>
      </c>
      <c r="L660" s="100" t="str">
        <f ca="1">INDIRECT("Dashboard!A"&amp;J660)</f>
        <v>11.4</v>
      </c>
      <c r="M660" s="32" t="str">
        <f ca="1">VLOOKUP(L660,Dashboard!A:G,7,FALSE)</f>
        <v>Deployment Procedure of the code</v>
      </c>
    </row>
    <row r="661" spans="1:13">
      <c r="A661" s="31"/>
      <c r="B661" s="32"/>
      <c r="C661" s="32"/>
      <c r="D661" s="31"/>
      <c r="E661" s="37" t="s">
        <v>369</v>
      </c>
      <c r="F661" s="102">
        <f>IF(F666="",2,1)</f>
        <v>2</v>
      </c>
      <c r="G661" s="33" t="s">
        <v>366</v>
      </c>
      <c r="H661" s="31"/>
      <c r="I661" s="32"/>
      <c r="J661" s="101"/>
      <c r="K661" s="32"/>
      <c r="L661" s="100"/>
    </row>
    <row r="662" spans="1:13">
      <c r="A662" s="31"/>
      <c r="B662" s="32"/>
      <c r="C662" s="32"/>
      <c r="D662" s="31"/>
      <c r="E662" s="37" t="s">
        <v>368</v>
      </c>
      <c r="F662" s="37" t="str">
        <f ca="1">M660</f>
        <v>Deployment Procedure of the code</v>
      </c>
      <c r="G662" s="33" t="s">
        <v>367</v>
      </c>
      <c r="H662" s="31"/>
      <c r="I662" s="32"/>
      <c r="J662" s="101"/>
      <c r="K662" s="32"/>
      <c r="L662" s="100"/>
    </row>
    <row r="663" spans="1:13">
      <c r="A663" s="31"/>
      <c r="B663" s="32"/>
      <c r="C663" s="32"/>
      <c r="D663" s="31"/>
      <c r="E663" s="37" t="s">
        <v>374</v>
      </c>
      <c r="F663" s="37"/>
      <c r="G663" s="33" t="s">
        <v>367</v>
      </c>
      <c r="H663" s="31"/>
      <c r="I663" s="32"/>
      <c r="J663" s="101"/>
      <c r="K663" s="32"/>
      <c r="L663" s="100"/>
    </row>
    <row r="664" spans="1:13">
      <c r="A664" s="31"/>
      <c r="B664" s="32"/>
      <c r="C664" s="32"/>
      <c r="D664" s="31"/>
      <c r="E664" s="37" t="s">
        <v>395</v>
      </c>
      <c r="F664" s="37" t="s">
        <v>394</v>
      </c>
      <c r="G664" s="33" t="s">
        <v>366</v>
      </c>
      <c r="H664" s="31"/>
      <c r="I664" s="32"/>
      <c r="J664" s="101"/>
      <c r="K664" s="32"/>
      <c r="L664" s="100"/>
    </row>
    <row r="665" spans="1:13">
      <c r="A665" s="31"/>
      <c r="B665" s="32"/>
      <c r="C665" s="32"/>
      <c r="D665" s="31"/>
      <c r="E665" s="37" t="s">
        <v>386</v>
      </c>
      <c r="F665" s="37" t="str">
        <f ca="1">IF(VLOOKUP(L660,Dashboard!A:G,2,FALSE)&lt;&gt;"","'plan': true"&amp;CHAR(44)&amp;"'actual': false","")</f>
        <v>'plan': true,'actual': false</v>
      </c>
      <c r="G665" s="33" t="s">
        <v>385</v>
      </c>
      <c r="H665" s="31"/>
      <c r="I665" s="32"/>
      <c r="J665" s="101"/>
      <c r="K665" s="32"/>
      <c r="L665" s="100"/>
    </row>
    <row r="666" spans="1:13" ht="15" thickBot="1">
      <c r="A666" s="31"/>
      <c r="B666" s="32"/>
      <c r="C666" s="32"/>
      <c r="D666" s="28"/>
      <c r="E666" s="43" t="str">
        <f>IF(F666="","//","")&amp;"nestedGroups: ["</f>
        <v>//nestedGroups: [</v>
      </c>
      <c r="F666" s="43"/>
      <c r="G666" s="30" t="s">
        <v>370</v>
      </c>
      <c r="H666" s="31"/>
      <c r="I666" s="32"/>
      <c r="J666" s="101"/>
      <c r="K666" s="32"/>
      <c r="L666" s="100"/>
    </row>
    <row r="667" spans="1:13">
      <c r="A667" s="31"/>
      <c r="B667" s="32"/>
      <c r="C667" s="32"/>
      <c r="D667" s="25" t="s">
        <v>362</v>
      </c>
      <c r="E667" s="41"/>
      <c r="F667" s="41"/>
      <c r="G667" s="27"/>
      <c r="H667" s="31"/>
      <c r="I667" s="32"/>
      <c r="J667" s="101"/>
      <c r="K667" s="32"/>
      <c r="L667" s="100"/>
    </row>
    <row r="668" spans="1:13">
      <c r="A668" s="31"/>
      <c r="B668" s="32"/>
      <c r="C668" s="32"/>
      <c r="D668" s="31"/>
      <c r="E668" s="37" t="str">
        <f ca="1">"id: "&amp;K668</f>
        <v>id: "11.5"</v>
      </c>
      <c r="F668" s="37"/>
      <c r="G668" s="33" t="s">
        <v>366</v>
      </c>
      <c r="H668" s="31"/>
      <c r="I668" s="32"/>
      <c r="J668" s="101">
        <f>$J$2+COUNTA($J$1:J667)</f>
        <v>87</v>
      </c>
      <c r="K668" s="32" t="str">
        <f ca="1">CHAR(34)&amp;L668&amp;CHAR(34)</f>
        <v>"11.5"</v>
      </c>
      <c r="L668" s="100" t="str">
        <f ca="1">INDIRECT("Dashboard!A"&amp;J668)</f>
        <v>11.5</v>
      </c>
      <c r="M668" s="32" t="str">
        <f ca="1">VLOOKUP(L668,Dashboard!A:G,7,FALSE)</f>
        <v>Product usage guide with examples for all the functional usecases</v>
      </c>
    </row>
    <row r="669" spans="1:13">
      <c r="A669" s="31"/>
      <c r="B669" s="32"/>
      <c r="C669" s="32"/>
      <c r="D669" s="31"/>
      <c r="E669" s="37" t="s">
        <v>369</v>
      </c>
      <c r="F669" s="102">
        <f>IF(F674="",2,1)</f>
        <v>2</v>
      </c>
      <c r="G669" s="33" t="s">
        <v>366</v>
      </c>
      <c r="H669" s="31"/>
      <c r="I669" s="32"/>
      <c r="J669" s="101"/>
      <c r="K669" s="32"/>
      <c r="L669" s="100"/>
    </row>
    <row r="670" spans="1:13">
      <c r="A670" s="31"/>
      <c r="B670" s="32"/>
      <c r="C670" s="32"/>
      <c r="D670" s="31"/>
      <c r="E670" s="37" t="s">
        <v>368</v>
      </c>
      <c r="F670" s="37" t="str">
        <f ca="1">M668</f>
        <v>Product usage guide with examples for all the functional usecases</v>
      </c>
      <c r="G670" s="33" t="s">
        <v>367</v>
      </c>
      <c r="H670" s="31"/>
      <c r="I670" s="32"/>
      <c r="J670" s="101"/>
      <c r="K670" s="32"/>
      <c r="L670" s="100"/>
    </row>
    <row r="671" spans="1:13">
      <c r="A671" s="31"/>
      <c r="B671" s="32"/>
      <c r="C671" s="32"/>
      <c r="D671" s="31"/>
      <c r="E671" s="37" t="s">
        <v>374</v>
      </c>
      <c r="F671" s="37"/>
      <c r="G671" s="33" t="s">
        <v>367</v>
      </c>
      <c r="H671" s="31"/>
      <c r="I671" s="32"/>
      <c r="J671" s="101"/>
      <c r="K671" s="32"/>
      <c r="L671" s="100"/>
    </row>
    <row r="672" spans="1:13">
      <c r="A672" s="31"/>
      <c r="B672" s="32"/>
      <c r="C672" s="32"/>
      <c r="D672" s="31"/>
      <c r="E672" s="37" t="s">
        <v>395</v>
      </c>
      <c r="F672" s="37" t="s">
        <v>394</v>
      </c>
      <c r="G672" s="33" t="s">
        <v>366</v>
      </c>
      <c r="H672" s="31"/>
      <c r="I672" s="32"/>
      <c r="J672" s="101"/>
      <c r="K672" s="32"/>
      <c r="L672" s="100"/>
    </row>
    <row r="673" spans="1:13">
      <c r="A673" s="31"/>
      <c r="B673" s="32"/>
      <c r="C673" s="32"/>
      <c r="D673" s="31"/>
      <c r="E673" s="37" t="s">
        <v>386</v>
      </c>
      <c r="F673" s="37" t="str">
        <f ca="1">IF(VLOOKUP(L668,Dashboard!A:G,2,FALSE)&lt;&gt;"","'plan': true"&amp;CHAR(44)&amp;"'actual': false","")</f>
        <v>'plan': true,'actual': false</v>
      </c>
      <c r="G673" s="33" t="s">
        <v>385</v>
      </c>
      <c r="H673" s="31"/>
      <c r="I673" s="32"/>
      <c r="J673" s="101"/>
      <c r="K673" s="32"/>
      <c r="L673" s="100"/>
    </row>
    <row r="674" spans="1:13" ht="15" thickBot="1">
      <c r="A674" s="31"/>
      <c r="B674" s="32"/>
      <c r="C674" s="32"/>
      <c r="D674" s="28"/>
      <c r="E674" s="43" t="str">
        <f>IF(F674="","//","")&amp;"nestedGroups: ["</f>
        <v>//nestedGroups: [</v>
      </c>
      <c r="F674" s="43"/>
      <c r="G674" s="30" t="s">
        <v>370</v>
      </c>
      <c r="H674" s="31"/>
      <c r="I674" s="32"/>
      <c r="J674" s="101"/>
      <c r="K674" s="32"/>
      <c r="L674" s="100"/>
    </row>
    <row r="675" spans="1:13">
      <c r="A675" s="31"/>
      <c r="B675" s="32"/>
      <c r="C675" s="32"/>
      <c r="D675" s="25" t="s">
        <v>362</v>
      </c>
      <c r="E675" s="41"/>
      <c r="F675" s="41"/>
      <c r="G675" s="27"/>
      <c r="H675" s="31"/>
      <c r="I675" s="32"/>
      <c r="J675" s="101"/>
      <c r="K675" s="32"/>
      <c r="L675" s="100"/>
    </row>
    <row r="676" spans="1:13">
      <c r="A676" s="31"/>
      <c r="B676" s="32"/>
      <c r="C676" s="32"/>
      <c r="D676" s="31"/>
      <c r="E676" s="37" t="str">
        <f ca="1">"id: "&amp;K676</f>
        <v>id: "11.6"</v>
      </c>
      <c r="F676" s="37"/>
      <c r="G676" s="33" t="s">
        <v>366</v>
      </c>
      <c r="H676" s="31"/>
      <c r="I676" s="32"/>
      <c r="J676" s="101">
        <f>$J$2+COUNTA($J$1:J675)</f>
        <v>88</v>
      </c>
      <c r="K676" s="32" t="str">
        <f ca="1">CHAR(34)&amp;L676&amp;CHAR(34)</f>
        <v>"11.6"</v>
      </c>
      <c r="L676" s="100" t="str">
        <f ca="1">INDIRECT("Dashboard!A"&amp;J676)</f>
        <v>11.6</v>
      </c>
      <c r="M676" s="32" t="str">
        <f ca="1">VLOOKUP(L676,Dashboard!A:G,7,FALSE)</f>
        <v xml:space="preserve">Test report </v>
      </c>
    </row>
    <row r="677" spans="1:13">
      <c r="A677" s="31"/>
      <c r="B677" s="32"/>
      <c r="C677" s="32"/>
      <c r="D677" s="31"/>
      <c r="E677" s="37" t="s">
        <v>369</v>
      </c>
      <c r="F677" s="102">
        <f>IF(F682="",2,1)</f>
        <v>2</v>
      </c>
      <c r="G677" s="33" t="s">
        <v>366</v>
      </c>
      <c r="H677" s="31"/>
      <c r="I677" s="32"/>
      <c r="J677" s="101"/>
      <c r="K677" s="32"/>
      <c r="L677" s="100"/>
    </row>
    <row r="678" spans="1:13">
      <c r="A678" s="31"/>
      <c r="B678" s="32"/>
      <c r="C678" s="32"/>
      <c r="D678" s="31"/>
      <c r="E678" s="37" t="s">
        <v>368</v>
      </c>
      <c r="F678" s="37" t="str">
        <f ca="1">M676</f>
        <v xml:space="preserve">Test report </v>
      </c>
      <c r="G678" s="33" t="s">
        <v>367</v>
      </c>
      <c r="H678" s="31"/>
      <c r="I678" s="32"/>
      <c r="J678" s="101"/>
      <c r="K678" s="32"/>
      <c r="L678" s="100"/>
    </row>
    <row r="679" spans="1:13">
      <c r="A679" s="31"/>
      <c r="B679" s="32"/>
      <c r="C679" s="32"/>
      <c r="D679" s="31"/>
      <c r="E679" s="37" t="s">
        <v>374</v>
      </c>
      <c r="F679" s="37"/>
      <c r="G679" s="33" t="s">
        <v>367</v>
      </c>
      <c r="H679" s="31"/>
      <c r="I679" s="32"/>
      <c r="J679" s="101"/>
      <c r="K679" s="32"/>
      <c r="L679" s="100"/>
    </row>
    <row r="680" spans="1:13">
      <c r="A680" s="31"/>
      <c r="B680" s="32"/>
      <c r="C680" s="32"/>
      <c r="D680" s="31"/>
      <c r="E680" s="37" t="s">
        <v>395</v>
      </c>
      <c r="F680" s="37" t="s">
        <v>394</v>
      </c>
      <c r="G680" s="33" t="s">
        <v>366</v>
      </c>
      <c r="H680" s="31"/>
      <c r="I680" s="32"/>
      <c r="J680" s="101"/>
      <c r="K680" s="32"/>
      <c r="L680" s="100"/>
    </row>
    <row r="681" spans="1:13">
      <c r="A681" s="31"/>
      <c r="B681" s="32"/>
      <c r="C681" s="32"/>
      <c r="D681" s="31"/>
      <c r="E681" s="37" t="s">
        <v>386</v>
      </c>
      <c r="F681" s="37" t="str">
        <f ca="1">IF(VLOOKUP(L676,Dashboard!A:G,2,FALSE)&lt;&gt;"","'plan': true"&amp;CHAR(44)&amp;"'actual': false","")</f>
        <v>'plan': true,'actual': false</v>
      </c>
      <c r="G681" s="33" t="s">
        <v>385</v>
      </c>
      <c r="H681" s="31"/>
      <c r="I681" s="32"/>
      <c r="J681" s="101"/>
      <c r="K681" s="32"/>
      <c r="L681" s="100"/>
    </row>
    <row r="682" spans="1:13" ht="15" thickBot="1">
      <c r="A682" s="31"/>
      <c r="B682" s="32"/>
      <c r="C682" s="32"/>
      <c r="D682" s="28"/>
      <c r="E682" s="43" t="str">
        <f>IF(F682="","//","")&amp;"nestedGroups: ["</f>
        <v>//nestedGroups: [</v>
      </c>
      <c r="F682" s="43"/>
      <c r="G682" s="30" t="s">
        <v>370</v>
      </c>
      <c r="H682" s="31"/>
      <c r="I682" s="32"/>
      <c r="J682" s="101"/>
      <c r="K682" s="32"/>
      <c r="L682" s="100"/>
    </row>
    <row r="683" spans="1:13">
      <c r="A683" s="31"/>
      <c r="B683" s="32"/>
      <c r="C683" s="32"/>
      <c r="D683" s="25" t="s">
        <v>362</v>
      </c>
      <c r="E683" s="114"/>
      <c r="F683" s="114"/>
      <c r="G683" s="27"/>
      <c r="H683" s="31"/>
      <c r="I683" s="32"/>
      <c r="J683" s="101"/>
      <c r="K683" s="32"/>
      <c r="L683" s="100"/>
    </row>
    <row r="684" spans="1:13">
      <c r="A684" s="31"/>
      <c r="B684" s="32"/>
      <c r="C684" s="32"/>
      <c r="D684" s="31"/>
      <c r="E684" s="37" t="str">
        <f ca="1">"id: "&amp;K684</f>
        <v>id: "12"</v>
      </c>
      <c r="F684" s="37"/>
      <c r="G684" s="33" t="s">
        <v>366</v>
      </c>
      <c r="H684" s="31"/>
      <c r="I684" s="32"/>
      <c r="J684" s="101">
        <f>$J$2+COUNTA($J$1:J683)</f>
        <v>89</v>
      </c>
      <c r="K684" s="32" t="str">
        <f ca="1">CHAR(34)&amp;L684&amp;CHAR(34)</f>
        <v>"12"</v>
      </c>
      <c r="L684" s="100" t="str">
        <f ca="1">INDIRECT("Dashboard!A"&amp;J684)</f>
        <v>12</v>
      </c>
      <c r="M684" s="32" t="str">
        <f ca="1">VLOOKUP(L684,Dashboard!A:G,7,FALSE)</f>
        <v>M11. Decision Engine AI/ML models - Preventive maintenance of Battery module and inverter asset</v>
      </c>
    </row>
    <row r="685" spans="1:13">
      <c r="A685" s="31"/>
      <c r="B685" s="32"/>
      <c r="C685" s="32"/>
      <c r="D685" s="31"/>
      <c r="E685" s="37" t="s">
        <v>369</v>
      </c>
      <c r="F685" s="102" t="e">
        <f>IF(F690="",2,1)</f>
        <v>#VALUE!</v>
      </c>
      <c r="G685" s="33" t="s">
        <v>366</v>
      </c>
      <c r="H685" s="31"/>
      <c r="I685" s="32"/>
      <c r="J685" s="101"/>
      <c r="K685" s="32"/>
      <c r="L685" s="100"/>
    </row>
    <row r="686" spans="1:13">
      <c r="A686" s="31"/>
      <c r="B686" s="32"/>
      <c r="C686" s="32"/>
      <c r="D686" s="31"/>
      <c r="E686" s="37" t="s">
        <v>368</v>
      </c>
      <c r="F686" s="37" t="str">
        <f ca="1">M684</f>
        <v>M11. Decision Engine AI/ML models - Preventive maintenance of Battery module and inverter asset</v>
      </c>
      <c r="G686" s="33" t="s">
        <v>367</v>
      </c>
      <c r="H686" s="31"/>
      <c r="I686" s="32"/>
      <c r="J686" s="101"/>
      <c r="K686" s="32"/>
      <c r="L686" s="100"/>
    </row>
    <row r="687" spans="1:13">
      <c r="A687" s="31"/>
      <c r="B687" s="32"/>
      <c r="C687" s="32"/>
      <c r="D687" s="31"/>
      <c r="E687" s="37" t="s">
        <v>374</v>
      </c>
      <c r="F687" s="37"/>
      <c r="G687" s="33" t="s">
        <v>367</v>
      </c>
      <c r="H687" s="31"/>
      <c r="I687" s="32"/>
      <c r="J687" s="101"/>
      <c r="K687" s="32"/>
      <c r="L687" s="100"/>
    </row>
    <row r="688" spans="1:13">
      <c r="A688" s="31"/>
      <c r="B688" s="32"/>
      <c r="C688" s="32"/>
      <c r="D688" s="31"/>
      <c r="E688" s="37" t="s">
        <v>395</v>
      </c>
      <c r="F688" s="37" t="s">
        <v>394</v>
      </c>
      <c r="G688" s="33" t="s">
        <v>366</v>
      </c>
      <c r="H688" s="31"/>
      <c r="I688" s="32"/>
      <c r="J688" s="101"/>
      <c r="K688" s="32"/>
      <c r="L688" s="100"/>
    </row>
    <row r="689" spans="1:13">
      <c r="A689" s="31"/>
      <c r="B689" s="32"/>
      <c r="C689" s="32"/>
      <c r="D689" s="31"/>
      <c r="E689" s="37" t="s">
        <v>386</v>
      </c>
      <c r="F689" s="37" t="str">
        <f ca="1">IF(VLOOKUP(L684,Dashboard!A:G,2,FALSE)&lt;&gt;"","'plan': true"&amp;CHAR(44)&amp;"'actual': false","")</f>
        <v>'plan': true,'actual': false</v>
      </c>
      <c r="G689" s="33" t="s">
        <v>385</v>
      </c>
      <c r="H689" s="31"/>
      <c r="I689" s="32" t="s">
        <v>571</v>
      </c>
      <c r="J689" s="101"/>
      <c r="K689" s="32"/>
      <c r="L689" s="100"/>
    </row>
    <row r="690" spans="1:13" ht="15" thickBot="1">
      <c r="A690" s="31"/>
      <c r="B690" s="32"/>
      <c r="C690" s="32"/>
      <c r="D690" s="28"/>
      <c r="E690" s="43" t="e">
        <f>IF(F690="","//","")&amp;"nestedGroups: ["</f>
        <v>#VALUE!</v>
      </c>
      <c r="F690" s="37" t="e">
        <f>nestedGroups(5,I690*$I$2,", ")</f>
        <v>#VALUE!</v>
      </c>
      <c r="G690" s="30" t="s">
        <v>370</v>
      </c>
      <c r="H690" s="31"/>
      <c r="I690" s="3">
        <v>6</v>
      </c>
      <c r="J690" s="101"/>
      <c r="K690" s="32"/>
      <c r="L690" s="100"/>
    </row>
    <row r="691" spans="1:13">
      <c r="A691" s="31"/>
      <c r="B691" s="32"/>
      <c r="C691" s="32"/>
      <c r="D691" s="25" t="s">
        <v>362</v>
      </c>
      <c r="E691" s="41"/>
      <c r="F691" s="41"/>
      <c r="G691" s="27"/>
      <c r="H691" s="31"/>
      <c r="I691" s="32"/>
      <c r="J691" s="101"/>
      <c r="K691" s="32"/>
      <c r="L691" s="100"/>
    </row>
    <row r="692" spans="1:13">
      <c r="A692" s="31"/>
      <c r="B692" s="32"/>
      <c r="C692" s="32"/>
      <c r="D692" s="31"/>
      <c r="E692" s="37" t="str">
        <f ca="1">"id: "&amp;K692</f>
        <v>id: "12.1"</v>
      </c>
      <c r="F692" s="37"/>
      <c r="G692" s="33" t="s">
        <v>366</v>
      </c>
      <c r="H692" s="31"/>
      <c r="I692" s="32"/>
      <c r="J692" s="101">
        <f>$J$2+COUNTA($J$1:J691)</f>
        <v>90</v>
      </c>
      <c r="K692" s="32" t="str">
        <f ca="1">CHAR(34)&amp;L692&amp;CHAR(34)</f>
        <v>"12.1"</v>
      </c>
      <c r="L692" s="100" t="str">
        <f ca="1">INDIRECT("Dashboard!A"&amp;J692)</f>
        <v>12.1</v>
      </c>
      <c r="M692" s="32" t="str">
        <f ca="1">VLOOKUP(L692,Dashboard!A:G,7,FALSE)</f>
        <v>Note : Use data fusion platform to find faults in the assets</v>
      </c>
    </row>
    <row r="693" spans="1:13">
      <c r="A693" s="31"/>
      <c r="B693" s="32"/>
      <c r="C693" s="32"/>
      <c r="D693" s="31"/>
      <c r="E693" s="37" t="s">
        <v>369</v>
      </c>
      <c r="F693" s="102">
        <f>IF(F698="",2,1)</f>
        <v>2</v>
      </c>
      <c r="G693" s="33" t="s">
        <v>366</v>
      </c>
      <c r="H693" s="31"/>
      <c r="I693" s="32"/>
      <c r="J693" s="101"/>
      <c r="K693" s="32"/>
      <c r="L693" s="100"/>
    </row>
    <row r="694" spans="1:13">
      <c r="A694" s="31"/>
      <c r="B694" s="32"/>
      <c r="C694" s="32"/>
      <c r="D694" s="31"/>
      <c r="E694" s="37" t="s">
        <v>368</v>
      </c>
      <c r="F694" s="37" t="str">
        <f ca="1">M692</f>
        <v>Note : Use data fusion platform to find faults in the assets</v>
      </c>
      <c r="G694" s="33" t="s">
        <v>367</v>
      </c>
      <c r="H694" s="31"/>
      <c r="I694" s="32"/>
      <c r="J694" s="101"/>
      <c r="K694" s="32"/>
      <c r="L694" s="100"/>
    </row>
    <row r="695" spans="1:13">
      <c r="A695" s="31"/>
      <c r="B695" s="32"/>
      <c r="C695" s="32"/>
      <c r="D695" s="31"/>
      <c r="E695" s="37" t="s">
        <v>374</v>
      </c>
      <c r="F695" s="37"/>
      <c r="G695" s="33" t="s">
        <v>367</v>
      </c>
      <c r="H695" s="31"/>
      <c r="I695" s="32"/>
      <c r="J695" s="101"/>
      <c r="K695" s="32"/>
      <c r="L695" s="100"/>
    </row>
    <row r="696" spans="1:13">
      <c r="A696" s="31"/>
      <c r="B696" s="32"/>
      <c r="C696" s="32"/>
      <c r="D696" s="31"/>
      <c r="E696" s="37" t="s">
        <v>395</v>
      </c>
      <c r="F696" s="37" t="s">
        <v>394</v>
      </c>
      <c r="G696" s="33" t="s">
        <v>366</v>
      </c>
      <c r="H696" s="31"/>
      <c r="I696" s="32"/>
      <c r="J696" s="101"/>
      <c r="K696" s="32"/>
      <c r="L696" s="100"/>
    </row>
    <row r="697" spans="1:13">
      <c r="A697" s="31"/>
      <c r="B697" s="32"/>
      <c r="C697" s="32"/>
      <c r="D697" s="31"/>
      <c r="E697" s="37" t="s">
        <v>386</v>
      </c>
      <c r="F697" s="37" t="str">
        <f ca="1">IF(VLOOKUP(L692,Dashboard!A:G,2,FALSE)&lt;&gt;"","'plan': true"&amp;CHAR(44)&amp;"'actual': false","")</f>
        <v/>
      </c>
      <c r="G697" s="33" t="s">
        <v>385</v>
      </c>
      <c r="H697" s="31"/>
      <c r="I697" s="32"/>
      <c r="J697" s="101"/>
      <c r="K697" s="32"/>
      <c r="L697" s="100"/>
    </row>
    <row r="698" spans="1:13" ht="15" thickBot="1">
      <c r="A698" s="31"/>
      <c r="B698" s="32"/>
      <c r="C698" s="32"/>
      <c r="D698" s="28"/>
      <c r="E698" s="43" t="str">
        <f>IF(F698="","//","")&amp;"nestedGroups: ["</f>
        <v>//nestedGroups: [</v>
      </c>
      <c r="F698" s="43"/>
      <c r="G698" s="30" t="s">
        <v>370</v>
      </c>
      <c r="H698" s="31"/>
      <c r="I698" s="32"/>
      <c r="J698" s="101"/>
      <c r="K698" s="32"/>
      <c r="L698" s="100"/>
    </row>
    <row r="699" spans="1:13">
      <c r="A699" s="31"/>
      <c r="B699" s="32"/>
      <c r="C699" s="32"/>
      <c r="D699" s="25" t="s">
        <v>362</v>
      </c>
      <c r="E699" s="41"/>
      <c r="F699" s="41"/>
      <c r="G699" s="27"/>
      <c r="H699" s="31"/>
      <c r="I699" s="32"/>
      <c r="J699" s="101"/>
      <c r="K699" s="32"/>
      <c r="L699" s="100"/>
    </row>
    <row r="700" spans="1:13">
      <c r="A700" s="31"/>
      <c r="B700" s="32"/>
      <c r="C700" s="32"/>
      <c r="D700" s="31"/>
      <c r="E700" s="37" t="str">
        <f ca="1">"id: "&amp;K700</f>
        <v>id: "12.2"</v>
      </c>
      <c r="F700" s="37"/>
      <c r="G700" s="33" t="s">
        <v>366</v>
      </c>
      <c r="H700" s="31"/>
      <c r="I700" s="32"/>
      <c r="J700" s="101">
        <f>$J$2+COUNTA($J$1:J699)</f>
        <v>91</v>
      </c>
      <c r="K700" s="32" t="str">
        <f ca="1">CHAR(34)&amp;L700&amp;CHAR(34)</f>
        <v>"12.2"</v>
      </c>
      <c r="L700" s="100" t="str">
        <f ca="1">INDIRECT("Dashboard!A"&amp;J700)</f>
        <v>12.2</v>
      </c>
      <c r="M700" s="32" t="str">
        <f ca="1">VLOOKUP(L700,Dashboard!A:G,7,FALSE)</f>
        <v>Technical design document explaining the data schema and algorithm</v>
      </c>
    </row>
    <row r="701" spans="1:13">
      <c r="A701" s="31"/>
      <c r="B701" s="32"/>
      <c r="C701" s="32"/>
      <c r="D701" s="31"/>
      <c r="E701" s="37" t="s">
        <v>369</v>
      </c>
      <c r="F701" s="102">
        <f>IF(F706="",2,1)</f>
        <v>2</v>
      </c>
      <c r="G701" s="33" t="s">
        <v>366</v>
      </c>
      <c r="H701" s="31"/>
      <c r="I701" s="32"/>
      <c r="J701" s="101"/>
      <c r="K701" s="32"/>
      <c r="L701" s="100"/>
    </row>
    <row r="702" spans="1:13">
      <c r="A702" s="31"/>
      <c r="B702" s="32"/>
      <c r="C702" s="32"/>
      <c r="D702" s="31"/>
      <c r="E702" s="37" t="s">
        <v>368</v>
      </c>
      <c r="F702" s="37" t="str">
        <f ca="1">M700</f>
        <v>Technical design document explaining the data schema and algorithm</v>
      </c>
      <c r="G702" s="33" t="s">
        <v>367</v>
      </c>
      <c r="H702" s="31"/>
      <c r="I702" s="32"/>
      <c r="J702" s="101"/>
      <c r="K702" s="32"/>
      <c r="L702" s="100"/>
    </row>
    <row r="703" spans="1:13">
      <c r="A703" s="31"/>
      <c r="B703" s="32"/>
      <c r="C703" s="32"/>
      <c r="D703" s="31"/>
      <c r="E703" s="37" t="s">
        <v>374</v>
      </c>
      <c r="F703" s="37"/>
      <c r="G703" s="33" t="s">
        <v>367</v>
      </c>
      <c r="H703" s="31"/>
      <c r="I703" s="32"/>
      <c r="J703" s="101"/>
      <c r="K703" s="32"/>
      <c r="L703" s="100"/>
    </row>
    <row r="704" spans="1:13">
      <c r="A704" s="31"/>
      <c r="B704" s="32"/>
      <c r="C704" s="32"/>
      <c r="D704" s="31"/>
      <c r="E704" s="37" t="s">
        <v>395</v>
      </c>
      <c r="F704" s="37" t="s">
        <v>394</v>
      </c>
      <c r="G704" s="33" t="s">
        <v>366</v>
      </c>
      <c r="H704" s="31"/>
      <c r="I704" s="32"/>
      <c r="J704" s="101"/>
      <c r="K704" s="32"/>
      <c r="L704" s="100"/>
    </row>
    <row r="705" spans="1:13">
      <c r="A705" s="31"/>
      <c r="B705" s="32"/>
      <c r="C705" s="32"/>
      <c r="D705" s="31"/>
      <c r="E705" s="37" t="s">
        <v>386</v>
      </c>
      <c r="F705" s="37" t="str">
        <f ca="1">IF(VLOOKUP(L700,Dashboard!A:G,2,FALSE)&lt;&gt;"","'plan': true"&amp;CHAR(44)&amp;"'actual': false","")</f>
        <v>'plan': true,'actual': false</v>
      </c>
      <c r="G705" s="33" t="s">
        <v>385</v>
      </c>
      <c r="H705" s="31"/>
      <c r="I705" s="32"/>
      <c r="J705" s="101"/>
      <c r="K705" s="32"/>
      <c r="L705" s="100"/>
    </row>
    <row r="706" spans="1:13" ht="15" thickBot="1">
      <c r="A706" s="31"/>
      <c r="B706" s="32"/>
      <c r="C706" s="32"/>
      <c r="D706" s="28"/>
      <c r="E706" s="43" t="str">
        <f>IF(F706="","//","")&amp;"nestedGroups: ["</f>
        <v>//nestedGroups: [</v>
      </c>
      <c r="F706" s="43"/>
      <c r="G706" s="30" t="s">
        <v>370</v>
      </c>
      <c r="H706" s="31"/>
      <c r="I706" s="32"/>
      <c r="J706" s="101"/>
      <c r="K706" s="32"/>
      <c r="L706" s="100"/>
    </row>
    <row r="707" spans="1:13">
      <c r="A707" s="31"/>
      <c r="B707" s="32"/>
      <c r="C707" s="32"/>
      <c r="D707" s="25" t="s">
        <v>362</v>
      </c>
      <c r="E707" s="41"/>
      <c r="F707" s="41"/>
      <c r="G707" s="27"/>
      <c r="H707" s="31"/>
      <c r="I707" s="32"/>
      <c r="J707" s="101"/>
      <c r="K707" s="32"/>
      <c r="L707" s="100"/>
    </row>
    <row r="708" spans="1:13">
      <c r="A708" s="31"/>
      <c r="B708" s="32"/>
      <c r="C708" s="32"/>
      <c r="D708" s="31"/>
      <c r="E708" s="37" t="str">
        <f ca="1">"id: "&amp;K708</f>
        <v>id: "12.3"</v>
      </c>
      <c r="F708" s="37"/>
      <c r="G708" s="33" t="s">
        <v>366</v>
      </c>
      <c r="H708" s="31"/>
      <c r="I708" s="32"/>
      <c r="J708" s="101">
        <f>$J$2+COUNTA($J$1:J707)</f>
        <v>92</v>
      </c>
      <c r="K708" s="32" t="str">
        <f ca="1">CHAR(34)&amp;L708&amp;CHAR(34)</f>
        <v>"12.3"</v>
      </c>
      <c r="L708" s="100" t="str">
        <f ca="1">INDIRECT("Dashboard!A"&amp;J708)</f>
        <v>12.3</v>
      </c>
      <c r="M708" s="32" t="str">
        <f ca="1">VLOOKUP(L708,Dashboard!A:G,7,FALSE)</f>
        <v>Software Code</v>
      </c>
    </row>
    <row r="709" spans="1:13">
      <c r="A709" s="31"/>
      <c r="B709" s="32"/>
      <c r="C709" s="32"/>
      <c r="D709" s="31"/>
      <c r="E709" s="37" t="s">
        <v>369</v>
      </c>
      <c r="F709" s="102">
        <f>IF(F714="",2,1)</f>
        <v>2</v>
      </c>
      <c r="G709" s="33" t="s">
        <v>366</v>
      </c>
      <c r="H709" s="31"/>
      <c r="I709" s="32"/>
      <c r="J709" s="101"/>
      <c r="K709" s="32"/>
      <c r="L709" s="100"/>
    </row>
    <row r="710" spans="1:13">
      <c r="A710" s="31"/>
      <c r="B710" s="32"/>
      <c r="C710" s="32"/>
      <c r="D710" s="31"/>
      <c r="E710" s="37" t="s">
        <v>368</v>
      </c>
      <c r="F710" s="37" t="str">
        <f ca="1">M708</f>
        <v>Software Code</v>
      </c>
      <c r="G710" s="33" t="s">
        <v>367</v>
      </c>
      <c r="H710" s="31"/>
      <c r="I710" s="32"/>
      <c r="J710" s="101"/>
      <c r="K710" s="32"/>
      <c r="L710" s="100"/>
    </row>
    <row r="711" spans="1:13">
      <c r="A711" s="31"/>
      <c r="B711" s="32"/>
      <c r="C711" s="32"/>
      <c r="D711" s="31"/>
      <c r="E711" s="37" t="s">
        <v>374</v>
      </c>
      <c r="F711" s="37"/>
      <c r="G711" s="33" t="s">
        <v>367</v>
      </c>
      <c r="H711" s="31"/>
      <c r="I711" s="32"/>
      <c r="J711" s="101"/>
      <c r="K711" s="32"/>
      <c r="L711" s="100"/>
    </row>
    <row r="712" spans="1:13">
      <c r="A712" s="31"/>
      <c r="B712" s="32"/>
      <c r="C712" s="32"/>
      <c r="D712" s="31"/>
      <c r="E712" s="37" t="s">
        <v>395</v>
      </c>
      <c r="F712" s="37" t="s">
        <v>394</v>
      </c>
      <c r="G712" s="33" t="s">
        <v>366</v>
      </c>
      <c r="H712" s="31"/>
      <c r="I712" s="32"/>
      <c r="J712" s="101"/>
      <c r="K712" s="32"/>
      <c r="L712" s="100"/>
    </row>
    <row r="713" spans="1:13">
      <c r="A713" s="31"/>
      <c r="B713" s="32"/>
      <c r="C713" s="32"/>
      <c r="D713" s="31"/>
      <c r="E713" s="37" t="s">
        <v>386</v>
      </c>
      <c r="F713" s="37" t="str">
        <f ca="1">IF(VLOOKUP(L708,Dashboard!A:G,2,FALSE)&lt;&gt;"","'plan': true"&amp;CHAR(44)&amp;"'actual': false","")</f>
        <v>'plan': true,'actual': false</v>
      </c>
      <c r="G713" s="33" t="s">
        <v>385</v>
      </c>
      <c r="H713" s="31"/>
      <c r="I713" s="32"/>
      <c r="J713" s="101"/>
      <c r="K713" s="32"/>
      <c r="L713" s="100"/>
    </row>
    <row r="714" spans="1:13" ht="15" thickBot="1">
      <c r="A714" s="31"/>
      <c r="B714" s="32"/>
      <c r="C714" s="32"/>
      <c r="D714" s="28"/>
      <c r="E714" s="43" t="str">
        <f>IF(F714="","//","")&amp;"nestedGroups: ["</f>
        <v>//nestedGroups: [</v>
      </c>
      <c r="F714" s="43"/>
      <c r="G714" s="30" t="s">
        <v>370</v>
      </c>
      <c r="H714" s="31"/>
      <c r="I714" s="32"/>
      <c r="J714" s="101"/>
      <c r="K714" s="32"/>
      <c r="L714" s="100"/>
    </row>
    <row r="715" spans="1:13">
      <c r="A715" s="31"/>
      <c r="B715" s="32"/>
      <c r="C715" s="32"/>
      <c r="D715" s="25" t="s">
        <v>362</v>
      </c>
      <c r="E715" s="41"/>
      <c r="F715" s="41"/>
      <c r="G715" s="27"/>
      <c r="H715" s="31"/>
      <c r="I715" s="32"/>
      <c r="J715" s="101"/>
      <c r="K715" s="32"/>
      <c r="L715" s="100"/>
    </row>
    <row r="716" spans="1:13">
      <c r="A716" s="31"/>
      <c r="B716" s="32"/>
      <c r="C716" s="32"/>
      <c r="D716" s="31"/>
      <c r="E716" s="37" t="str">
        <f ca="1">"id: "&amp;K716</f>
        <v>id: "12.4"</v>
      </c>
      <c r="F716" s="37"/>
      <c r="G716" s="33" t="s">
        <v>366</v>
      </c>
      <c r="H716" s="31"/>
      <c r="I716" s="32"/>
      <c r="J716" s="101">
        <f>$J$2+COUNTA($J$1:J715)</f>
        <v>93</v>
      </c>
      <c r="K716" s="32" t="str">
        <f ca="1">CHAR(34)&amp;L716&amp;CHAR(34)</f>
        <v>"12.4"</v>
      </c>
      <c r="L716" s="100" t="str">
        <f ca="1">INDIRECT("Dashboard!A"&amp;J716)</f>
        <v>12.4</v>
      </c>
      <c r="M716" s="32" t="str">
        <f ca="1">VLOOKUP(L716,Dashboard!A:G,7,FALSE)</f>
        <v>Deployment Procedure of the code</v>
      </c>
    </row>
    <row r="717" spans="1:13">
      <c r="A717" s="31"/>
      <c r="B717" s="32"/>
      <c r="C717" s="32"/>
      <c r="D717" s="31"/>
      <c r="E717" s="37" t="s">
        <v>369</v>
      </c>
      <c r="F717" s="102">
        <f>IF(F722="",2,1)</f>
        <v>2</v>
      </c>
      <c r="G717" s="33" t="s">
        <v>366</v>
      </c>
      <c r="H717" s="31"/>
      <c r="I717" s="32"/>
      <c r="J717" s="101"/>
      <c r="K717" s="32"/>
      <c r="L717" s="100"/>
    </row>
    <row r="718" spans="1:13">
      <c r="A718" s="31"/>
      <c r="B718" s="32"/>
      <c r="C718" s="32"/>
      <c r="D718" s="31"/>
      <c r="E718" s="37" t="s">
        <v>368</v>
      </c>
      <c r="F718" s="37" t="str">
        <f ca="1">M716</f>
        <v>Deployment Procedure of the code</v>
      </c>
      <c r="G718" s="33" t="s">
        <v>367</v>
      </c>
      <c r="H718" s="31"/>
      <c r="I718" s="32"/>
      <c r="J718" s="101"/>
      <c r="K718" s="32"/>
      <c r="L718" s="100"/>
    </row>
    <row r="719" spans="1:13">
      <c r="A719" s="31"/>
      <c r="B719" s="32"/>
      <c r="C719" s="32"/>
      <c r="D719" s="31"/>
      <c r="E719" s="37" t="s">
        <v>374</v>
      </c>
      <c r="F719" s="37"/>
      <c r="G719" s="33" t="s">
        <v>367</v>
      </c>
      <c r="H719" s="31"/>
      <c r="I719" s="32"/>
      <c r="J719" s="101"/>
      <c r="K719" s="32"/>
      <c r="L719" s="100"/>
    </row>
    <row r="720" spans="1:13">
      <c r="A720" s="31"/>
      <c r="B720" s="32"/>
      <c r="C720" s="32"/>
      <c r="D720" s="31"/>
      <c r="E720" s="37" t="s">
        <v>395</v>
      </c>
      <c r="F720" s="37" t="s">
        <v>394</v>
      </c>
      <c r="G720" s="33" t="s">
        <v>366</v>
      </c>
      <c r="H720" s="31"/>
      <c r="I720" s="32"/>
      <c r="J720" s="101"/>
      <c r="K720" s="32"/>
      <c r="L720" s="100"/>
    </row>
    <row r="721" spans="1:13">
      <c r="A721" s="31"/>
      <c r="B721" s="32"/>
      <c r="C721" s="32"/>
      <c r="D721" s="31"/>
      <c r="E721" s="37" t="s">
        <v>386</v>
      </c>
      <c r="F721" s="37" t="str">
        <f ca="1">IF(VLOOKUP(L716,Dashboard!A:G,2,FALSE)&lt;&gt;"","'plan': true"&amp;CHAR(44)&amp;"'actual': false","")</f>
        <v>'plan': true,'actual': false</v>
      </c>
      <c r="G721" s="33" t="s">
        <v>385</v>
      </c>
      <c r="H721" s="31"/>
      <c r="I721" s="32"/>
      <c r="J721" s="101"/>
      <c r="K721" s="32"/>
      <c r="L721" s="100"/>
    </row>
    <row r="722" spans="1:13" ht="15" thickBot="1">
      <c r="A722" s="31"/>
      <c r="B722" s="32"/>
      <c r="C722" s="32"/>
      <c r="D722" s="28"/>
      <c r="E722" s="43" t="str">
        <f>IF(F722="","//","")&amp;"nestedGroups: ["</f>
        <v>//nestedGroups: [</v>
      </c>
      <c r="F722" s="43"/>
      <c r="G722" s="30" t="s">
        <v>370</v>
      </c>
      <c r="H722" s="31"/>
      <c r="I722" s="32"/>
      <c r="J722" s="101"/>
      <c r="K722" s="32"/>
      <c r="L722" s="100"/>
    </row>
    <row r="723" spans="1:13">
      <c r="A723" s="31"/>
      <c r="B723" s="32"/>
      <c r="C723" s="32"/>
      <c r="D723" s="25" t="s">
        <v>362</v>
      </c>
      <c r="E723" s="41"/>
      <c r="F723" s="41"/>
      <c r="G723" s="27"/>
      <c r="H723" s="31"/>
      <c r="I723" s="32"/>
      <c r="J723" s="101"/>
      <c r="K723" s="32"/>
      <c r="L723" s="100"/>
    </row>
    <row r="724" spans="1:13">
      <c r="A724" s="31"/>
      <c r="B724" s="32"/>
      <c r="C724" s="32"/>
      <c r="D724" s="31"/>
      <c r="E724" s="37" t="str">
        <f ca="1">"id: "&amp;K724</f>
        <v>id: "12.5"</v>
      </c>
      <c r="F724" s="37"/>
      <c r="G724" s="33" t="s">
        <v>366</v>
      </c>
      <c r="H724" s="31"/>
      <c r="I724" s="32"/>
      <c r="J724" s="101">
        <f>$J$2+COUNTA($J$1:J723)</f>
        <v>94</v>
      </c>
      <c r="K724" s="32" t="str">
        <f ca="1">CHAR(34)&amp;L724&amp;CHAR(34)</f>
        <v>"12.5"</v>
      </c>
      <c r="L724" s="100" t="str">
        <f ca="1">INDIRECT("Dashboard!A"&amp;J724)</f>
        <v>12.5</v>
      </c>
      <c r="M724" s="32" t="str">
        <f ca="1">VLOOKUP(L724,Dashboard!A:G,7,FALSE)</f>
        <v>Product usage guide with examples for all the functional usecases</v>
      </c>
    </row>
    <row r="725" spans="1:13">
      <c r="A725" s="31"/>
      <c r="B725" s="32"/>
      <c r="C725" s="32"/>
      <c r="D725" s="31"/>
      <c r="E725" s="37" t="s">
        <v>369</v>
      </c>
      <c r="F725" s="102">
        <f>IF(F730="",2,1)</f>
        <v>2</v>
      </c>
      <c r="G725" s="33" t="s">
        <v>366</v>
      </c>
      <c r="H725" s="31"/>
      <c r="I725" s="32"/>
      <c r="J725" s="101"/>
      <c r="K725" s="32"/>
      <c r="L725" s="100"/>
    </row>
    <row r="726" spans="1:13">
      <c r="A726" s="31"/>
      <c r="B726" s="32"/>
      <c r="C726" s="32"/>
      <c r="D726" s="31"/>
      <c r="E726" s="37" t="s">
        <v>368</v>
      </c>
      <c r="F726" s="37" t="str">
        <f ca="1">M724</f>
        <v>Product usage guide with examples for all the functional usecases</v>
      </c>
      <c r="G726" s="33" t="s">
        <v>367</v>
      </c>
      <c r="H726" s="31"/>
      <c r="I726" s="32"/>
      <c r="J726" s="101"/>
      <c r="K726" s="32"/>
      <c r="L726" s="100"/>
    </row>
    <row r="727" spans="1:13">
      <c r="A727" s="31"/>
      <c r="B727" s="32"/>
      <c r="C727" s="32"/>
      <c r="D727" s="31"/>
      <c r="E727" s="37" t="s">
        <v>374</v>
      </c>
      <c r="F727" s="37"/>
      <c r="G727" s="33" t="s">
        <v>367</v>
      </c>
      <c r="H727" s="31"/>
      <c r="I727" s="32"/>
      <c r="J727" s="101"/>
      <c r="K727" s="32"/>
      <c r="L727" s="100"/>
    </row>
    <row r="728" spans="1:13">
      <c r="A728" s="31"/>
      <c r="B728" s="32"/>
      <c r="C728" s="32"/>
      <c r="D728" s="31"/>
      <c r="E728" s="37" t="s">
        <v>395</v>
      </c>
      <c r="F728" s="37" t="s">
        <v>394</v>
      </c>
      <c r="G728" s="33" t="s">
        <v>366</v>
      </c>
      <c r="H728" s="31"/>
      <c r="I728" s="32"/>
      <c r="J728" s="101"/>
      <c r="K728" s="32"/>
      <c r="L728" s="100"/>
    </row>
    <row r="729" spans="1:13">
      <c r="A729" s="31"/>
      <c r="B729" s="32"/>
      <c r="C729" s="32"/>
      <c r="D729" s="31"/>
      <c r="E729" s="37" t="s">
        <v>386</v>
      </c>
      <c r="F729" s="37" t="str">
        <f ca="1">IF(VLOOKUP(L724,Dashboard!A:G,2,FALSE)&lt;&gt;"","'plan': true"&amp;CHAR(44)&amp;"'actual': false","")</f>
        <v>'plan': true,'actual': false</v>
      </c>
      <c r="G729" s="33" t="s">
        <v>385</v>
      </c>
      <c r="H729" s="31"/>
      <c r="I729" s="32"/>
      <c r="J729" s="101"/>
      <c r="K729" s="32"/>
      <c r="L729" s="100"/>
    </row>
    <row r="730" spans="1:13" ht="15" thickBot="1">
      <c r="A730" s="31"/>
      <c r="B730" s="32"/>
      <c r="C730" s="32"/>
      <c r="D730" s="28"/>
      <c r="E730" s="43" t="str">
        <f>IF(F730="","//","")&amp;"nestedGroups: ["</f>
        <v>//nestedGroups: [</v>
      </c>
      <c r="F730" s="43"/>
      <c r="G730" s="30" t="s">
        <v>370</v>
      </c>
      <c r="H730" s="31"/>
      <c r="I730" s="32"/>
      <c r="J730" s="101"/>
      <c r="K730" s="32"/>
      <c r="L730" s="100"/>
    </row>
    <row r="731" spans="1:13">
      <c r="A731" s="31"/>
      <c r="B731" s="32"/>
      <c r="C731" s="32"/>
      <c r="D731" s="25" t="s">
        <v>362</v>
      </c>
      <c r="E731" s="41"/>
      <c r="F731" s="41"/>
      <c r="G731" s="27"/>
      <c r="H731" s="31"/>
      <c r="I731" s="32"/>
      <c r="J731" s="101"/>
      <c r="K731" s="32"/>
      <c r="L731" s="100"/>
    </row>
    <row r="732" spans="1:13">
      <c r="A732" s="31"/>
      <c r="B732" s="32"/>
      <c r="C732" s="32"/>
      <c r="D732" s="31"/>
      <c r="E732" s="37" t="str">
        <f ca="1">"id: "&amp;K732</f>
        <v>id: "12.6"</v>
      </c>
      <c r="F732" s="37"/>
      <c r="G732" s="33" t="s">
        <v>366</v>
      </c>
      <c r="H732" s="31"/>
      <c r="I732" s="32"/>
      <c r="J732" s="101">
        <f>$J$2+COUNTA($J$1:J731)</f>
        <v>95</v>
      </c>
      <c r="K732" s="32" t="str">
        <f ca="1">CHAR(34)&amp;L732&amp;CHAR(34)</f>
        <v>"12.6"</v>
      </c>
      <c r="L732" s="100" t="str">
        <f ca="1">INDIRECT("Dashboard!A"&amp;J732)</f>
        <v>12.6</v>
      </c>
      <c r="M732" s="32" t="str">
        <f ca="1">VLOOKUP(L732,Dashboard!A:G,7,FALSE)</f>
        <v xml:space="preserve">Test report </v>
      </c>
    </row>
    <row r="733" spans="1:13">
      <c r="A733" s="31"/>
      <c r="B733" s="32"/>
      <c r="C733" s="32"/>
      <c r="D733" s="31"/>
      <c r="E733" s="37" t="s">
        <v>369</v>
      </c>
      <c r="F733" s="102">
        <f>IF(F738="",2,1)</f>
        <v>2</v>
      </c>
      <c r="G733" s="33" t="s">
        <v>366</v>
      </c>
      <c r="H733" s="31"/>
      <c r="I733" s="32"/>
      <c r="J733" s="101"/>
      <c r="K733" s="32"/>
      <c r="L733" s="100"/>
    </row>
    <row r="734" spans="1:13">
      <c r="A734" s="31"/>
      <c r="B734" s="32"/>
      <c r="C734" s="32"/>
      <c r="D734" s="31"/>
      <c r="E734" s="37" t="s">
        <v>368</v>
      </c>
      <c r="F734" s="37" t="str">
        <f ca="1">M732</f>
        <v xml:space="preserve">Test report </v>
      </c>
      <c r="G734" s="33" t="s">
        <v>367</v>
      </c>
      <c r="H734" s="31"/>
      <c r="I734" s="32"/>
      <c r="J734" s="101"/>
      <c r="K734" s="32"/>
      <c r="L734" s="100"/>
    </row>
    <row r="735" spans="1:13">
      <c r="A735" s="31"/>
      <c r="B735" s="32"/>
      <c r="C735" s="32"/>
      <c r="D735" s="31"/>
      <c r="E735" s="37" t="s">
        <v>374</v>
      </c>
      <c r="F735" s="37"/>
      <c r="G735" s="33" t="s">
        <v>367</v>
      </c>
      <c r="H735" s="31"/>
      <c r="I735" s="32"/>
      <c r="J735" s="101"/>
      <c r="K735" s="32"/>
      <c r="L735" s="100"/>
    </row>
    <row r="736" spans="1:13">
      <c r="A736" s="31"/>
      <c r="B736" s="32"/>
      <c r="C736" s="32"/>
      <c r="D736" s="31"/>
      <c r="E736" s="37" t="s">
        <v>395</v>
      </c>
      <c r="F736" s="37" t="s">
        <v>394</v>
      </c>
      <c r="G736" s="33" t="s">
        <v>366</v>
      </c>
      <c r="H736" s="31"/>
      <c r="I736" s="32"/>
      <c r="J736" s="101"/>
      <c r="K736" s="32"/>
      <c r="L736" s="100"/>
    </row>
    <row r="737" spans="1:13">
      <c r="A737" s="31"/>
      <c r="B737" s="32"/>
      <c r="C737" s="32"/>
      <c r="D737" s="31"/>
      <c r="E737" s="37" t="s">
        <v>386</v>
      </c>
      <c r="F737" s="37" t="str">
        <f ca="1">IF(VLOOKUP(L732,Dashboard!A:G,2,FALSE)&lt;&gt;"","'plan': true"&amp;CHAR(44)&amp;"'actual': false","")</f>
        <v>'plan': true,'actual': false</v>
      </c>
      <c r="G737" s="33" t="s">
        <v>385</v>
      </c>
      <c r="H737" s="31"/>
      <c r="I737" s="32"/>
      <c r="J737" s="101"/>
      <c r="K737" s="32"/>
      <c r="L737" s="100"/>
    </row>
    <row r="738" spans="1:13" ht="15" thickBot="1">
      <c r="A738" s="31"/>
      <c r="B738" s="32"/>
      <c r="C738" s="32"/>
      <c r="D738" s="28"/>
      <c r="E738" s="43" t="str">
        <f>IF(F738="","//","")&amp;"nestedGroups: ["</f>
        <v>//nestedGroups: [</v>
      </c>
      <c r="F738" s="43"/>
      <c r="G738" s="30" t="s">
        <v>370</v>
      </c>
      <c r="H738" s="31"/>
      <c r="I738" s="32"/>
      <c r="J738" s="101"/>
      <c r="K738" s="32"/>
      <c r="L738" s="100"/>
    </row>
    <row r="739" spans="1:13">
      <c r="A739" s="31"/>
      <c r="B739" s="32"/>
      <c r="C739" s="32"/>
      <c r="D739" s="25" t="s">
        <v>362</v>
      </c>
      <c r="E739" s="114"/>
      <c r="F739" s="114"/>
      <c r="G739" s="27"/>
      <c r="H739" s="31"/>
      <c r="I739" s="32"/>
      <c r="J739" s="101"/>
      <c r="K739" s="32"/>
      <c r="L739" s="100"/>
    </row>
    <row r="740" spans="1:13">
      <c r="A740" s="31"/>
      <c r="B740" s="32"/>
      <c r="C740" s="32"/>
      <c r="D740" s="31"/>
      <c r="E740" s="37" t="str">
        <f ca="1">"id: "&amp;K740</f>
        <v>id: "13"</v>
      </c>
      <c r="F740" s="37"/>
      <c r="G740" s="33" t="s">
        <v>366</v>
      </c>
      <c r="H740" s="31"/>
      <c r="I740" s="32"/>
      <c r="J740" s="101">
        <f>$J$2+COUNTA($J$1:J739)</f>
        <v>96</v>
      </c>
      <c r="K740" s="32" t="str">
        <f ca="1">CHAR(34)&amp;L740&amp;CHAR(34)</f>
        <v>"13"</v>
      </c>
      <c r="L740" s="100" t="str">
        <f ca="1">INDIRECT("Dashboard!A"&amp;J740)</f>
        <v>13</v>
      </c>
      <c r="M740" s="32" t="str">
        <f ca="1">VLOOKUP(L740,Dashboard!A:G,7,FALSE)</f>
        <v>M12. Decision Engine AI/ML models - Preventive maintenance of PV panel &amp; inverter asset</v>
      </c>
    </row>
    <row r="741" spans="1:13">
      <c r="A741" s="31"/>
      <c r="B741" s="32"/>
      <c r="C741" s="32"/>
      <c r="D741" s="31"/>
      <c r="E741" s="37" t="s">
        <v>369</v>
      </c>
      <c r="F741" s="102" t="e">
        <f>IF(F746="",2,1)</f>
        <v>#VALUE!</v>
      </c>
      <c r="G741" s="33" t="s">
        <v>366</v>
      </c>
      <c r="H741" s="31"/>
      <c r="I741" s="32"/>
      <c r="J741" s="101"/>
      <c r="K741" s="32"/>
      <c r="L741" s="100"/>
    </row>
    <row r="742" spans="1:13">
      <c r="A742" s="31"/>
      <c r="B742" s="32"/>
      <c r="C742" s="32"/>
      <c r="D742" s="31"/>
      <c r="E742" s="37" t="s">
        <v>368</v>
      </c>
      <c r="F742" s="37" t="str">
        <f ca="1">M740</f>
        <v>M12. Decision Engine AI/ML models - Preventive maintenance of PV panel &amp; inverter asset</v>
      </c>
      <c r="G742" s="33" t="s">
        <v>367</v>
      </c>
      <c r="H742" s="31"/>
      <c r="I742" s="32"/>
      <c r="J742" s="101"/>
      <c r="K742" s="32"/>
      <c r="L742" s="100"/>
    </row>
    <row r="743" spans="1:13">
      <c r="A743" s="31"/>
      <c r="B743" s="32"/>
      <c r="C743" s="32"/>
      <c r="D743" s="31"/>
      <c r="E743" s="37" t="s">
        <v>374</v>
      </c>
      <c r="F743" s="37"/>
      <c r="G743" s="33" t="s">
        <v>367</v>
      </c>
      <c r="H743" s="31"/>
      <c r="I743" s="32"/>
      <c r="J743" s="101"/>
      <c r="K743" s="32"/>
      <c r="L743" s="100"/>
    </row>
    <row r="744" spans="1:13">
      <c r="A744" s="31"/>
      <c r="B744" s="32"/>
      <c r="C744" s="32"/>
      <c r="D744" s="31"/>
      <c r="E744" s="37" t="s">
        <v>395</v>
      </c>
      <c r="F744" s="37" t="s">
        <v>394</v>
      </c>
      <c r="G744" s="33" t="s">
        <v>366</v>
      </c>
      <c r="H744" s="31"/>
      <c r="I744" s="32"/>
      <c r="J744" s="101"/>
      <c r="K744" s="32"/>
      <c r="L744" s="100"/>
    </row>
    <row r="745" spans="1:13">
      <c r="A745" s="31"/>
      <c r="B745" s="32"/>
      <c r="C745" s="32"/>
      <c r="D745" s="31"/>
      <c r="E745" s="37" t="s">
        <v>386</v>
      </c>
      <c r="F745" s="37" t="str">
        <f ca="1">IF(VLOOKUP(L740,Dashboard!A:G,2,FALSE)&lt;&gt;"","'plan': true"&amp;CHAR(44)&amp;"'actual': false","")</f>
        <v>'plan': true,'actual': false</v>
      </c>
      <c r="G745" s="33" t="s">
        <v>385</v>
      </c>
      <c r="H745" s="31"/>
      <c r="I745" s="32" t="s">
        <v>571</v>
      </c>
      <c r="J745" s="101"/>
      <c r="K745" s="32"/>
      <c r="L745" s="100"/>
    </row>
    <row r="746" spans="1:13" ht="15" thickBot="1">
      <c r="A746" s="31"/>
      <c r="B746" s="32"/>
      <c r="C746" s="32"/>
      <c r="D746" s="28"/>
      <c r="E746" s="43" t="e">
        <f>IF(F746="","//","")&amp;"nestedGroups: ["</f>
        <v>#VALUE!</v>
      </c>
      <c r="F746" s="37" t="e">
        <f>nestedGroups(5,I746*$I$2,", ")</f>
        <v>#VALUE!</v>
      </c>
      <c r="G746" s="30" t="s">
        <v>370</v>
      </c>
      <c r="H746" s="31"/>
      <c r="I746" s="3">
        <v>6</v>
      </c>
      <c r="J746" s="101"/>
      <c r="K746" s="32"/>
      <c r="L746" s="100"/>
    </row>
    <row r="747" spans="1:13">
      <c r="A747" s="31"/>
      <c r="B747" s="32"/>
      <c r="C747" s="32"/>
      <c r="D747" s="25" t="s">
        <v>362</v>
      </c>
      <c r="E747" s="41"/>
      <c r="F747" s="41"/>
      <c r="G747" s="27"/>
      <c r="H747" s="31"/>
      <c r="I747" s="32"/>
      <c r="J747" s="101"/>
      <c r="K747" s="32"/>
      <c r="L747" s="100"/>
    </row>
    <row r="748" spans="1:13">
      <c r="A748" s="31"/>
      <c r="B748" s="32"/>
      <c r="C748" s="32"/>
      <c r="D748" s="31"/>
      <c r="E748" s="37" t="str">
        <f ca="1">"id: "&amp;K748</f>
        <v>id: "13.1"</v>
      </c>
      <c r="F748" s="37"/>
      <c r="G748" s="33" t="s">
        <v>366</v>
      </c>
      <c r="H748" s="31"/>
      <c r="I748" s="32"/>
      <c r="J748" s="101">
        <f>$J$2+COUNTA($J$1:J747)</f>
        <v>97</v>
      </c>
      <c r="K748" s="32" t="str">
        <f ca="1">CHAR(34)&amp;L748&amp;CHAR(34)</f>
        <v>"13.1"</v>
      </c>
      <c r="L748" s="100" t="str">
        <f ca="1">INDIRECT("Dashboard!A"&amp;J748)</f>
        <v>13.1</v>
      </c>
      <c r="M748" s="32" t="str">
        <f ca="1">VLOOKUP(L748,Dashboard!A:G,7,FALSE)</f>
        <v>Note : Use datafusion platform to find faults in the assets</v>
      </c>
    </row>
    <row r="749" spans="1:13">
      <c r="A749" s="31"/>
      <c r="B749" s="32"/>
      <c r="C749" s="32"/>
      <c r="D749" s="31"/>
      <c r="E749" s="37" t="s">
        <v>369</v>
      </c>
      <c r="F749" s="102">
        <f>IF(F754="",2,1)</f>
        <v>2</v>
      </c>
      <c r="G749" s="33" t="s">
        <v>366</v>
      </c>
      <c r="H749" s="31"/>
      <c r="I749" s="32"/>
      <c r="J749" s="101"/>
      <c r="K749" s="32"/>
      <c r="L749" s="100"/>
    </row>
    <row r="750" spans="1:13">
      <c r="A750" s="31"/>
      <c r="B750" s="32"/>
      <c r="C750" s="32"/>
      <c r="D750" s="31"/>
      <c r="E750" s="37" t="s">
        <v>368</v>
      </c>
      <c r="F750" s="37" t="str">
        <f ca="1">M748</f>
        <v>Note : Use datafusion platform to find faults in the assets</v>
      </c>
      <c r="G750" s="33" t="s">
        <v>367</v>
      </c>
      <c r="H750" s="31"/>
      <c r="I750" s="32"/>
      <c r="J750" s="101"/>
      <c r="K750" s="32"/>
      <c r="L750" s="100"/>
    </row>
    <row r="751" spans="1:13">
      <c r="A751" s="31"/>
      <c r="B751" s="32"/>
      <c r="C751" s="32"/>
      <c r="D751" s="31"/>
      <c r="E751" s="37" t="s">
        <v>374</v>
      </c>
      <c r="F751" s="37"/>
      <c r="G751" s="33" t="s">
        <v>367</v>
      </c>
      <c r="H751" s="31"/>
      <c r="I751" s="32"/>
      <c r="J751" s="101"/>
      <c r="K751" s="32"/>
      <c r="L751" s="100"/>
    </row>
    <row r="752" spans="1:13">
      <c r="A752" s="31"/>
      <c r="B752" s="32"/>
      <c r="C752" s="32"/>
      <c r="D752" s="31"/>
      <c r="E752" s="37" t="s">
        <v>395</v>
      </c>
      <c r="F752" s="37" t="s">
        <v>394</v>
      </c>
      <c r="G752" s="33" t="s">
        <v>366</v>
      </c>
      <c r="H752" s="31"/>
      <c r="I752" s="32"/>
      <c r="J752" s="101"/>
      <c r="K752" s="32"/>
      <c r="L752" s="100"/>
    </row>
    <row r="753" spans="1:13">
      <c r="A753" s="31"/>
      <c r="B753" s="32"/>
      <c r="C753" s="32"/>
      <c r="D753" s="31"/>
      <c r="E753" s="37" t="s">
        <v>386</v>
      </c>
      <c r="F753" s="37" t="str">
        <f ca="1">IF(VLOOKUP(L748,Dashboard!A:G,2,FALSE)&lt;&gt;"","'plan': true"&amp;CHAR(44)&amp;"'actual': false","")</f>
        <v/>
      </c>
      <c r="G753" s="33" t="s">
        <v>385</v>
      </c>
      <c r="H753" s="31"/>
      <c r="I753" s="32"/>
      <c r="J753" s="101"/>
      <c r="K753" s="32"/>
      <c r="L753" s="100"/>
    </row>
    <row r="754" spans="1:13" ht="15" thickBot="1">
      <c r="A754" s="31"/>
      <c r="B754" s="32"/>
      <c r="C754" s="32"/>
      <c r="D754" s="28"/>
      <c r="E754" s="43" t="str">
        <f>IF(F754="","//","")&amp;"nestedGroups: ["</f>
        <v>//nestedGroups: [</v>
      </c>
      <c r="F754" s="43"/>
      <c r="G754" s="30" t="s">
        <v>370</v>
      </c>
      <c r="H754" s="31"/>
      <c r="I754" s="32"/>
      <c r="J754" s="101"/>
      <c r="K754" s="32"/>
      <c r="L754" s="100"/>
    </row>
    <row r="755" spans="1:13">
      <c r="A755" s="31"/>
      <c r="B755" s="32"/>
      <c r="C755" s="32"/>
      <c r="D755" s="25" t="s">
        <v>362</v>
      </c>
      <c r="E755" s="41"/>
      <c r="F755" s="41"/>
      <c r="G755" s="27"/>
      <c r="H755" s="31"/>
      <c r="I755" s="32"/>
      <c r="J755" s="101"/>
      <c r="K755" s="32"/>
      <c r="L755" s="100"/>
    </row>
    <row r="756" spans="1:13">
      <c r="A756" s="31"/>
      <c r="B756" s="32"/>
      <c r="C756" s="32"/>
      <c r="D756" s="31"/>
      <c r="E756" s="37" t="str">
        <f ca="1">"id: "&amp;K756</f>
        <v>id: "13.2"</v>
      </c>
      <c r="F756" s="37"/>
      <c r="G756" s="33" t="s">
        <v>366</v>
      </c>
      <c r="H756" s="31"/>
      <c r="I756" s="32"/>
      <c r="J756" s="101">
        <f>$J$2+COUNTA($J$1:J755)</f>
        <v>98</v>
      </c>
      <c r="K756" s="32" t="str">
        <f ca="1">CHAR(34)&amp;L756&amp;CHAR(34)</f>
        <v>"13.2"</v>
      </c>
      <c r="L756" s="100" t="str">
        <f ca="1">INDIRECT("Dashboard!A"&amp;J756)</f>
        <v>13.2</v>
      </c>
      <c r="M756" s="32" t="str">
        <f ca="1">VLOOKUP(L756,Dashboard!A:G,7,FALSE)</f>
        <v>Technical design document explaining the data schema and algorithm</v>
      </c>
    </row>
    <row r="757" spans="1:13">
      <c r="A757" s="31"/>
      <c r="B757" s="32"/>
      <c r="C757" s="32"/>
      <c r="D757" s="31"/>
      <c r="E757" s="37" t="s">
        <v>369</v>
      </c>
      <c r="F757" s="102">
        <f>IF(F762="",2,1)</f>
        <v>2</v>
      </c>
      <c r="G757" s="33" t="s">
        <v>366</v>
      </c>
      <c r="H757" s="31"/>
      <c r="I757" s="32"/>
      <c r="J757" s="101"/>
      <c r="K757" s="32"/>
      <c r="L757" s="100"/>
    </row>
    <row r="758" spans="1:13">
      <c r="A758" s="31"/>
      <c r="B758" s="32"/>
      <c r="C758" s="32"/>
      <c r="D758" s="31"/>
      <c r="E758" s="37" t="s">
        <v>368</v>
      </c>
      <c r="F758" s="37" t="str">
        <f ca="1">M756</f>
        <v>Technical design document explaining the data schema and algorithm</v>
      </c>
      <c r="G758" s="33" t="s">
        <v>367</v>
      </c>
      <c r="H758" s="31"/>
      <c r="I758" s="32"/>
      <c r="J758" s="101"/>
      <c r="K758" s="32"/>
      <c r="L758" s="100"/>
    </row>
    <row r="759" spans="1:13">
      <c r="A759" s="31"/>
      <c r="B759" s="32"/>
      <c r="C759" s="32"/>
      <c r="D759" s="31"/>
      <c r="E759" s="37" t="s">
        <v>374</v>
      </c>
      <c r="F759" s="37"/>
      <c r="G759" s="33" t="s">
        <v>367</v>
      </c>
      <c r="H759" s="31"/>
      <c r="I759" s="32"/>
      <c r="J759" s="101"/>
      <c r="K759" s="32"/>
      <c r="L759" s="100"/>
    </row>
    <row r="760" spans="1:13">
      <c r="A760" s="31"/>
      <c r="B760" s="32"/>
      <c r="C760" s="32"/>
      <c r="D760" s="31"/>
      <c r="E760" s="37" t="s">
        <v>395</v>
      </c>
      <c r="F760" s="37" t="s">
        <v>394</v>
      </c>
      <c r="G760" s="33" t="s">
        <v>366</v>
      </c>
      <c r="H760" s="31"/>
      <c r="I760" s="32"/>
      <c r="J760" s="101"/>
      <c r="K760" s="32"/>
      <c r="L760" s="100"/>
    </row>
    <row r="761" spans="1:13">
      <c r="A761" s="31"/>
      <c r="B761" s="32"/>
      <c r="C761" s="32"/>
      <c r="D761" s="31"/>
      <c r="E761" s="37" t="s">
        <v>386</v>
      </c>
      <c r="F761" s="37" t="str">
        <f ca="1">IF(VLOOKUP(L756,Dashboard!A:G,2,FALSE)&lt;&gt;"","'plan': true"&amp;CHAR(44)&amp;"'actual': false","")</f>
        <v>'plan': true,'actual': false</v>
      </c>
      <c r="G761" s="33" t="s">
        <v>385</v>
      </c>
      <c r="H761" s="31"/>
      <c r="I761" s="32"/>
      <c r="J761" s="101"/>
      <c r="K761" s="32"/>
      <c r="L761" s="100"/>
    </row>
    <row r="762" spans="1:13" ht="15" thickBot="1">
      <c r="A762" s="31"/>
      <c r="B762" s="32"/>
      <c r="C762" s="32"/>
      <c r="D762" s="28"/>
      <c r="E762" s="43" t="str">
        <f>IF(F762="","//","")&amp;"nestedGroups: ["</f>
        <v>//nestedGroups: [</v>
      </c>
      <c r="F762" s="43"/>
      <c r="G762" s="30" t="s">
        <v>370</v>
      </c>
      <c r="H762" s="31"/>
      <c r="I762" s="32"/>
      <c r="J762" s="101"/>
      <c r="K762" s="32"/>
      <c r="L762" s="100"/>
    </row>
    <row r="763" spans="1:13">
      <c r="A763" s="31"/>
      <c r="B763" s="32"/>
      <c r="C763" s="32"/>
      <c r="D763" s="25" t="s">
        <v>362</v>
      </c>
      <c r="E763" s="41"/>
      <c r="F763" s="41"/>
      <c r="G763" s="27"/>
      <c r="H763" s="31"/>
      <c r="I763" s="32"/>
      <c r="J763" s="101"/>
      <c r="K763" s="32"/>
      <c r="L763" s="100"/>
    </row>
    <row r="764" spans="1:13">
      <c r="A764" s="31"/>
      <c r="B764" s="32"/>
      <c r="C764" s="32"/>
      <c r="D764" s="31"/>
      <c r="E764" s="37" t="str">
        <f ca="1">"id: "&amp;K764</f>
        <v>id: "13.3"</v>
      </c>
      <c r="F764" s="37"/>
      <c r="G764" s="33" t="s">
        <v>366</v>
      </c>
      <c r="H764" s="31"/>
      <c r="I764" s="32"/>
      <c r="J764" s="101">
        <f>$J$2+COUNTA($J$1:J763)</f>
        <v>99</v>
      </c>
      <c r="K764" s="32" t="str">
        <f ca="1">CHAR(34)&amp;L764&amp;CHAR(34)</f>
        <v>"13.3"</v>
      </c>
      <c r="L764" s="100" t="str">
        <f ca="1">INDIRECT("Dashboard!A"&amp;J764)</f>
        <v>13.3</v>
      </c>
      <c r="M764" s="32" t="str">
        <f ca="1">VLOOKUP(L764,Dashboard!A:G,7,FALSE)</f>
        <v>Software Code</v>
      </c>
    </row>
    <row r="765" spans="1:13">
      <c r="A765" s="31"/>
      <c r="B765" s="32"/>
      <c r="C765" s="32"/>
      <c r="D765" s="31"/>
      <c r="E765" s="37" t="s">
        <v>369</v>
      </c>
      <c r="F765" s="102">
        <f>IF(F770="",2,1)</f>
        <v>2</v>
      </c>
      <c r="G765" s="33" t="s">
        <v>366</v>
      </c>
      <c r="H765" s="31"/>
      <c r="I765" s="32"/>
      <c r="J765" s="101"/>
      <c r="K765" s="32"/>
      <c r="L765" s="100"/>
    </row>
    <row r="766" spans="1:13">
      <c r="A766" s="31"/>
      <c r="B766" s="32"/>
      <c r="C766" s="32"/>
      <c r="D766" s="31"/>
      <c r="E766" s="37" t="s">
        <v>368</v>
      </c>
      <c r="F766" s="37" t="str">
        <f ca="1">M764</f>
        <v>Software Code</v>
      </c>
      <c r="G766" s="33" t="s">
        <v>367</v>
      </c>
      <c r="H766" s="31"/>
      <c r="I766" s="32"/>
      <c r="J766" s="101"/>
      <c r="K766" s="32"/>
      <c r="L766" s="100"/>
    </row>
    <row r="767" spans="1:13">
      <c r="A767" s="31"/>
      <c r="B767" s="32"/>
      <c r="C767" s="32"/>
      <c r="D767" s="31"/>
      <c r="E767" s="37" t="s">
        <v>374</v>
      </c>
      <c r="F767" s="37"/>
      <c r="G767" s="33" t="s">
        <v>367</v>
      </c>
      <c r="H767" s="31"/>
      <c r="I767" s="32"/>
      <c r="J767" s="101"/>
      <c r="K767" s="32"/>
      <c r="L767" s="100"/>
    </row>
    <row r="768" spans="1:13">
      <c r="A768" s="31"/>
      <c r="B768" s="32"/>
      <c r="C768" s="32"/>
      <c r="D768" s="31"/>
      <c r="E768" s="37" t="s">
        <v>395</v>
      </c>
      <c r="F768" s="37" t="s">
        <v>394</v>
      </c>
      <c r="G768" s="33" t="s">
        <v>366</v>
      </c>
      <c r="H768" s="31"/>
      <c r="I768" s="32"/>
      <c r="J768" s="101"/>
      <c r="K768" s="32"/>
      <c r="L768" s="100"/>
    </row>
    <row r="769" spans="1:13">
      <c r="A769" s="31"/>
      <c r="B769" s="32"/>
      <c r="C769" s="32"/>
      <c r="D769" s="31"/>
      <c r="E769" s="37" t="s">
        <v>386</v>
      </c>
      <c r="F769" s="37" t="str">
        <f ca="1">IF(VLOOKUP(L764,Dashboard!A:G,2,FALSE)&lt;&gt;"","'plan': true"&amp;CHAR(44)&amp;"'actual': false","")</f>
        <v>'plan': true,'actual': false</v>
      </c>
      <c r="G769" s="33" t="s">
        <v>385</v>
      </c>
      <c r="H769" s="31"/>
      <c r="I769" s="32"/>
      <c r="J769" s="101"/>
      <c r="K769" s="32"/>
      <c r="L769" s="100"/>
    </row>
    <row r="770" spans="1:13" ht="15" thickBot="1">
      <c r="A770" s="31"/>
      <c r="B770" s="32"/>
      <c r="C770" s="32"/>
      <c r="D770" s="28"/>
      <c r="E770" s="43" t="str">
        <f>IF(F770="","//","")&amp;"nestedGroups: ["</f>
        <v>//nestedGroups: [</v>
      </c>
      <c r="F770" s="43"/>
      <c r="G770" s="30" t="s">
        <v>370</v>
      </c>
      <c r="H770" s="31"/>
      <c r="I770" s="32"/>
      <c r="J770" s="101"/>
      <c r="K770" s="32"/>
      <c r="L770" s="100"/>
    </row>
    <row r="771" spans="1:13">
      <c r="A771" s="31"/>
      <c r="B771" s="32"/>
      <c r="C771" s="32"/>
      <c r="D771" s="25" t="s">
        <v>362</v>
      </c>
      <c r="E771" s="41"/>
      <c r="F771" s="41"/>
      <c r="G771" s="27"/>
      <c r="H771" s="31"/>
      <c r="I771" s="32"/>
      <c r="J771" s="101"/>
      <c r="K771" s="32"/>
      <c r="L771" s="100"/>
    </row>
    <row r="772" spans="1:13">
      <c r="A772" s="31"/>
      <c r="B772" s="32"/>
      <c r="C772" s="32"/>
      <c r="D772" s="31"/>
      <c r="E772" s="37" t="str">
        <f ca="1">"id: "&amp;K772</f>
        <v>id: "13.4"</v>
      </c>
      <c r="F772" s="37"/>
      <c r="G772" s="33" t="s">
        <v>366</v>
      </c>
      <c r="H772" s="31"/>
      <c r="I772" s="32"/>
      <c r="J772" s="101">
        <f>$J$2+COUNTA($J$1:J771)</f>
        <v>100</v>
      </c>
      <c r="K772" s="32" t="str">
        <f ca="1">CHAR(34)&amp;L772&amp;CHAR(34)</f>
        <v>"13.4"</v>
      </c>
      <c r="L772" s="100" t="str">
        <f ca="1">INDIRECT("Dashboard!A"&amp;J772)</f>
        <v>13.4</v>
      </c>
      <c r="M772" s="32" t="str">
        <f ca="1">VLOOKUP(L772,Dashboard!A:G,7,FALSE)</f>
        <v>Deployment Procedure of the code</v>
      </c>
    </row>
    <row r="773" spans="1:13">
      <c r="A773" s="31"/>
      <c r="B773" s="32"/>
      <c r="C773" s="32"/>
      <c r="D773" s="31"/>
      <c r="E773" s="37" t="s">
        <v>369</v>
      </c>
      <c r="F773" s="102">
        <f>IF(F778="",2,1)</f>
        <v>2</v>
      </c>
      <c r="G773" s="33" t="s">
        <v>366</v>
      </c>
      <c r="H773" s="31"/>
      <c r="I773" s="32"/>
      <c r="J773" s="101"/>
      <c r="K773" s="32"/>
      <c r="L773" s="100"/>
    </row>
    <row r="774" spans="1:13">
      <c r="A774" s="31"/>
      <c r="B774" s="32"/>
      <c r="C774" s="32"/>
      <c r="D774" s="31"/>
      <c r="E774" s="37" t="s">
        <v>368</v>
      </c>
      <c r="F774" s="37" t="str">
        <f ca="1">M772</f>
        <v>Deployment Procedure of the code</v>
      </c>
      <c r="G774" s="33" t="s">
        <v>367</v>
      </c>
      <c r="H774" s="31"/>
      <c r="I774" s="32"/>
      <c r="J774" s="101"/>
      <c r="K774" s="32"/>
      <c r="L774" s="100"/>
    </row>
    <row r="775" spans="1:13">
      <c r="A775" s="31"/>
      <c r="B775" s="32"/>
      <c r="C775" s="32"/>
      <c r="D775" s="31"/>
      <c r="E775" s="37" t="s">
        <v>374</v>
      </c>
      <c r="F775" s="37"/>
      <c r="G775" s="33" t="s">
        <v>367</v>
      </c>
      <c r="H775" s="31"/>
      <c r="I775" s="32"/>
      <c r="J775" s="101"/>
      <c r="K775" s="32"/>
      <c r="L775" s="100"/>
    </row>
    <row r="776" spans="1:13">
      <c r="A776" s="31"/>
      <c r="B776" s="32"/>
      <c r="C776" s="32"/>
      <c r="D776" s="31"/>
      <c r="E776" s="37" t="s">
        <v>395</v>
      </c>
      <c r="F776" s="37" t="s">
        <v>394</v>
      </c>
      <c r="G776" s="33" t="s">
        <v>366</v>
      </c>
      <c r="H776" s="31"/>
      <c r="I776" s="32"/>
      <c r="J776" s="101"/>
      <c r="K776" s="32"/>
      <c r="L776" s="100"/>
    </row>
    <row r="777" spans="1:13">
      <c r="A777" s="31"/>
      <c r="B777" s="32"/>
      <c r="C777" s="32"/>
      <c r="D777" s="31"/>
      <c r="E777" s="37" t="s">
        <v>386</v>
      </c>
      <c r="F777" s="37" t="str">
        <f ca="1">IF(VLOOKUP(L772,Dashboard!A:G,2,FALSE)&lt;&gt;"","'plan': true"&amp;CHAR(44)&amp;"'actual': false","")</f>
        <v>'plan': true,'actual': false</v>
      </c>
      <c r="G777" s="33" t="s">
        <v>385</v>
      </c>
      <c r="H777" s="31"/>
      <c r="I777" s="32"/>
      <c r="J777" s="101"/>
      <c r="K777" s="32"/>
      <c r="L777" s="100"/>
    </row>
    <row r="778" spans="1:13" ht="15" thickBot="1">
      <c r="A778" s="31"/>
      <c r="B778" s="32"/>
      <c r="C778" s="32"/>
      <c r="D778" s="28"/>
      <c r="E778" s="43" t="str">
        <f>IF(F778="","//","")&amp;"nestedGroups: ["</f>
        <v>//nestedGroups: [</v>
      </c>
      <c r="F778" s="43"/>
      <c r="G778" s="30" t="s">
        <v>370</v>
      </c>
      <c r="H778" s="31"/>
      <c r="I778" s="32"/>
      <c r="J778" s="101"/>
      <c r="K778" s="32"/>
      <c r="L778" s="100"/>
    </row>
    <row r="779" spans="1:13">
      <c r="A779" s="31"/>
      <c r="B779" s="32"/>
      <c r="C779" s="32"/>
      <c r="D779" s="25" t="s">
        <v>362</v>
      </c>
      <c r="E779" s="41"/>
      <c r="F779" s="41"/>
      <c r="G779" s="27"/>
      <c r="H779" s="31"/>
      <c r="I779" s="32"/>
      <c r="J779" s="101"/>
      <c r="K779" s="32"/>
      <c r="L779" s="100"/>
    </row>
    <row r="780" spans="1:13">
      <c r="A780" s="31"/>
      <c r="B780" s="32"/>
      <c r="C780" s="32"/>
      <c r="D780" s="31"/>
      <c r="E780" s="37" t="str">
        <f ca="1">"id: "&amp;K780</f>
        <v>id: "13.5"</v>
      </c>
      <c r="F780" s="37"/>
      <c r="G780" s="33" t="s">
        <v>366</v>
      </c>
      <c r="H780" s="31"/>
      <c r="I780" s="32"/>
      <c r="J780" s="101">
        <f>$J$2+COUNTA($J$1:J779)</f>
        <v>101</v>
      </c>
      <c r="K780" s="32" t="str">
        <f ca="1">CHAR(34)&amp;L780&amp;CHAR(34)</f>
        <v>"13.5"</v>
      </c>
      <c r="L780" s="100" t="str">
        <f ca="1">INDIRECT("Dashboard!A"&amp;J780)</f>
        <v>13.5</v>
      </c>
      <c r="M780" s="32" t="str">
        <f ca="1">VLOOKUP(L780,Dashboard!A:G,7,FALSE)</f>
        <v>Product usage guide with examples for all the functional usecases</v>
      </c>
    </row>
    <row r="781" spans="1:13">
      <c r="A781" s="31"/>
      <c r="B781" s="32"/>
      <c r="C781" s="32"/>
      <c r="D781" s="31"/>
      <c r="E781" s="37" t="s">
        <v>369</v>
      </c>
      <c r="F781" s="102">
        <f>IF(F786="",2,1)</f>
        <v>2</v>
      </c>
      <c r="G781" s="33" t="s">
        <v>366</v>
      </c>
      <c r="H781" s="31"/>
      <c r="I781" s="32"/>
      <c r="J781" s="101"/>
      <c r="K781" s="32"/>
      <c r="L781" s="100"/>
    </row>
    <row r="782" spans="1:13">
      <c r="A782" s="31"/>
      <c r="B782" s="32"/>
      <c r="C782" s="32"/>
      <c r="D782" s="31"/>
      <c r="E782" s="37" t="s">
        <v>368</v>
      </c>
      <c r="F782" s="37" t="str">
        <f ca="1">M780</f>
        <v>Product usage guide with examples for all the functional usecases</v>
      </c>
      <c r="G782" s="33" t="s">
        <v>367</v>
      </c>
      <c r="H782" s="31"/>
      <c r="I782" s="32"/>
      <c r="J782" s="101"/>
      <c r="K782" s="32"/>
      <c r="L782" s="100"/>
    </row>
    <row r="783" spans="1:13">
      <c r="A783" s="31"/>
      <c r="B783" s="32"/>
      <c r="C783" s="32"/>
      <c r="D783" s="31"/>
      <c r="E783" s="37" t="s">
        <v>374</v>
      </c>
      <c r="F783" s="37"/>
      <c r="G783" s="33" t="s">
        <v>367</v>
      </c>
      <c r="H783" s="31"/>
      <c r="I783" s="32"/>
      <c r="J783" s="101"/>
      <c r="K783" s="32"/>
      <c r="L783" s="100"/>
    </row>
    <row r="784" spans="1:13">
      <c r="A784" s="31"/>
      <c r="B784" s="32"/>
      <c r="C784" s="32"/>
      <c r="D784" s="31"/>
      <c r="E784" s="37" t="s">
        <v>395</v>
      </c>
      <c r="F784" s="37" t="s">
        <v>394</v>
      </c>
      <c r="G784" s="33" t="s">
        <v>366</v>
      </c>
      <c r="H784" s="31"/>
      <c r="I784" s="32"/>
      <c r="J784" s="101"/>
      <c r="K784" s="32"/>
      <c r="L784" s="100"/>
    </row>
    <row r="785" spans="1:13">
      <c r="A785" s="31"/>
      <c r="B785" s="32"/>
      <c r="C785" s="32"/>
      <c r="D785" s="31"/>
      <c r="E785" s="37" t="s">
        <v>386</v>
      </c>
      <c r="F785" s="37" t="str">
        <f ca="1">IF(VLOOKUP(L780,Dashboard!A:G,2,FALSE)&lt;&gt;"","'plan': true"&amp;CHAR(44)&amp;"'actual': false","")</f>
        <v>'plan': true,'actual': false</v>
      </c>
      <c r="G785" s="33" t="s">
        <v>385</v>
      </c>
      <c r="H785" s="31"/>
      <c r="I785" s="32"/>
      <c r="J785" s="101"/>
      <c r="K785" s="32"/>
      <c r="L785" s="100"/>
    </row>
    <row r="786" spans="1:13" ht="15" thickBot="1">
      <c r="A786" s="31"/>
      <c r="B786" s="32"/>
      <c r="C786" s="32"/>
      <c r="D786" s="28"/>
      <c r="E786" s="43" t="str">
        <f>IF(F786="","//","")&amp;"nestedGroups: ["</f>
        <v>//nestedGroups: [</v>
      </c>
      <c r="F786" s="43"/>
      <c r="G786" s="30" t="s">
        <v>370</v>
      </c>
      <c r="H786" s="31"/>
      <c r="I786" s="32"/>
      <c r="J786" s="101"/>
      <c r="K786" s="32"/>
      <c r="L786" s="100"/>
    </row>
    <row r="787" spans="1:13">
      <c r="A787" s="31"/>
      <c r="B787" s="32"/>
      <c r="C787" s="32"/>
      <c r="D787" s="25" t="s">
        <v>362</v>
      </c>
      <c r="E787" s="41"/>
      <c r="F787" s="41"/>
      <c r="G787" s="27"/>
      <c r="H787" s="31"/>
      <c r="I787" s="32"/>
      <c r="J787" s="101"/>
      <c r="K787" s="32"/>
      <c r="L787" s="100"/>
    </row>
    <row r="788" spans="1:13">
      <c r="A788" s="31"/>
      <c r="B788" s="32"/>
      <c r="C788" s="32"/>
      <c r="D788" s="31"/>
      <c r="E788" s="37" t="str">
        <f ca="1">"id: "&amp;K788</f>
        <v>id: "13.6"</v>
      </c>
      <c r="F788" s="37"/>
      <c r="G788" s="33" t="s">
        <v>366</v>
      </c>
      <c r="H788" s="31"/>
      <c r="I788" s="32"/>
      <c r="J788" s="101">
        <f>$J$2+COUNTA($J$1:J787)</f>
        <v>102</v>
      </c>
      <c r="K788" s="32" t="str">
        <f ca="1">CHAR(34)&amp;L788&amp;CHAR(34)</f>
        <v>"13.6"</v>
      </c>
      <c r="L788" s="100" t="str">
        <f ca="1">INDIRECT("Dashboard!A"&amp;J788)</f>
        <v>13.6</v>
      </c>
      <c r="M788" s="32" t="str">
        <f ca="1">VLOOKUP(L788,Dashboard!A:G,7,FALSE)</f>
        <v xml:space="preserve">Test report </v>
      </c>
    </row>
    <row r="789" spans="1:13">
      <c r="A789" s="31"/>
      <c r="B789" s="32"/>
      <c r="C789" s="32"/>
      <c r="D789" s="31"/>
      <c r="E789" s="37" t="s">
        <v>369</v>
      </c>
      <c r="F789" s="102">
        <f>IF(F794="",2,1)</f>
        <v>2</v>
      </c>
      <c r="G789" s="33" t="s">
        <v>366</v>
      </c>
      <c r="H789" s="31"/>
      <c r="I789" s="32"/>
      <c r="J789" s="101"/>
      <c r="K789" s="32"/>
      <c r="L789" s="100"/>
    </row>
    <row r="790" spans="1:13">
      <c r="A790" s="31"/>
      <c r="B790" s="32"/>
      <c r="C790" s="32"/>
      <c r="D790" s="31"/>
      <c r="E790" s="37" t="s">
        <v>368</v>
      </c>
      <c r="F790" s="37" t="str">
        <f ca="1">M788</f>
        <v xml:space="preserve">Test report </v>
      </c>
      <c r="G790" s="33" t="s">
        <v>367</v>
      </c>
      <c r="H790" s="31"/>
      <c r="I790" s="32"/>
      <c r="J790" s="101"/>
      <c r="K790" s="32"/>
      <c r="L790" s="100"/>
    </row>
    <row r="791" spans="1:13">
      <c r="A791" s="31"/>
      <c r="B791" s="32"/>
      <c r="C791" s="32"/>
      <c r="D791" s="31"/>
      <c r="E791" s="37" t="s">
        <v>374</v>
      </c>
      <c r="F791" s="37"/>
      <c r="G791" s="33" t="s">
        <v>367</v>
      </c>
      <c r="H791" s="31"/>
      <c r="I791" s="32"/>
      <c r="J791" s="101"/>
      <c r="K791" s="32"/>
      <c r="L791" s="100"/>
    </row>
    <row r="792" spans="1:13">
      <c r="A792" s="31"/>
      <c r="B792" s="32"/>
      <c r="C792" s="32"/>
      <c r="D792" s="31"/>
      <c r="E792" s="37" t="s">
        <v>395</v>
      </c>
      <c r="F792" s="37" t="s">
        <v>394</v>
      </c>
      <c r="G792" s="33" t="s">
        <v>366</v>
      </c>
      <c r="H792" s="31"/>
      <c r="I792" s="32"/>
      <c r="J792" s="101"/>
      <c r="K792" s="32"/>
      <c r="L792" s="100"/>
    </row>
    <row r="793" spans="1:13">
      <c r="A793" s="31"/>
      <c r="B793" s="32"/>
      <c r="C793" s="32"/>
      <c r="D793" s="31"/>
      <c r="E793" s="37" t="s">
        <v>386</v>
      </c>
      <c r="F793" s="37" t="str">
        <f ca="1">IF(VLOOKUP(L788,Dashboard!A:G,2,FALSE)&lt;&gt;"","'plan': true"&amp;CHAR(44)&amp;"'actual': false","")</f>
        <v>'plan': true,'actual': false</v>
      </c>
      <c r="G793" s="33" t="s">
        <v>385</v>
      </c>
      <c r="H793" s="31"/>
      <c r="I793" s="32"/>
      <c r="J793" s="101"/>
      <c r="K793" s="32"/>
      <c r="L793" s="100"/>
    </row>
    <row r="794" spans="1:13" ht="15" thickBot="1">
      <c r="A794" s="31"/>
      <c r="B794" s="32"/>
      <c r="C794" s="32"/>
      <c r="D794" s="28"/>
      <c r="E794" s="43" t="str">
        <f>IF(F794="","//","")&amp;"nestedGroups: ["</f>
        <v>//nestedGroups: [</v>
      </c>
      <c r="F794" s="43"/>
      <c r="G794" s="30" t="s">
        <v>370</v>
      </c>
      <c r="H794" s="31"/>
      <c r="I794" s="32"/>
      <c r="J794" s="101"/>
      <c r="K794" s="32"/>
      <c r="L794" s="100"/>
    </row>
    <row r="795" spans="1:13">
      <c r="A795" s="31"/>
      <c r="B795" s="32"/>
      <c r="C795" s="32"/>
      <c r="D795" s="25" t="s">
        <v>362</v>
      </c>
      <c r="E795" s="114"/>
      <c r="F795" s="114"/>
      <c r="G795" s="27"/>
      <c r="H795" s="31"/>
      <c r="I795" s="32"/>
      <c r="J795" s="101"/>
      <c r="K795" s="32"/>
      <c r="L795" s="100"/>
    </row>
    <row r="796" spans="1:13">
      <c r="A796" s="31"/>
      <c r="B796" s="32"/>
      <c r="C796" s="32"/>
      <c r="D796" s="31"/>
      <c r="E796" s="37" t="str">
        <f ca="1">"id: "&amp;K796</f>
        <v>id: "14"</v>
      </c>
      <c r="F796" s="37"/>
      <c r="G796" s="33" t="s">
        <v>366</v>
      </c>
      <c r="H796" s="31"/>
      <c r="I796" s="32"/>
      <c r="J796" s="101">
        <f>$J$2+COUNTA($J$1:J795)</f>
        <v>103</v>
      </c>
      <c r="K796" s="32" t="str">
        <f ca="1">CHAR(34)&amp;L796&amp;CHAR(34)</f>
        <v>"14"</v>
      </c>
      <c r="L796" s="100" t="str">
        <f ca="1">INDIRECT("Dashboard!A"&amp;J796)</f>
        <v>14</v>
      </c>
      <c r="M796" s="32" t="str">
        <f ca="1">VLOOKUP(L796,Dashboard!A:G,7,FALSE)</f>
        <v>M13. Decision Engine AI/ML models - Preventive maintenance of Asset type 3 (e.g. Rotating machines like motors &amp; generators to be researched)</v>
      </c>
    </row>
    <row r="797" spans="1:13">
      <c r="A797" s="31"/>
      <c r="B797" s="32"/>
      <c r="C797" s="32"/>
      <c r="D797" s="31"/>
      <c r="E797" s="37" t="s">
        <v>369</v>
      </c>
      <c r="F797" s="102" t="e">
        <f>IF(F802="",2,1)</f>
        <v>#VALUE!</v>
      </c>
      <c r="G797" s="33" t="s">
        <v>366</v>
      </c>
      <c r="H797" s="31"/>
      <c r="I797" s="32"/>
      <c r="J797" s="101"/>
      <c r="K797" s="32"/>
      <c r="L797" s="100"/>
    </row>
    <row r="798" spans="1:13">
      <c r="A798" s="31"/>
      <c r="B798" s="32"/>
      <c r="C798" s="32"/>
      <c r="D798" s="31"/>
      <c r="E798" s="37" t="s">
        <v>368</v>
      </c>
      <c r="F798" s="37" t="str">
        <f ca="1">M796</f>
        <v>M13. Decision Engine AI/ML models - Preventive maintenance of Asset type 3 (e.g. Rotating machines like motors &amp; generators to be researched)</v>
      </c>
      <c r="G798" s="33" t="s">
        <v>367</v>
      </c>
      <c r="H798" s="31"/>
      <c r="I798" s="32"/>
      <c r="J798" s="101"/>
      <c r="K798" s="32"/>
      <c r="L798" s="100"/>
    </row>
    <row r="799" spans="1:13">
      <c r="A799" s="31"/>
      <c r="B799" s="32"/>
      <c r="C799" s="32"/>
      <c r="D799" s="31"/>
      <c r="E799" s="37" t="s">
        <v>374</v>
      </c>
      <c r="F799" s="37"/>
      <c r="G799" s="33" t="s">
        <v>367</v>
      </c>
      <c r="H799" s="31"/>
      <c r="I799" s="32"/>
      <c r="J799" s="101"/>
      <c r="K799" s="32"/>
      <c r="L799" s="100"/>
    </row>
    <row r="800" spans="1:13">
      <c r="A800" s="31"/>
      <c r="B800" s="32"/>
      <c r="C800" s="32"/>
      <c r="D800" s="31"/>
      <c r="E800" s="37" t="s">
        <v>395</v>
      </c>
      <c r="F800" s="37" t="s">
        <v>394</v>
      </c>
      <c r="G800" s="33" t="s">
        <v>366</v>
      </c>
      <c r="H800" s="31"/>
      <c r="I800" s="32"/>
      <c r="J800" s="101"/>
      <c r="K800" s="32"/>
      <c r="L800" s="100"/>
    </row>
    <row r="801" spans="1:13">
      <c r="A801" s="31"/>
      <c r="B801" s="32"/>
      <c r="C801" s="32"/>
      <c r="D801" s="31"/>
      <c r="E801" s="37" t="s">
        <v>386</v>
      </c>
      <c r="F801" s="37" t="str">
        <f ca="1">IF(VLOOKUP(L796,Dashboard!A:G,2,FALSE)&lt;&gt;"","'plan': true"&amp;CHAR(44)&amp;"'actual': false","")</f>
        <v>'plan': true,'actual': false</v>
      </c>
      <c r="G801" s="33" t="s">
        <v>385</v>
      </c>
      <c r="H801" s="31"/>
      <c r="I801" s="32" t="s">
        <v>571</v>
      </c>
      <c r="J801" s="101"/>
      <c r="K801" s="32"/>
      <c r="L801" s="100"/>
    </row>
    <row r="802" spans="1:13" ht="15" thickBot="1">
      <c r="A802" s="31"/>
      <c r="B802" s="32"/>
      <c r="C802" s="32"/>
      <c r="D802" s="28"/>
      <c r="E802" s="43" t="e">
        <f>IF(F802="","//","")&amp;"nestedGroups: ["</f>
        <v>#VALUE!</v>
      </c>
      <c r="F802" s="37" t="e">
        <f>nestedGroups(5,I802*$I$2,", ")</f>
        <v>#VALUE!</v>
      </c>
      <c r="G802" s="30" t="s">
        <v>370</v>
      </c>
      <c r="H802" s="31"/>
      <c r="I802" s="3">
        <v>6</v>
      </c>
      <c r="J802" s="101"/>
      <c r="K802" s="32"/>
      <c r="L802" s="100"/>
    </row>
    <row r="803" spans="1:13">
      <c r="A803" s="31"/>
      <c r="B803" s="32"/>
      <c r="C803" s="32"/>
      <c r="D803" s="25" t="s">
        <v>362</v>
      </c>
      <c r="E803" s="41"/>
      <c r="F803" s="41"/>
      <c r="G803" s="27"/>
      <c r="H803" s="31"/>
      <c r="I803" s="32"/>
      <c r="J803" s="101"/>
      <c r="K803" s="32"/>
      <c r="L803" s="100"/>
    </row>
    <row r="804" spans="1:13">
      <c r="A804" s="31"/>
      <c r="B804" s="32"/>
      <c r="C804" s="32"/>
      <c r="D804" s="31"/>
      <c r="E804" s="37" t="str">
        <f ca="1">"id: "&amp;K804</f>
        <v>id: "14.1"</v>
      </c>
      <c r="F804" s="37"/>
      <c r="G804" s="33" t="s">
        <v>366</v>
      </c>
      <c r="H804" s="31"/>
      <c r="I804" s="32"/>
      <c r="J804" s="101">
        <f>$J$2+COUNTA($J$1:J803)</f>
        <v>104</v>
      </c>
      <c r="K804" s="32" t="str">
        <f ca="1">CHAR(34)&amp;L804&amp;CHAR(34)</f>
        <v>"14.1"</v>
      </c>
      <c r="L804" s="100" t="str">
        <f ca="1">INDIRECT("Dashboard!A"&amp;J804)</f>
        <v>14.1</v>
      </c>
      <c r="M804" s="32" t="str">
        <f ca="1">VLOOKUP(L804,Dashboard!A:G,7,FALSE)</f>
        <v>Note : Use datafusion platform to find faults in the assets</v>
      </c>
    </row>
    <row r="805" spans="1:13">
      <c r="A805" s="31"/>
      <c r="B805" s="32"/>
      <c r="C805" s="32"/>
      <c r="D805" s="31"/>
      <c r="E805" s="37" t="s">
        <v>369</v>
      </c>
      <c r="F805" s="102">
        <f>IF(F810="",2,1)</f>
        <v>2</v>
      </c>
      <c r="G805" s="33" t="s">
        <v>366</v>
      </c>
      <c r="H805" s="31"/>
      <c r="I805" s="32"/>
      <c r="J805" s="101"/>
      <c r="K805" s="32"/>
      <c r="L805" s="100"/>
    </row>
    <row r="806" spans="1:13">
      <c r="A806" s="31"/>
      <c r="B806" s="32"/>
      <c r="C806" s="32"/>
      <c r="D806" s="31"/>
      <c r="E806" s="37" t="s">
        <v>368</v>
      </c>
      <c r="F806" s="37" t="str">
        <f ca="1">M804</f>
        <v>Note : Use datafusion platform to find faults in the assets</v>
      </c>
      <c r="G806" s="33" t="s">
        <v>367</v>
      </c>
      <c r="H806" s="31"/>
      <c r="I806" s="32"/>
      <c r="J806" s="101"/>
      <c r="K806" s="32"/>
      <c r="L806" s="100"/>
    </row>
    <row r="807" spans="1:13">
      <c r="A807" s="31"/>
      <c r="B807" s="32"/>
      <c r="C807" s="32"/>
      <c r="D807" s="31"/>
      <c r="E807" s="37" t="s">
        <v>374</v>
      </c>
      <c r="F807" s="37"/>
      <c r="G807" s="33" t="s">
        <v>367</v>
      </c>
      <c r="H807" s="31"/>
      <c r="I807" s="32"/>
      <c r="J807" s="101"/>
      <c r="K807" s="32"/>
      <c r="L807" s="100"/>
    </row>
    <row r="808" spans="1:13">
      <c r="A808" s="31"/>
      <c r="B808" s="32"/>
      <c r="C808" s="32"/>
      <c r="D808" s="31"/>
      <c r="E808" s="37" t="s">
        <v>395</v>
      </c>
      <c r="F808" s="37" t="s">
        <v>394</v>
      </c>
      <c r="G808" s="33" t="s">
        <v>366</v>
      </c>
      <c r="H808" s="31"/>
      <c r="I808" s="32"/>
      <c r="J808" s="101"/>
      <c r="K808" s="32"/>
      <c r="L808" s="100"/>
    </row>
    <row r="809" spans="1:13">
      <c r="A809" s="31"/>
      <c r="B809" s="32"/>
      <c r="C809" s="32"/>
      <c r="D809" s="31"/>
      <c r="E809" s="37" t="s">
        <v>386</v>
      </c>
      <c r="F809" s="37" t="str">
        <f ca="1">IF(VLOOKUP(L804,Dashboard!A:G,2,FALSE)&lt;&gt;"","'plan': true"&amp;CHAR(44)&amp;"'actual': false","")</f>
        <v/>
      </c>
      <c r="G809" s="33" t="s">
        <v>385</v>
      </c>
      <c r="H809" s="31"/>
      <c r="I809" s="32"/>
      <c r="J809" s="101"/>
      <c r="K809" s="32"/>
      <c r="L809" s="100"/>
    </row>
    <row r="810" spans="1:13" ht="15" thickBot="1">
      <c r="A810" s="31"/>
      <c r="B810" s="32"/>
      <c r="C810" s="32"/>
      <c r="D810" s="28"/>
      <c r="E810" s="43" t="str">
        <f>IF(F810="","//","")&amp;"nestedGroups: ["</f>
        <v>//nestedGroups: [</v>
      </c>
      <c r="F810" s="43"/>
      <c r="G810" s="30" t="s">
        <v>370</v>
      </c>
      <c r="H810" s="31"/>
      <c r="I810" s="32"/>
      <c r="J810" s="101"/>
      <c r="K810" s="32"/>
      <c r="L810" s="100"/>
    </row>
    <row r="811" spans="1:13">
      <c r="A811" s="31"/>
      <c r="B811" s="32"/>
      <c r="C811" s="32"/>
      <c r="D811" s="25" t="s">
        <v>362</v>
      </c>
      <c r="E811" s="41"/>
      <c r="F811" s="41"/>
      <c r="G811" s="27"/>
      <c r="H811" s="31"/>
      <c r="I811" s="32"/>
      <c r="J811" s="101"/>
      <c r="K811" s="32"/>
      <c r="L811" s="100"/>
    </row>
    <row r="812" spans="1:13">
      <c r="A812" s="31"/>
      <c r="B812" s="32"/>
      <c r="C812" s="32"/>
      <c r="D812" s="31"/>
      <c r="E812" s="37" t="str">
        <f ca="1">"id: "&amp;K812</f>
        <v>id: "14.2"</v>
      </c>
      <c r="F812" s="37"/>
      <c r="G812" s="33" t="s">
        <v>366</v>
      </c>
      <c r="H812" s="31"/>
      <c r="I812" s="32"/>
      <c r="J812" s="101">
        <f>$J$2+COUNTA($J$1:J811)</f>
        <v>105</v>
      </c>
      <c r="K812" s="32" t="str">
        <f ca="1">CHAR(34)&amp;L812&amp;CHAR(34)</f>
        <v>"14.2"</v>
      </c>
      <c r="L812" s="100" t="str">
        <f ca="1">INDIRECT("Dashboard!A"&amp;J812)</f>
        <v>14.2</v>
      </c>
      <c r="M812" s="32" t="str">
        <f ca="1">VLOOKUP(L812,Dashboard!A:G,7,FALSE)</f>
        <v>Technical design document explaining the data schema and algorithm</v>
      </c>
    </row>
    <row r="813" spans="1:13">
      <c r="A813" s="31"/>
      <c r="B813" s="32"/>
      <c r="C813" s="32"/>
      <c r="D813" s="31"/>
      <c r="E813" s="37" t="s">
        <v>369</v>
      </c>
      <c r="F813" s="102">
        <f>IF(F818="",2,1)</f>
        <v>2</v>
      </c>
      <c r="G813" s="33" t="s">
        <v>366</v>
      </c>
      <c r="H813" s="31"/>
      <c r="I813" s="32"/>
      <c r="J813" s="101"/>
      <c r="K813" s="32"/>
      <c r="L813" s="100"/>
    </row>
    <row r="814" spans="1:13">
      <c r="A814" s="31"/>
      <c r="B814" s="32"/>
      <c r="C814" s="32"/>
      <c r="D814" s="31"/>
      <c r="E814" s="37" t="s">
        <v>368</v>
      </c>
      <c r="F814" s="37" t="str">
        <f ca="1">M812</f>
        <v>Technical design document explaining the data schema and algorithm</v>
      </c>
      <c r="G814" s="33" t="s">
        <v>367</v>
      </c>
      <c r="H814" s="31"/>
      <c r="I814" s="32"/>
      <c r="J814" s="101"/>
      <c r="K814" s="32"/>
      <c r="L814" s="100"/>
    </row>
    <row r="815" spans="1:13">
      <c r="A815" s="31"/>
      <c r="B815" s="32"/>
      <c r="C815" s="32"/>
      <c r="D815" s="31"/>
      <c r="E815" s="37" t="s">
        <v>374</v>
      </c>
      <c r="F815" s="37"/>
      <c r="G815" s="33" t="s">
        <v>367</v>
      </c>
      <c r="H815" s="31"/>
      <c r="I815" s="32"/>
      <c r="J815" s="101"/>
      <c r="K815" s="32"/>
      <c r="L815" s="100"/>
    </row>
    <row r="816" spans="1:13">
      <c r="A816" s="31"/>
      <c r="B816" s="32"/>
      <c r="C816" s="32"/>
      <c r="D816" s="31"/>
      <c r="E816" s="37" t="s">
        <v>395</v>
      </c>
      <c r="F816" s="37" t="s">
        <v>394</v>
      </c>
      <c r="G816" s="33" t="s">
        <v>366</v>
      </c>
      <c r="H816" s="31"/>
      <c r="I816" s="32"/>
      <c r="J816" s="101"/>
      <c r="K816" s="32"/>
      <c r="L816" s="100"/>
    </row>
    <row r="817" spans="1:13">
      <c r="A817" s="31"/>
      <c r="B817" s="32"/>
      <c r="C817" s="32"/>
      <c r="D817" s="31"/>
      <c r="E817" s="37" t="s">
        <v>386</v>
      </c>
      <c r="F817" s="37" t="str">
        <f ca="1">IF(VLOOKUP(L812,Dashboard!A:G,2,FALSE)&lt;&gt;"","'plan': true"&amp;CHAR(44)&amp;"'actual': false","")</f>
        <v>'plan': true,'actual': false</v>
      </c>
      <c r="G817" s="33" t="s">
        <v>385</v>
      </c>
      <c r="H817" s="31"/>
      <c r="I817" s="32"/>
      <c r="J817" s="101"/>
      <c r="K817" s="32"/>
      <c r="L817" s="100"/>
    </row>
    <row r="818" spans="1:13" ht="15" thickBot="1">
      <c r="A818" s="31"/>
      <c r="B818" s="32"/>
      <c r="C818" s="32"/>
      <c r="D818" s="28"/>
      <c r="E818" s="43" t="str">
        <f>IF(F818="","//","")&amp;"nestedGroups: ["</f>
        <v>//nestedGroups: [</v>
      </c>
      <c r="F818" s="43"/>
      <c r="G818" s="30" t="s">
        <v>370</v>
      </c>
      <c r="H818" s="31"/>
      <c r="I818" s="32"/>
      <c r="J818" s="101"/>
      <c r="K818" s="32"/>
      <c r="L818" s="100"/>
    </row>
    <row r="819" spans="1:13">
      <c r="A819" s="31"/>
      <c r="B819" s="32"/>
      <c r="C819" s="32"/>
      <c r="D819" s="25" t="s">
        <v>362</v>
      </c>
      <c r="E819" s="41"/>
      <c r="F819" s="41"/>
      <c r="G819" s="27"/>
      <c r="H819" s="31"/>
      <c r="I819" s="32"/>
      <c r="J819" s="101"/>
      <c r="K819" s="32"/>
      <c r="L819" s="100"/>
    </row>
    <row r="820" spans="1:13">
      <c r="A820" s="31"/>
      <c r="B820" s="32"/>
      <c r="C820" s="32"/>
      <c r="D820" s="31"/>
      <c r="E820" s="37" t="str">
        <f ca="1">"id: "&amp;K820</f>
        <v>id: "14.3"</v>
      </c>
      <c r="F820" s="37"/>
      <c r="G820" s="33" t="s">
        <v>366</v>
      </c>
      <c r="H820" s="31"/>
      <c r="I820" s="32"/>
      <c r="J820" s="101">
        <f>$J$2+COUNTA($J$1:J819)</f>
        <v>106</v>
      </c>
      <c r="K820" s="32" t="str">
        <f ca="1">CHAR(34)&amp;L820&amp;CHAR(34)</f>
        <v>"14.3"</v>
      </c>
      <c r="L820" s="100" t="str">
        <f ca="1">INDIRECT("Dashboard!A"&amp;J820)</f>
        <v>14.3</v>
      </c>
      <c r="M820" s="32" t="str">
        <f ca="1">VLOOKUP(L820,Dashboard!A:G,7,FALSE)</f>
        <v>Software Code</v>
      </c>
    </row>
    <row r="821" spans="1:13">
      <c r="A821" s="31"/>
      <c r="B821" s="32"/>
      <c r="C821" s="32"/>
      <c r="D821" s="31"/>
      <c r="E821" s="37" t="s">
        <v>369</v>
      </c>
      <c r="F821" s="102">
        <f>IF(F826="",2,1)</f>
        <v>2</v>
      </c>
      <c r="G821" s="33" t="s">
        <v>366</v>
      </c>
      <c r="H821" s="31"/>
      <c r="I821" s="32"/>
      <c r="J821" s="101"/>
      <c r="K821" s="32"/>
      <c r="L821" s="100"/>
    </row>
    <row r="822" spans="1:13">
      <c r="A822" s="31"/>
      <c r="B822" s="32"/>
      <c r="C822" s="32"/>
      <c r="D822" s="31"/>
      <c r="E822" s="37" t="s">
        <v>368</v>
      </c>
      <c r="F822" s="37" t="str">
        <f ca="1">M820</f>
        <v>Software Code</v>
      </c>
      <c r="G822" s="33" t="s">
        <v>367</v>
      </c>
      <c r="H822" s="31"/>
      <c r="I822" s="32"/>
      <c r="J822" s="101"/>
      <c r="K822" s="32"/>
      <c r="L822" s="100"/>
    </row>
    <row r="823" spans="1:13">
      <c r="A823" s="31"/>
      <c r="B823" s="32"/>
      <c r="C823" s="32"/>
      <c r="D823" s="31"/>
      <c r="E823" s="37" t="s">
        <v>374</v>
      </c>
      <c r="F823" s="37"/>
      <c r="G823" s="33" t="s">
        <v>367</v>
      </c>
      <c r="H823" s="31"/>
      <c r="I823" s="32"/>
      <c r="J823" s="101"/>
      <c r="K823" s="32"/>
      <c r="L823" s="100"/>
    </row>
    <row r="824" spans="1:13">
      <c r="A824" s="31"/>
      <c r="B824" s="32"/>
      <c r="C824" s="32"/>
      <c r="D824" s="31"/>
      <c r="E824" s="37" t="s">
        <v>395</v>
      </c>
      <c r="F824" s="37" t="s">
        <v>394</v>
      </c>
      <c r="G824" s="33" t="s">
        <v>366</v>
      </c>
      <c r="H824" s="31"/>
      <c r="I824" s="32"/>
      <c r="J824" s="101"/>
      <c r="K824" s="32"/>
      <c r="L824" s="100"/>
    </row>
    <row r="825" spans="1:13">
      <c r="A825" s="31"/>
      <c r="B825" s="32"/>
      <c r="C825" s="32"/>
      <c r="D825" s="31"/>
      <c r="E825" s="37" t="s">
        <v>386</v>
      </c>
      <c r="F825" s="37" t="str">
        <f ca="1">IF(VLOOKUP(L820,Dashboard!A:G,2,FALSE)&lt;&gt;"","'plan': true"&amp;CHAR(44)&amp;"'actual': false","")</f>
        <v>'plan': true,'actual': false</v>
      </c>
      <c r="G825" s="33" t="s">
        <v>385</v>
      </c>
      <c r="H825" s="31"/>
      <c r="I825" s="32"/>
      <c r="J825" s="101"/>
      <c r="K825" s="32"/>
      <c r="L825" s="100"/>
    </row>
    <row r="826" spans="1:13" ht="15" thickBot="1">
      <c r="A826" s="31"/>
      <c r="B826" s="32"/>
      <c r="C826" s="32"/>
      <c r="D826" s="28"/>
      <c r="E826" s="43" t="str">
        <f>IF(F826="","//","")&amp;"nestedGroups: ["</f>
        <v>//nestedGroups: [</v>
      </c>
      <c r="F826" s="43"/>
      <c r="G826" s="30" t="s">
        <v>370</v>
      </c>
      <c r="H826" s="31"/>
      <c r="I826" s="32"/>
      <c r="J826" s="101"/>
      <c r="K826" s="32"/>
      <c r="L826" s="100"/>
    </row>
    <row r="827" spans="1:13">
      <c r="A827" s="31"/>
      <c r="B827" s="32"/>
      <c r="C827" s="32"/>
      <c r="D827" s="25" t="s">
        <v>362</v>
      </c>
      <c r="E827" s="41"/>
      <c r="F827" s="41"/>
      <c r="G827" s="27"/>
      <c r="H827" s="31"/>
      <c r="I827" s="32"/>
      <c r="J827" s="101"/>
      <c r="K827" s="32"/>
      <c r="L827" s="100"/>
    </row>
    <row r="828" spans="1:13">
      <c r="A828" s="31"/>
      <c r="B828" s="32"/>
      <c r="C828" s="32"/>
      <c r="D828" s="31"/>
      <c r="E828" s="37" t="str">
        <f ca="1">"id: "&amp;K828</f>
        <v>id: "14.4"</v>
      </c>
      <c r="F828" s="37"/>
      <c r="G828" s="33" t="s">
        <v>366</v>
      </c>
      <c r="H828" s="31"/>
      <c r="I828" s="32"/>
      <c r="J828" s="101">
        <f>$J$2+COUNTA($J$1:J827)</f>
        <v>107</v>
      </c>
      <c r="K828" s="32" t="str">
        <f ca="1">CHAR(34)&amp;L828&amp;CHAR(34)</f>
        <v>"14.4"</v>
      </c>
      <c r="L828" s="100" t="str">
        <f ca="1">INDIRECT("Dashboard!A"&amp;J828)</f>
        <v>14.4</v>
      </c>
      <c r="M828" s="32" t="str">
        <f ca="1">VLOOKUP(L828,Dashboard!A:G,7,FALSE)</f>
        <v>Deployment Procedure of the code</v>
      </c>
    </row>
    <row r="829" spans="1:13">
      <c r="A829" s="31"/>
      <c r="B829" s="32"/>
      <c r="C829" s="32"/>
      <c r="D829" s="31"/>
      <c r="E829" s="37" t="s">
        <v>369</v>
      </c>
      <c r="F829" s="102">
        <f>IF(F834="",2,1)</f>
        <v>2</v>
      </c>
      <c r="G829" s="33" t="s">
        <v>366</v>
      </c>
      <c r="H829" s="31"/>
      <c r="I829" s="32"/>
      <c r="J829" s="101"/>
      <c r="K829" s="32"/>
      <c r="L829" s="100"/>
    </row>
    <row r="830" spans="1:13">
      <c r="A830" s="31"/>
      <c r="B830" s="32"/>
      <c r="C830" s="32"/>
      <c r="D830" s="31"/>
      <c r="E830" s="37" t="s">
        <v>368</v>
      </c>
      <c r="F830" s="37" t="str">
        <f ca="1">M828</f>
        <v>Deployment Procedure of the code</v>
      </c>
      <c r="G830" s="33" t="s">
        <v>367</v>
      </c>
      <c r="H830" s="31"/>
      <c r="I830" s="32"/>
      <c r="J830" s="101"/>
      <c r="K830" s="32"/>
      <c r="L830" s="100"/>
    </row>
    <row r="831" spans="1:13">
      <c r="A831" s="31"/>
      <c r="B831" s="32"/>
      <c r="C831" s="32"/>
      <c r="D831" s="31"/>
      <c r="E831" s="37" t="s">
        <v>374</v>
      </c>
      <c r="F831" s="37"/>
      <c r="G831" s="33" t="s">
        <v>367</v>
      </c>
      <c r="H831" s="31"/>
      <c r="I831" s="32"/>
      <c r="J831" s="101"/>
      <c r="K831" s="32"/>
      <c r="L831" s="100"/>
    </row>
    <row r="832" spans="1:13">
      <c r="A832" s="31"/>
      <c r="B832" s="32"/>
      <c r="C832" s="32"/>
      <c r="D832" s="31"/>
      <c r="E832" s="37" t="s">
        <v>395</v>
      </c>
      <c r="F832" s="37" t="s">
        <v>394</v>
      </c>
      <c r="G832" s="33" t="s">
        <v>366</v>
      </c>
      <c r="H832" s="31"/>
      <c r="I832" s="32"/>
      <c r="J832" s="101"/>
      <c r="K832" s="32"/>
      <c r="L832" s="100"/>
    </row>
    <row r="833" spans="1:13">
      <c r="A833" s="31"/>
      <c r="B833" s="32"/>
      <c r="C833" s="32"/>
      <c r="D833" s="31"/>
      <c r="E833" s="37" t="s">
        <v>386</v>
      </c>
      <c r="F833" s="37" t="str">
        <f ca="1">IF(VLOOKUP(L828,Dashboard!A:G,2,FALSE)&lt;&gt;"","'plan': true"&amp;CHAR(44)&amp;"'actual': false","")</f>
        <v>'plan': true,'actual': false</v>
      </c>
      <c r="G833" s="33" t="s">
        <v>385</v>
      </c>
      <c r="H833" s="31"/>
      <c r="I833" s="32"/>
      <c r="J833" s="101"/>
      <c r="K833" s="32"/>
      <c r="L833" s="100"/>
    </row>
    <row r="834" spans="1:13" ht="15" thickBot="1">
      <c r="A834" s="31"/>
      <c r="B834" s="32"/>
      <c r="C834" s="32"/>
      <c r="D834" s="28"/>
      <c r="E834" s="43" t="str">
        <f>IF(F834="","//","")&amp;"nestedGroups: ["</f>
        <v>//nestedGroups: [</v>
      </c>
      <c r="F834" s="43"/>
      <c r="G834" s="30" t="s">
        <v>370</v>
      </c>
      <c r="H834" s="31"/>
      <c r="I834" s="32"/>
      <c r="J834" s="101"/>
      <c r="K834" s="32"/>
      <c r="L834" s="100"/>
    </row>
    <row r="835" spans="1:13">
      <c r="A835" s="31"/>
      <c r="B835" s="32"/>
      <c r="C835" s="32"/>
      <c r="D835" s="25" t="s">
        <v>362</v>
      </c>
      <c r="E835" s="41"/>
      <c r="F835" s="41"/>
      <c r="G835" s="27"/>
      <c r="H835" s="31"/>
      <c r="I835" s="32"/>
      <c r="J835" s="101"/>
      <c r="K835" s="32"/>
      <c r="L835" s="100"/>
    </row>
    <row r="836" spans="1:13">
      <c r="A836" s="31"/>
      <c r="B836" s="32"/>
      <c r="C836" s="32"/>
      <c r="D836" s="31"/>
      <c r="E836" s="37" t="str">
        <f ca="1">"id: "&amp;K836</f>
        <v>id: "14.5"</v>
      </c>
      <c r="F836" s="37"/>
      <c r="G836" s="33" t="s">
        <v>366</v>
      </c>
      <c r="H836" s="31"/>
      <c r="I836" s="32"/>
      <c r="J836" s="101">
        <f>$J$2+COUNTA($J$1:J835)</f>
        <v>108</v>
      </c>
      <c r="K836" s="32" t="str">
        <f ca="1">CHAR(34)&amp;L836&amp;CHAR(34)</f>
        <v>"14.5"</v>
      </c>
      <c r="L836" s="100" t="str">
        <f ca="1">INDIRECT("Dashboard!A"&amp;J836)</f>
        <v>14.5</v>
      </c>
      <c r="M836" s="32" t="str">
        <f ca="1">VLOOKUP(L836,Dashboard!A:G,7,FALSE)</f>
        <v>Product usage guide with examples for all the functional usecases</v>
      </c>
    </row>
    <row r="837" spans="1:13">
      <c r="A837" s="31"/>
      <c r="B837" s="32"/>
      <c r="C837" s="32"/>
      <c r="D837" s="31"/>
      <c r="E837" s="37" t="s">
        <v>369</v>
      </c>
      <c r="F837" s="102">
        <f>IF(F842="",2,1)</f>
        <v>2</v>
      </c>
      <c r="G837" s="33" t="s">
        <v>366</v>
      </c>
      <c r="H837" s="31"/>
      <c r="I837" s="32"/>
      <c r="J837" s="101"/>
      <c r="K837" s="32"/>
      <c r="L837" s="100"/>
    </row>
    <row r="838" spans="1:13">
      <c r="A838" s="31"/>
      <c r="B838" s="32"/>
      <c r="C838" s="32"/>
      <c r="D838" s="31"/>
      <c r="E838" s="37" t="s">
        <v>368</v>
      </c>
      <c r="F838" s="37" t="str">
        <f ca="1">M836</f>
        <v>Product usage guide with examples for all the functional usecases</v>
      </c>
      <c r="G838" s="33" t="s">
        <v>367</v>
      </c>
      <c r="H838" s="31"/>
      <c r="I838" s="32"/>
      <c r="J838" s="101"/>
      <c r="K838" s="32"/>
      <c r="L838" s="100"/>
    </row>
    <row r="839" spans="1:13">
      <c r="A839" s="31"/>
      <c r="B839" s="32"/>
      <c r="C839" s="32"/>
      <c r="D839" s="31"/>
      <c r="E839" s="37" t="s">
        <v>374</v>
      </c>
      <c r="F839" s="37"/>
      <c r="G839" s="33" t="s">
        <v>367</v>
      </c>
      <c r="H839" s="31"/>
      <c r="I839" s="32"/>
      <c r="J839" s="101"/>
      <c r="K839" s="32"/>
      <c r="L839" s="100"/>
    </row>
    <row r="840" spans="1:13">
      <c r="A840" s="31"/>
      <c r="B840" s="32"/>
      <c r="C840" s="32"/>
      <c r="D840" s="31"/>
      <c r="E840" s="37" t="s">
        <v>395</v>
      </c>
      <c r="F840" s="37" t="s">
        <v>394</v>
      </c>
      <c r="G840" s="33" t="s">
        <v>366</v>
      </c>
      <c r="H840" s="31"/>
      <c r="I840" s="32"/>
      <c r="J840" s="101"/>
      <c r="K840" s="32"/>
      <c r="L840" s="100"/>
    </row>
    <row r="841" spans="1:13">
      <c r="A841" s="31"/>
      <c r="B841" s="32"/>
      <c r="C841" s="32"/>
      <c r="D841" s="31"/>
      <c r="E841" s="37" t="s">
        <v>386</v>
      </c>
      <c r="F841" s="37" t="str">
        <f ca="1">IF(VLOOKUP(L836,Dashboard!A:G,2,FALSE)&lt;&gt;"","'plan': true"&amp;CHAR(44)&amp;"'actual': false","")</f>
        <v>'plan': true,'actual': false</v>
      </c>
      <c r="G841" s="33" t="s">
        <v>385</v>
      </c>
      <c r="H841" s="31"/>
      <c r="I841" s="32"/>
      <c r="J841" s="101"/>
      <c r="K841" s="32"/>
      <c r="L841" s="100"/>
    </row>
    <row r="842" spans="1:13" ht="15" thickBot="1">
      <c r="A842" s="31"/>
      <c r="B842" s="32"/>
      <c r="C842" s="32"/>
      <c r="D842" s="28"/>
      <c r="E842" s="43" t="str">
        <f>IF(F842="","//","")&amp;"nestedGroups: ["</f>
        <v>//nestedGroups: [</v>
      </c>
      <c r="F842" s="43"/>
      <c r="G842" s="30" t="s">
        <v>370</v>
      </c>
      <c r="H842" s="31"/>
      <c r="I842" s="32"/>
      <c r="J842" s="101"/>
      <c r="K842" s="32"/>
      <c r="L842" s="100"/>
    </row>
    <row r="843" spans="1:13">
      <c r="A843" s="31"/>
      <c r="B843" s="32"/>
      <c r="C843" s="32"/>
      <c r="D843" s="25" t="s">
        <v>362</v>
      </c>
      <c r="E843" s="41"/>
      <c r="F843" s="41"/>
      <c r="G843" s="27"/>
      <c r="H843" s="31"/>
      <c r="I843" s="32"/>
      <c r="J843" s="101"/>
      <c r="K843" s="32"/>
      <c r="L843" s="100"/>
    </row>
    <row r="844" spans="1:13">
      <c r="A844" s="31"/>
      <c r="B844" s="32"/>
      <c r="C844" s="32"/>
      <c r="D844" s="31"/>
      <c r="E844" s="37" t="str">
        <f ca="1">"id: "&amp;K844</f>
        <v>id: "14.6"</v>
      </c>
      <c r="F844" s="37"/>
      <c r="G844" s="33" t="s">
        <v>366</v>
      </c>
      <c r="H844" s="31"/>
      <c r="I844" s="32"/>
      <c r="J844" s="101">
        <f>$J$2+COUNTA($J$1:J843)</f>
        <v>109</v>
      </c>
      <c r="K844" s="32" t="str">
        <f ca="1">CHAR(34)&amp;L844&amp;CHAR(34)</f>
        <v>"14.6"</v>
      </c>
      <c r="L844" s="100" t="str">
        <f ca="1">INDIRECT("Dashboard!A"&amp;J844)</f>
        <v>14.6</v>
      </c>
      <c r="M844" s="32" t="str">
        <f ca="1">VLOOKUP(L844,Dashboard!A:G,7,FALSE)</f>
        <v xml:space="preserve">Test report </v>
      </c>
    </row>
    <row r="845" spans="1:13">
      <c r="A845" s="31"/>
      <c r="B845" s="32"/>
      <c r="C845" s="32"/>
      <c r="D845" s="31"/>
      <c r="E845" s="37" t="s">
        <v>369</v>
      </c>
      <c r="F845" s="102">
        <f>IF(F850="",2,1)</f>
        <v>2</v>
      </c>
      <c r="G845" s="33" t="s">
        <v>366</v>
      </c>
      <c r="H845" s="31"/>
      <c r="I845" s="32"/>
      <c r="J845" s="101"/>
      <c r="K845" s="32"/>
      <c r="L845" s="100"/>
    </row>
    <row r="846" spans="1:13">
      <c r="A846" s="31"/>
      <c r="B846" s="32"/>
      <c r="C846" s="32"/>
      <c r="D846" s="31"/>
      <c r="E846" s="37" t="s">
        <v>368</v>
      </c>
      <c r="F846" s="37" t="str">
        <f ca="1">M844</f>
        <v xml:space="preserve">Test report </v>
      </c>
      <c r="G846" s="33" t="s">
        <v>367</v>
      </c>
      <c r="H846" s="31"/>
      <c r="I846" s="32"/>
      <c r="J846" s="101"/>
      <c r="K846" s="32"/>
      <c r="L846" s="100"/>
    </row>
    <row r="847" spans="1:13">
      <c r="A847" s="31"/>
      <c r="B847" s="32"/>
      <c r="C847" s="32"/>
      <c r="D847" s="31"/>
      <c r="E847" s="37" t="s">
        <v>374</v>
      </c>
      <c r="F847" s="37"/>
      <c r="G847" s="33" t="s">
        <v>367</v>
      </c>
      <c r="H847" s="31"/>
      <c r="I847" s="32"/>
      <c r="J847" s="101"/>
      <c r="K847" s="32"/>
      <c r="L847" s="100"/>
    </row>
    <row r="848" spans="1:13">
      <c r="A848" s="31"/>
      <c r="B848" s="32"/>
      <c r="C848" s="32"/>
      <c r="D848" s="31"/>
      <c r="E848" s="37" t="s">
        <v>395</v>
      </c>
      <c r="F848" s="37" t="s">
        <v>394</v>
      </c>
      <c r="G848" s="33" t="s">
        <v>366</v>
      </c>
      <c r="H848" s="31"/>
      <c r="I848" s="32"/>
      <c r="J848" s="101"/>
      <c r="K848" s="32"/>
      <c r="L848" s="100"/>
    </row>
    <row r="849" spans="1:13">
      <c r="A849" s="31"/>
      <c r="B849" s="32"/>
      <c r="C849" s="32"/>
      <c r="D849" s="31"/>
      <c r="E849" s="37" t="s">
        <v>386</v>
      </c>
      <c r="F849" s="37" t="str">
        <f ca="1">IF(VLOOKUP(L844,Dashboard!A:G,2,FALSE)&lt;&gt;"","'plan': true"&amp;CHAR(44)&amp;"'actual': false","")</f>
        <v>'plan': true,'actual': false</v>
      </c>
      <c r="G849" s="33" t="s">
        <v>385</v>
      </c>
      <c r="H849" s="31"/>
      <c r="I849" s="32"/>
      <c r="J849" s="101"/>
      <c r="K849" s="32"/>
      <c r="L849" s="100"/>
    </row>
    <row r="850" spans="1:13" ht="15" thickBot="1">
      <c r="A850" s="31"/>
      <c r="B850" s="32"/>
      <c r="C850" s="32"/>
      <c r="D850" s="28"/>
      <c r="E850" s="43" t="str">
        <f>IF(F850="","//","")&amp;"nestedGroups: ["</f>
        <v>//nestedGroups: [</v>
      </c>
      <c r="F850" s="43"/>
      <c r="G850" s="30" t="s">
        <v>370</v>
      </c>
      <c r="H850" s="31"/>
      <c r="I850" s="32"/>
      <c r="J850" s="101"/>
      <c r="K850" s="32"/>
      <c r="L850" s="100"/>
    </row>
    <row r="851" spans="1:13">
      <c r="A851" s="31"/>
      <c r="B851" s="32"/>
      <c r="C851" s="32"/>
      <c r="D851" s="25" t="s">
        <v>362</v>
      </c>
      <c r="E851" s="114"/>
      <c r="F851" s="114"/>
      <c r="G851" s="27"/>
      <c r="H851" s="31"/>
      <c r="I851" s="32"/>
      <c r="J851" s="101"/>
      <c r="K851" s="32"/>
      <c r="L851" s="100"/>
    </row>
    <row r="852" spans="1:13">
      <c r="A852" s="31"/>
      <c r="B852" s="32"/>
      <c r="C852" s="32"/>
      <c r="D852" s="31"/>
      <c r="E852" s="37" t="str">
        <f ca="1">"id: "&amp;K852</f>
        <v>id: "15"</v>
      </c>
      <c r="F852" s="37"/>
      <c r="G852" s="33" t="s">
        <v>366</v>
      </c>
      <c r="H852" s="31"/>
      <c r="I852" s="32"/>
      <c r="J852" s="101">
        <f>$J$2+COUNTA($J$1:J851)</f>
        <v>110</v>
      </c>
      <c r="K852" s="32" t="str">
        <f ca="1">CHAR(34)&amp;L852&amp;CHAR(34)</f>
        <v>"15"</v>
      </c>
      <c r="L852" s="100" t="str">
        <f ca="1">INDIRECT("Dashboard!A"&amp;J852)</f>
        <v>15</v>
      </c>
      <c r="M852" s="32" t="str">
        <f ca="1">VLOOKUP(L852,Dashboard!A:G,7,FALSE)</f>
        <v>M14. Decision Engine - Usecase 1</v>
      </c>
    </row>
    <row r="853" spans="1:13">
      <c r="A853" s="31"/>
      <c r="B853" s="32"/>
      <c r="C853" s="32"/>
      <c r="D853" s="31"/>
      <c r="E853" s="37" t="s">
        <v>369</v>
      </c>
      <c r="F853" s="102" t="e">
        <f>IF(F858="",2,1)</f>
        <v>#VALUE!</v>
      </c>
      <c r="G853" s="33" t="s">
        <v>366</v>
      </c>
      <c r="H853" s="31"/>
      <c r="I853" s="32"/>
      <c r="J853" s="101"/>
      <c r="K853" s="32"/>
      <c r="L853" s="100"/>
    </row>
    <row r="854" spans="1:13">
      <c r="A854" s="31"/>
      <c r="B854" s="32"/>
      <c r="C854" s="32"/>
      <c r="D854" s="31"/>
      <c r="E854" s="37" t="s">
        <v>368</v>
      </c>
      <c r="F854" s="37" t="str">
        <f ca="1">M852</f>
        <v>M14. Decision Engine - Usecase 1</v>
      </c>
      <c r="G854" s="33" t="s">
        <v>367</v>
      </c>
      <c r="H854" s="31"/>
      <c r="I854" s="32"/>
      <c r="J854" s="101"/>
      <c r="K854" s="32"/>
      <c r="L854" s="100"/>
    </row>
    <row r="855" spans="1:13">
      <c r="A855" s="31"/>
      <c r="B855" s="32"/>
      <c r="C855" s="32"/>
      <c r="D855" s="31"/>
      <c r="E855" s="37" t="s">
        <v>374</v>
      </c>
      <c r="F855" s="37"/>
      <c r="G855" s="33" t="s">
        <v>367</v>
      </c>
      <c r="H855" s="31"/>
      <c r="I855" s="32"/>
      <c r="J855" s="101"/>
      <c r="K855" s="32"/>
      <c r="L855" s="100"/>
    </row>
    <row r="856" spans="1:13">
      <c r="A856" s="31"/>
      <c r="B856" s="32"/>
      <c r="C856" s="32"/>
      <c r="D856" s="31"/>
      <c r="E856" s="37" t="s">
        <v>395</v>
      </c>
      <c r="F856" s="37" t="s">
        <v>394</v>
      </c>
      <c r="G856" s="33" t="s">
        <v>366</v>
      </c>
      <c r="H856" s="31"/>
      <c r="I856" s="32"/>
      <c r="J856" s="101"/>
      <c r="K856" s="32"/>
      <c r="L856" s="100"/>
    </row>
    <row r="857" spans="1:13">
      <c r="A857" s="31"/>
      <c r="B857" s="32"/>
      <c r="C857" s="32"/>
      <c r="D857" s="31"/>
      <c r="E857" s="37" t="s">
        <v>386</v>
      </c>
      <c r="F857" s="37" t="str">
        <f ca="1">IF(VLOOKUP(L852,Dashboard!A:G,2,FALSE)&lt;&gt;"","'plan': true"&amp;CHAR(44)&amp;"'actual': false","")</f>
        <v>'plan': true,'actual': false</v>
      </c>
      <c r="G857" s="33" t="s">
        <v>385</v>
      </c>
      <c r="H857" s="31"/>
      <c r="I857" s="32" t="s">
        <v>571</v>
      </c>
      <c r="J857" s="101"/>
      <c r="K857" s="32"/>
      <c r="L857" s="100"/>
    </row>
    <row r="858" spans="1:13" ht="15" thickBot="1">
      <c r="A858" s="31"/>
      <c r="B858" s="32"/>
      <c r="C858" s="32"/>
      <c r="D858" s="28"/>
      <c r="E858" s="43" t="e">
        <f>IF(F858="","//","")&amp;"nestedGroups: ["</f>
        <v>#VALUE!</v>
      </c>
      <c r="F858" s="37" t="e">
        <f>nestedGroups(5,I858*$I$2,", ")</f>
        <v>#VALUE!</v>
      </c>
      <c r="G858" s="30" t="s">
        <v>370</v>
      </c>
      <c r="H858" s="31"/>
      <c r="I858" s="3">
        <v>6</v>
      </c>
      <c r="J858" s="101"/>
      <c r="K858" s="32"/>
      <c r="L858" s="100"/>
    </row>
    <row r="859" spans="1:13">
      <c r="A859" s="31"/>
      <c r="B859" s="32"/>
      <c r="C859" s="32"/>
      <c r="D859" s="25" t="s">
        <v>362</v>
      </c>
      <c r="E859" s="41"/>
      <c r="F859" s="41"/>
      <c r="G859" s="27"/>
      <c r="H859" s="31"/>
      <c r="I859" s="32"/>
      <c r="J859" s="101"/>
      <c r="K859" s="32"/>
      <c r="L859" s="100"/>
    </row>
    <row r="860" spans="1:13">
      <c r="A860" s="31"/>
      <c r="B860" s="32"/>
      <c r="C860" s="32"/>
      <c r="D860" s="31"/>
      <c r="E860" s="37" t="str">
        <f ca="1">"id: "&amp;K860</f>
        <v>id: "15.1"</v>
      </c>
      <c r="F860" s="37"/>
      <c r="G860" s="33" t="s">
        <v>366</v>
      </c>
      <c r="H860" s="31"/>
      <c r="I860" s="32"/>
      <c r="J860" s="101">
        <f>$J$2+COUNTA($J$1:J859)</f>
        <v>111</v>
      </c>
      <c r="K860" s="32" t="str">
        <f ca="1">CHAR(34)&amp;L860&amp;CHAR(34)</f>
        <v>"15.1"</v>
      </c>
      <c r="L860" s="100" t="str">
        <f ca="1">INDIRECT("Dashboard!A"&amp;J860)</f>
        <v>15.1</v>
      </c>
      <c r="M860" s="32" t="str">
        <f ca="1">VLOOKUP(L860,Dashboard!A:G,7,FALSE)</f>
        <v>Note : Use case to be evaluated based on research basis in the area of smart home and smart grid &amp; smart factory applications</v>
      </c>
    </row>
    <row r="861" spans="1:13">
      <c r="A861" s="31"/>
      <c r="B861" s="32"/>
      <c r="C861" s="32"/>
      <c r="D861" s="31"/>
      <c r="E861" s="37" t="s">
        <v>369</v>
      </c>
      <c r="F861" s="102">
        <f>IF(F866="",2,1)</f>
        <v>2</v>
      </c>
      <c r="G861" s="33" t="s">
        <v>366</v>
      </c>
      <c r="H861" s="31"/>
      <c r="I861" s="32"/>
      <c r="J861" s="101"/>
      <c r="K861" s="32"/>
      <c r="L861" s="100"/>
    </row>
    <row r="862" spans="1:13">
      <c r="A862" s="31"/>
      <c r="B862" s="32"/>
      <c r="C862" s="32"/>
      <c r="D862" s="31"/>
      <c r="E862" s="37" t="s">
        <v>368</v>
      </c>
      <c r="F862" s="37" t="str">
        <f ca="1">M860</f>
        <v>Note : Use case to be evaluated based on research basis in the area of smart home and smart grid &amp; smart factory applications</v>
      </c>
      <c r="G862" s="33" t="s">
        <v>367</v>
      </c>
      <c r="H862" s="31"/>
      <c r="I862" s="32"/>
      <c r="J862" s="101"/>
      <c r="K862" s="32"/>
      <c r="L862" s="100"/>
    </row>
    <row r="863" spans="1:13">
      <c r="A863" s="31"/>
      <c r="B863" s="32"/>
      <c r="C863" s="32"/>
      <c r="D863" s="31"/>
      <c r="E863" s="37" t="s">
        <v>374</v>
      </c>
      <c r="F863" s="37"/>
      <c r="G863" s="33" t="s">
        <v>367</v>
      </c>
      <c r="H863" s="31"/>
      <c r="I863" s="32"/>
      <c r="J863" s="101"/>
      <c r="K863" s="32"/>
      <c r="L863" s="100"/>
    </row>
    <row r="864" spans="1:13">
      <c r="A864" s="31"/>
      <c r="B864" s="32"/>
      <c r="C864" s="32"/>
      <c r="D864" s="31"/>
      <c r="E864" s="37" t="s">
        <v>395</v>
      </c>
      <c r="F864" s="37" t="s">
        <v>394</v>
      </c>
      <c r="G864" s="33" t="s">
        <v>366</v>
      </c>
      <c r="H864" s="31"/>
      <c r="I864" s="32"/>
      <c r="J864" s="101"/>
      <c r="K864" s="32"/>
      <c r="L864" s="100"/>
    </row>
    <row r="865" spans="1:13">
      <c r="A865" s="31"/>
      <c r="B865" s="32"/>
      <c r="C865" s="32"/>
      <c r="D865" s="31"/>
      <c r="E865" s="37" t="s">
        <v>386</v>
      </c>
      <c r="F865" s="37" t="str">
        <f ca="1">IF(VLOOKUP(L860,Dashboard!A:G,2,FALSE)&lt;&gt;"","'plan': true"&amp;CHAR(44)&amp;"'actual': false","")</f>
        <v/>
      </c>
      <c r="G865" s="33" t="s">
        <v>385</v>
      </c>
      <c r="H865" s="31"/>
      <c r="I865" s="32"/>
      <c r="J865" s="101"/>
      <c r="K865" s="32"/>
      <c r="L865" s="100"/>
    </row>
    <row r="866" spans="1:13" ht="15" thickBot="1">
      <c r="A866" s="31"/>
      <c r="B866" s="32"/>
      <c r="C866" s="32"/>
      <c r="D866" s="28"/>
      <c r="E866" s="43" t="str">
        <f>IF(F866="","//","")&amp;"nestedGroups: ["</f>
        <v>//nestedGroups: [</v>
      </c>
      <c r="F866" s="43"/>
      <c r="G866" s="30" t="s">
        <v>370</v>
      </c>
      <c r="H866" s="31"/>
      <c r="I866" s="32"/>
      <c r="J866" s="101"/>
      <c r="K866" s="32"/>
      <c r="L866" s="100"/>
    </row>
    <row r="867" spans="1:13">
      <c r="A867" s="31"/>
      <c r="B867" s="32"/>
      <c r="C867" s="32"/>
      <c r="D867" s="25" t="s">
        <v>362</v>
      </c>
      <c r="E867" s="41"/>
      <c r="F867" s="41"/>
      <c r="G867" s="27"/>
      <c r="H867" s="31"/>
      <c r="I867" s="32"/>
      <c r="J867" s="101"/>
      <c r="K867" s="32"/>
      <c r="L867" s="100"/>
    </row>
    <row r="868" spans="1:13">
      <c r="A868" s="31"/>
      <c r="B868" s="32"/>
      <c r="C868" s="32"/>
      <c r="D868" s="31"/>
      <c r="E868" s="37" t="str">
        <f ca="1">"id: "&amp;K868</f>
        <v>id: "15.2"</v>
      </c>
      <c r="F868" s="37"/>
      <c r="G868" s="33" t="s">
        <v>366</v>
      </c>
      <c r="H868" s="31"/>
      <c r="I868" s="32"/>
      <c r="J868" s="101">
        <f>$J$2+COUNTA($J$1:J867)</f>
        <v>112</v>
      </c>
      <c r="K868" s="32" t="str">
        <f ca="1">CHAR(34)&amp;L868&amp;CHAR(34)</f>
        <v>"15.2"</v>
      </c>
      <c r="L868" s="100" t="str">
        <f ca="1">INDIRECT("Dashboard!A"&amp;J868)</f>
        <v>15.2</v>
      </c>
      <c r="M868" s="32" t="str">
        <f ca="1">VLOOKUP(L868,Dashboard!A:G,7,FALSE)</f>
        <v>Technical design document explaining the data schema and algorithm</v>
      </c>
    </row>
    <row r="869" spans="1:13">
      <c r="A869" s="31"/>
      <c r="B869" s="32"/>
      <c r="C869" s="32"/>
      <c r="D869" s="31"/>
      <c r="E869" s="37" t="s">
        <v>369</v>
      </c>
      <c r="F869" s="102">
        <f>IF(F874="",2,1)</f>
        <v>2</v>
      </c>
      <c r="G869" s="33" t="s">
        <v>366</v>
      </c>
      <c r="H869" s="31"/>
      <c r="I869" s="32"/>
      <c r="J869" s="101"/>
      <c r="K869" s="32"/>
      <c r="L869" s="100"/>
    </row>
    <row r="870" spans="1:13">
      <c r="A870" s="31"/>
      <c r="B870" s="32"/>
      <c r="C870" s="32"/>
      <c r="D870" s="31"/>
      <c r="E870" s="37" t="s">
        <v>368</v>
      </c>
      <c r="F870" s="37" t="str">
        <f ca="1">M868</f>
        <v>Technical design document explaining the data schema and algorithm</v>
      </c>
      <c r="G870" s="33" t="s">
        <v>367</v>
      </c>
      <c r="H870" s="31"/>
      <c r="I870" s="32"/>
      <c r="J870" s="101"/>
      <c r="K870" s="32"/>
      <c r="L870" s="100"/>
    </row>
    <row r="871" spans="1:13">
      <c r="A871" s="31"/>
      <c r="B871" s="32"/>
      <c r="C871" s="32"/>
      <c r="D871" s="31"/>
      <c r="E871" s="37" t="s">
        <v>374</v>
      </c>
      <c r="F871" s="37"/>
      <c r="G871" s="33" t="s">
        <v>367</v>
      </c>
      <c r="H871" s="31"/>
      <c r="I871" s="32"/>
      <c r="J871" s="101"/>
      <c r="K871" s="32"/>
      <c r="L871" s="100"/>
    </row>
    <row r="872" spans="1:13">
      <c r="A872" s="31"/>
      <c r="B872" s="32"/>
      <c r="C872" s="32"/>
      <c r="D872" s="31"/>
      <c r="E872" s="37" t="s">
        <v>395</v>
      </c>
      <c r="F872" s="37" t="s">
        <v>394</v>
      </c>
      <c r="G872" s="33" t="s">
        <v>366</v>
      </c>
      <c r="H872" s="31"/>
      <c r="I872" s="32"/>
      <c r="J872" s="101"/>
      <c r="K872" s="32"/>
      <c r="L872" s="100"/>
    </row>
    <row r="873" spans="1:13">
      <c r="A873" s="31"/>
      <c r="B873" s="32"/>
      <c r="C873" s="32"/>
      <c r="D873" s="31"/>
      <c r="E873" s="37" t="s">
        <v>386</v>
      </c>
      <c r="F873" s="37" t="str">
        <f ca="1">IF(VLOOKUP(L868,Dashboard!A:G,2,FALSE)&lt;&gt;"","'plan': true"&amp;CHAR(44)&amp;"'actual': false","")</f>
        <v>'plan': true,'actual': false</v>
      </c>
      <c r="G873" s="33" t="s">
        <v>385</v>
      </c>
      <c r="H873" s="31"/>
      <c r="I873" s="32"/>
      <c r="J873" s="101"/>
      <c r="K873" s="32"/>
      <c r="L873" s="100"/>
    </row>
    <row r="874" spans="1:13" ht="15" thickBot="1">
      <c r="A874" s="31"/>
      <c r="B874" s="32"/>
      <c r="C874" s="32"/>
      <c r="D874" s="28"/>
      <c r="E874" s="43" t="str">
        <f>IF(F874="","//","")&amp;"nestedGroups: ["</f>
        <v>//nestedGroups: [</v>
      </c>
      <c r="F874" s="43"/>
      <c r="G874" s="30" t="s">
        <v>370</v>
      </c>
      <c r="H874" s="31"/>
      <c r="I874" s="32"/>
      <c r="J874" s="101"/>
      <c r="K874" s="32"/>
      <c r="L874" s="100"/>
    </row>
    <row r="875" spans="1:13">
      <c r="A875" s="31"/>
      <c r="B875" s="32"/>
      <c r="C875" s="32"/>
      <c r="D875" s="25" t="s">
        <v>362</v>
      </c>
      <c r="E875" s="41"/>
      <c r="F875" s="41"/>
      <c r="G875" s="27"/>
      <c r="H875" s="31"/>
      <c r="I875" s="32"/>
      <c r="J875" s="101"/>
      <c r="K875" s="32"/>
      <c r="L875" s="100"/>
    </row>
    <row r="876" spans="1:13">
      <c r="A876" s="31"/>
      <c r="B876" s="32"/>
      <c r="C876" s="32"/>
      <c r="D876" s="31"/>
      <c r="E876" s="37" t="str">
        <f ca="1">"id: "&amp;K876</f>
        <v>id: "15.3"</v>
      </c>
      <c r="F876" s="37"/>
      <c r="G876" s="33" t="s">
        <v>366</v>
      </c>
      <c r="H876" s="31"/>
      <c r="I876" s="32"/>
      <c r="J876" s="101">
        <f>$J$2+COUNTA($J$1:J875)</f>
        <v>113</v>
      </c>
      <c r="K876" s="32" t="str">
        <f ca="1">CHAR(34)&amp;L876&amp;CHAR(34)</f>
        <v>"15.3"</v>
      </c>
      <c r="L876" s="100" t="str">
        <f ca="1">INDIRECT("Dashboard!A"&amp;J876)</f>
        <v>15.3</v>
      </c>
      <c r="M876" s="32" t="str">
        <f ca="1">VLOOKUP(L876,Dashboard!A:G,7,FALSE)</f>
        <v>Software Code</v>
      </c>
    </row>
    <row r="877" spans="1:13">
      <c r="A877" s="31"/>
      <c r="B877" s="32"/>
      <c r="C877" s="32"/>
      <c r="D877" s="31"/>
      <c r="E877" s="37" t="s">
        <v>369</v>
      </c>
      <c r="F877" s="102">
        <f>IF(F882="",2,1)</f>
        <v>2</v>
      </c>
      <c r="G877" s="33" t="s">
        <v>366</v>
      </c>
      <c r="H877" s="31"/>
      <c r="I877" s="32"/>
      <c r="J877" s="101"/>
      <c r="K877" s="32"/>
      <c r="L877" s="100"/>
    </row>
    <row r="878" spans="1:13">
      <c r="A878" s="31"/>
      <c r="B878" s="32"/>
      <c r="C878" s="32"/>
      <c r="D878" s="31"/>
      <c r="E878" s="37" t="s">
        <v>368</v>
      </c>
      <c r="F878" s="37" t="str">
        <f ca="1">M876</f>
        <v>Software Code</v>
      </c>
      <c r="G878" s="33" t="s">
        <v>367</v>
      </c>
      <c r="H878" s="31"/>
      <c r="I878" s="32"/>
      <c r="J878" s="101"/>
      <c r="K878" s="32"/>
      <c r="L878" s="100"/>
    </row>
    <row r="879" spans="1:13">
      <c r="A879" s="31"/>
      <c r="B879" s="32"/>
      <c r="C879" s="32"/>
      <c r="D879" s="31"/>
      <c r="E879" s="37" t="s">
        <v>374</v>
      </c>
      <c r="F879" s="37"/>
      <c r="G879" s="33" t="s">
        <v>367</v>
      </c>
      <c r="H879" s="31"/>
      <c r="I879" s="32"/>
      <c r="J879" s="101"/>
      <c r="K879" s="32"/>
      <c r="L879" s="100"/>
    </row>
    <row r="880" spans="1:13">
      <c r="A880" s="31"/>
      <c r="B880" s="32"/>
      <c r="C880" s="32"/>
      <c r="D880" s="31"/>
      <c r="E880" s="37" t="s">
        <v>395</v>
      </c>
      <c r="F880" s="37" t="s">
        <v>394</v>
      </c>
      <c r="G880" s="33" t="s">
        <v>366</v>
      </c>
      <c r="H880" s="31"/>
      <c r="I880" s="32"/>
      <c r="J880" s="101"/>
      <c r="K880" s="32"/>
      <c r="L880" s="100"/>
    </row>
    <row r="881" spans="1:13">
      <c r="A881" s="31"/>
      <c r="B881" s="32"/>
      <c r="C881" s="32"/>
      <c r="D881" s="31"/>
      <c r="E881" s="37" t="s">
        <v>386</v>
      </c>
      <c r="F881" s="37" t="str">
        <f ca="1">IF(VLOOKUP(L876,Dashboard!A:G,2,FALSE)&lt;&gt;"","'plan': true"&amp;CHAR(44)&amp;"'actual': false","")</f>
        <v>'plan': true,'actual': false</v>
      </c>
      <c r="G881" s="33" t="s">
        <v>385</v>
      </c>
      <c r="H881" s="31"/>
      <c r="I881" s="32"/>
      <c r="J881" s="101"/>
      <c r="K881" s="32"/>
      <c r="L881" s="100"/>
    </row>
    <row r="882" spans="1:13" ht="15" thickBot="1">
      <c r="A882" s="31"/>
      <c r="B882" s="32"/>
      <c r="C882" s="32"/>
      <c r="D882" s="28"/>
      <c r="E882" s="43" t="str">
        <f>IF(F882="","//","")&amp;"nestedGroups: ["</f>
        <v>//nestedGroups: [</v>
      </c>
      <c r="F882" s="43"/>
      <c r="G882" s="30" t="s">
        <v>370</v>
      </c>
      <c r="H882" s="31"/>
      <c r="I882" s="32"/>
      <c r="J882" s="101"/>
      <c r="K882" s="32"/>
      <c r="L882" s="100"/>
    </row>
    <row r="883" spans="1:13">
      <c r="A883" s="31"/>
      <c r="B883" s="32"/>
      <c r="C883" s="32"/>
      <c r="D883" s="25" t="s">
        <v>362</v>
      </c>
      <c r="E883" s="41"/>
      <c r="F883" s="41"/>
      <c r="G883" s="27"/>
      <c r="H883" s="31"/>
      <c r="I883" s="32"/>
      <c r="J883" s="101"/>
      <c r="K883" s="32"/>
      <c r="L883" s="100"/>
    </row>
    <row r="884" spans="1:13">
      <c r="A884" s="31"/>
      <c r="B884" s="32"/>
      <c r="C884" s="32"/>
      <c r="D884" s="31"/>
      <c r="E884" s="37" t="str">
        <f ca="1">"id: "&amp;K884</f>
        <v>id: "15.4"</v>
      </c>
      <c r="F884" s="37"/>
      <c r="G884" s="33" t="s">
        <v>366</v>
      </c>
      <c r="H884" s="31"/>
      <c r="I884" s="32"/>
      <c r="J884" s="101">
        <f>$J$2+COUNTA($J$1:J883)</f>
        <v>114</v>
      </c>
      <c r="K884" s="32" t="str">
        <f ca="1">CHAR(34)&amp;L884&amp;CHAR(34)</f>
        <v>"15.4"</v>
      </c>
      <c r="L884" s="100" t="str">
        <f ca="1">INDIRECT("Dashboard!A"&amp;J884)</f>
        <v>15.4</v>
      </c>
      <c r="M884" s="32" t="str">
        <f ca="1">VLOOKUP(L884,Dashboard!A:G,7,FALSE)</f>
        <v>Deployment Procedure of the code</v>
      </c>
    </row>
    <row r="885" spans="1:13">
      <c r="A885" s="31"/>
      <c r="B885" s="32"/>
      <c r="C885" s="32"/>
      <c r="D885" s="31"/>
      <c r="E885" s="37" t="s">
        <v>369</v>
      </c>
      <c r="F885" s="102">
        <f>IF(F890="",2,1)</f>
        <v>2</v>
      </c>
      <c r="G885" s="33" t="s">
        <v>366</v>
      </c>
      <c r="H885" s="31"/>
      <c r="I885" s="32"/>
      <c r="J885" s="101"/>
      <c r="K885" s="32"/>
      <c r="L885" s="100"/>
    </row>
    <row r="886" spans="1:13">
      <c r="A886" s="31"/>
      <c r="B886" s="32"/>
      <c r="C886" s="32"/>
      <c r="D886" s="31"/>
      <c r="E886" s="37" t="s">
        <v>368</v>
      </c>
      <c r="F886" s="37" t="str">
        <f ca="1">M884</f>
        <v>Deployment Procedure of the code</v>
      </c>
      <c r="G886" s="33" t="s">
        <v>367</v>
      </c>
      <c r="H886" s="31"/>
      <c r="I886" s="32"/>
      <c r="J886" s="101"/>
      <c r="K886" s="32"/>
      <c r="L886" s="100"/>
    </row>
    <row r="887" spans="1:13">
      <c r="A887" s="31"/>
      <c r="B887" s="32"/>
      <c r="C887" s="32"/>
      <c r="D887" s="31"/>
      <c r="E887" s="37" t="s">
        <v>374</v>
      </c>
      <c r="F887" s="37"/>
      <c r="G887" s="33" t="s">
        <v>367</v>
      </c>
      <c r="H887" s="31"/>
      <c r="I887" s="32"/>
      <c r="J887" s="101"/>
      <c r="K887" s="32"/>
      <c r="L887" s="100"/>
    </row>
    <row r="888" spans="1:13">
      <c r="A888" s="31"/>
      <c r="B888" s="32"/>
      <c r="C888" s="32"/>
      <c r="D888" s="31"/>
      <c r="E888" s="37" t="s">
        <v>395</v>
      </c>
      <c r="F888" s="37" t="s">
        <v>394</v>
      </c>
      <c r="G888" s="33" t="s">
        <v>366</v>
      </c>
      <c r="H888" s="31"/>
      <c r="I888" s="32"/>
      <c r="J888" s="101"/>
      <c r="K888" s="32"/>
      <c r="L888" s="100"/>
    </row>
    <row r="889" spans="1:13">
      <c r="A889" s="31"/>
      <c r="B889" s="32"/>
      <c r="C889" s="32"/>
      <c r="D889" s="31"/>
      <c r="E889" s="37" t="s">
        <v>386</v>
      </c>
      <c r="F889" s="37" t="str">
        <f ca="1">IF(VLOOKUP(L884,Dashboard!A:G,2,FALSE)&lt;&gt;"","'plan': true"&amp;CHAR(44)&amp;"'actual': false","")</f>
        <v>'plan': true,'actual': false</v>
      </c>
      <c r="G889" s="33" t="s">
        <v>385</v>
      </c>
      <c r="H889" s="31"/>
      <c r="I889" s="32"/>
      <c r="J889" s="101"/>
      <c r="K889" s="32"/>
      <c r="L889" s="100"/>
    </row>
    <row r="890" spans="1:13" ht="15" thickBot="1">
      <c r="A890" s="31"/>
      <c r="B890" s="32"/>
      <c r="C890" s="32"/>
      <c r="D890" s="28"/>
      <c r="E890" s="43" t="str">
        <f>IF(F890="","//","")&amp;"nestedGroups: ["</f>
        <v>//nestedGroups: [</v>
      </c>
      <c r="F890" s="43"/>
      <c r="G890" s="30" t="s">
        <v>370</v>
      </c>
      <c r="H890" s="31"/>
      <c r="I890" s="32"/>
      <c r="J890" s="101"/>
      <c r="K890" s="32"/>
      <c r="L890" s="100"/>
    </row>
    <row r="891" spans="1:13">
      <c r="A891" s="31"/>
      <c r="B891" s="32"/>
      <c r="C891" s="32"/>
      <c r="D891" s="25" t="s">
        <v>362</v>
      </c>
      <c r="E891" s="41"/>
      <c r="F891" s="41"/>
      <c r="G891" s="27"/>
      <c r="H891" s="31"/>
      <c r="I891" s="32"/>
      <c r="J891" s="101"/>
      <c r="K891" s="32"/>
      <c r="L891" s="100"/>
    </row>
    <row r="892" spans="1:13">
      <c r="A892" s="31"/>
      <c r="B892" s="32"/>
      <c r="C892" s="32"/>
      <c r="D892" s="31"/>
      <c r="E892" s="37" t="str">
        <f ca="1">"id: "&amp;K892</f>
        <v>id: "15.5"</v>
      </c>
      <c r="F892" s="37"/>
      <c r="G892" s="33" t="s">
        <v>366</v>
      </c>
      <c r="H892" s="31"/>
      <c r="I892" s="32"/>
      <c r="J892" s="101">
        <f>$J$2+COUNTA($J$1:J891)</f>
        <v>115</v>
      </c>
      <c r="K892" s="32" t="str">
        <f ca="1">CHAR(34)&amp;L892&amp;CHAR(34)</f>
        <v>"15.5"</v>
      </c>
      <c r="L892" s="100" t="str">
        <f ca="1">INDIRECT("Dashboard!A"&amp;J892)</f>
        <v>15.5</v>
      </c>
      <c r="M892" s="32" t="str">
        <f ca="1">VLOOKUP(L892,Dashboard!A:G,7,FALSE)</f>
        <v>Product usage guide with examples for all the functional usecases</v>
      </c>
    </row>
    <row r="893" spans="1:13">
      <c r="A893" s="31"/>
      <c r="B893" s="32"/>
      <c r="C893" s="32"/>
      <c r="D893" s="31"/>
      <c r="E893" s="37" t="s">
        <v>369</v>
      </c>
      <c r="F893" s="102">
        <f>IF(F898="",2,1)</f>
        <v>2</v>
      </c>
      <c r="G893" s="33" t="s">
        <v>366</v>
      </c>
      <c r="H893" s="31"/>
      <c r="I893" s="32"/>
      <c r="J893" s="101"/>
      <c r="K893" s="32"/>
      <c r="L893" s="100"/>
    </row>
    <row r="894" spans="1:13">
      <c r="A894" s="31"/>
      <c r="B894" s="32"/>
      <c r="C894" s="32"/>
      <c r="D894" s="31"/>
      <c r="E894" s="37" t="s">
        <v>368</v>
      </c>
      <c r="F894" s="37" t="str">
        <f ca="1">M892</f>
        <v>Product usage guide with examples for all the functional usecases</v>
      </c>
      <c r="G894" s="33" t="s">
        <v>367</v>
      </c>
      <c r="H894" s="31"/>
      <c r="I894" s="32"/>
      <c r="J894" s="101"/>
      <c r="K894" s="32"/>
      <c r="L894" s="100"/>
    </row>
    <row r="895" spans="1:13">
      <c r="A895" s="31"/>
      <c r="B895" s="32"/>
      <c r="C895" s="32"/>
      <c r="D895" s="31"/>
      <c r="E895" s="37" t="s">
        <v>374</v>
      </c>
      <c r="F895" s="37"/>
      <c r="G895" s="33" t="s">
        <v>367</v>
      </c>
      <c r="H895" s="31"/>
      <c r="I895" s="32"/>
      <c r="J895" s="101"/>
      <c r="K895" s="32"/>
      <c r="L895" s="100"/>
    </row>
    <row r="896" spans="1:13">
      <c r="A896" s="31"/>
      <c r="B896" s="32"/>
      <c r="C896" s="32"/>
      <c r="D896" s="31"/>
      <c r="E896" s="37" t="s">
        <v>395</v>
      </c>
      <c r="F896" s="37" t="s">
        <v>394</v>
      </c>
      <c r="G896" s="33" t="s">
        <v>366</v>
      </c>
      <c r="H896" s="31"/>
      <c r="I896" s="32"/>
      <c r="J896" s="101"/>
      <c r="K896" s="32"/>
      <c r="L896" s="100"/>
    </row>
    <row r="897" spans="1:13">
      <c r="A897" s="31"/>
      <c r="B897" s="32"/>
      <c r="C897" s="32"/>
      <c r="D897" s="31"/>
      <c r="E897" s="37" t="s">
        <v>386</v>
      </c>
      <c r="F897" s="37" t="str">
        <f ca="1">IF(VLOOKUP(L892,Dashboard!A:G,2,FALSE)&lt;&gt;"","'plan': true"&amp;CHAR(44)&amp;"'actual': false","")</f>
        <v>'plan': true,'actual': false</v>
      </c>
      <c r="G897" s="33" t="s">
        <v>385</v>
      </c>
      <c r="H897" s="31"/>
      <c r="I897" s="32"/>
      <c r="J897" s="101"/>
      <c r="K897" s="32"/>
      <c r="L897" s="100"/>
    </row>
    <row r="898" spans="1:13" ht="15" thickBot="1">
      <c r="A898" s="31"/>
      <c r="B898" s="32"/>
      <c r="C898" s="32"/>
      <c r="D898" s="28"/>
      <c r="E898" s="43" t="str">
        <f>IF(F898="","//","")&amp;"nestedGroups: ["</f>
        <v>//nestedGroups: [</v>
      </c>
      <c r="F898" s="43"/>
      <c r="G898" s="30" t="s">
        <v>370</v>
      </c>
      <c r="H898" s="31"/>
      <c r="I898" s="32"/>
      <c r="J898" s="101"/>
      <c r="K898" s="32"/>
      <c r="L898" s="100"/>
    </row>
    <row r="899" spans="1:13">
      <c r="A899" s="31"/>
      <c r="B899" s="32"/>
      <c r="C899" s="32"/>
      <c r="D899" s="25" t="s">
        <v>362</v>
      </c>
      <c r="E899" s="41"/>
      <c r="F899" s="41"/>
      <c r="G899" s="27"/>
      <c r="H899" s="31"/>
      <c r="I899" s="32"/>
      <c r="J899" s="101"/>
      <c r="K899" s="32"/>
      <c r="L899" s="100"/>
    </row>
    <row r="900" spans="1:13">
      <c r="A900" s="31"/>
      <c r="B900" s="32"/>
      <c r="C900" s="32"/>
      <c r="D900" s="31"/>
      <c r="E900" s="37" t="str">
        <f ca="1">"id: "&amp;K900</f>
        <v>id: "15.6"</v>
      </c>
      <c r="F900" s="37"/>
      <c r="G900" s="33" t="s">
        <v>366</v>
      </c>
      <c r="H900" s="31"/>
      <c r="I900" s="32"/>
      <c r="J900" s="101">
        <f>$J$2+COUNTA($J$1:J899)</f>
        <v>116</v>
      </c>
      <c r="K900" s="32" t="str">
        <f ca="1">CHAR(34)&amp;L900&amp;CHAR(34)</f>
        <v>"15.6"</v>
      </c>
      <c r="L900" s="100" t="str">
        <f ca="1">INDIRECT("Dashboard!A"&amp;J900)</f>
        <v>15.6</v>
      </c>
      <c r="M900" s="32" t="str">
        <f ca="1">VLOOKUP(L900,Dashboard!A:G,7,FALSE)</f>
        <v xml:space="preserve">Test report </v>
      </c>
    </row>
    <row r="901" spans="1:13">
      <c r="A901" s="31"/>
      <c r="B901" s="32"/>
      <c r="C901" s="32"/>
      <c r="D901" s="31"/>
      <c r="E901" s="37" t="s">
        <v>369</v>
      </c>
      <c r="F901" s="102">
        <f>IF(F906="",2,1)</f>
        <v>2</v>
      </c>
      <c r="G901" s="33" t="s">
        <v>366</v>
      </c>
      <c r="H901" s="31"/>
      <c r="I901" s="32"/>
      <c r="J901" s="101"/>
      <c r="K901" s="32"/>
      <c r="L901" s="100"/>
    </row>
    <row r="902" spans="1:13">
      <c r="A902" s="31"/>
      <c r="B902" s="32"/>
      <c r="C902" s="32"/>
      <c r="D902" s="31"/>
      <c r="E902" s="37" t="s">
        <v>368</v>
      </c>
      <c r="F902" s="37" t="str">
        <f ca="1">M900</f>
        <v xml:space="preserve">Test report </v>
      </c>
      <c r="G902" s="33" t="s">
        <v>367</v>
      </c>
      <c r="H902" s="31"/>
      <c r="I902" s="32"/>
      <c r="J902" s="101"/>
      <c r="K902" s="32"/>
      <c r="L902" s="100"/>
    </row>
    <row r="903" spans="1:13">
      <c r="A903" s="31"/>
      <c r="B903" s="32"/>
      <c r="C903" s="32"/>
      <c r="D903" s="31"/>
      <c r="E903" s="37" t="s">
        <v>374</v>
      </c>
      <c r="F903" s="37"/>
      <c r="G903" s="33" t="s">
        <v>367</v>
      </c>
      <c r="H903" s="31"/>
      <c r="I903" s="32"/>
      <c r="J903" s="101"/>
      <c r="K903" s="32"/>
      <c r="L903" s="100"/>
    </row>
    <row r="904" spans="1:13">
      <c r="A904" s="31"/>
      <c r="B904" s="32"/>
      <c r="C904" s="32"/>
      <c r="D904" s="31"/>
      <c r="E904" s="37" t="s">
        <v>395</v>
      </c>
      <c r="F904" s="37" t="s">
        <v>394</v>
      </c>
      <c r="G904" s="33" t="s">
        <v>366</v>
      </c>
      <c r="H904" s="31"/>
      <c r="I904" s="32"/>
      <c r="J904" s="101"/>
      <c r="K904" s="32"/>
      <c r="L904" s="100"/>
    </row>
    <row r="905" spans="1:13">
      <c r="A905" s="31"/>
      <c r="B905" s="32"/>
      <c r="C905" s="32"/>
      <c r="D905" s="31"/>
      <c r="E905" s="37" t="s">
        <v>386</v>
      </c>
      <c r="F905" s="37" t="str">
        <f ca="1">IF(VLOOKUP(L900,Dashboard!A:G,2,FALSE)&lt;&gt;"","'plan': true"&amp;CHAR(44)&amp;"'actual': false","")</f>
        <v>'plan': true,'actual': false</v>
      </c>
      <c r="G905" s="33" t="s">
        <v>385</v>
      </c>
      <c r="H905" s="31"/>
      <c r="I905" s="32"/>
      <c r="J905" s="101"/>
      <c r="K905" s="32"/>
      <c r="L905" s="100"/>
    </row>
    <row r="906" spans="1:13" ht="15" thickBot="1">
      <c r="A906" s="31"/>
      <c r="B906" s="32"/>
      <c r="C906" s="32"/>
      <c r="D906" s="28"/>
      <c r="E906" s="43" t="str">
        <f>IF(F906="","//","")&amp;"nestedGroups: ["</f>
        <v>//nestedGroups: [</v>
      </c>
      <c r="F906" s="43"/>
      <c r="G906" s="30" t="s">
        <v>370</v>
      </c>
      <c r="H906" s="31"/>
      <c r="I906" s="32"/>
      <c r="J906" s="101"/>
      <c r="K906" s="32"/>
      <c r="L906" s="100"/>
    </row>
    <row r="907" spans="1:13">
      <c r="A907" s="31"/>
      <c r="B907" s="32"/>
      <c r="C907" s="32"/>
      <c r="D907" s="25" t="s">
        <v>362</v>
      </c>
      <c r="E907" s="114"/>
      <c r="F907" s="114"/>
      <c r="G907" s="27"/>
      <c r="H907" s="31"/>
      <c r="I907" s="32"/>
      <c r="J907" s="101"/>
      <c r="K907" s="32"/>
      <c r="L907" s="100"/>
    </row>
    <row r="908" spans="1:13">
      <c r="A908" s="31"/>
      <c r="B908" s="32"/>
      <c r="C908" s="32"/>
      <c r="D908" s="31"/>
      <c r="E908" s="37" t="str">
        <f ca="1">"id: "&amp;K908</f>
        <v>id: "16"</v>
      </c>
      <c r="F908" s="37"/>
      <c r="G908" s="33" t="s">
        <v>366</v>
      </c>
      <c r="H908" s="31"/>
      <c r="I908" s="32"/>
      <c r="J908" s="101">
        <f>$J$2+COUNTA($J$1:J907)</f>
        <v>117</v>
      </c>
      <c r="K908" s="32" t="str">
        <f ca="1">CHAR(34)&amp;L908&amp;CHAR(34)</f>
        <v>"16"</v>
      </c>
      <c r="L908" s="100" t="str">
        <f ca="1">INDIRECT("Dashboard!A"&amp;J908)</f>
        <v>16</v>
      </c>
      <c r="M908" s="32" t="str">
        <f ca="1">VLOOKUP(L908,Dashboard!A:G,7,FALSE)</f>
        <v>M15. Decision Engine - Usecase 2</v>
      </c>
    </row>
    <row r="909" spans="1:13">
      <c r="A909" s="31"/>
      <c r="B909" s="32"/>
      <c r="C909" s="32"/>
      <c r="D909" s="31"/>
      <c r="E909" s="37" t="s">
        <v>369</v>
      </c>
      <c r="F909" s="102" t="e">
        <f>IF(F914="",2,1)</f>
        <v>#VALUE!</v>
      </c>
      <c r="G909" s="33" t="s">
        <v>366</v>
      </c>
      <c r="H909" s="31"/>
      <c r="I909" s="32"/>
      <c r="J909" s="101"/>
      <c r="K909" s="32"/>
      <c r="L909" s="100"/>
    </row>
    <row r="910" spans="1:13">
      <c r="A910" s="31"/>
      <c r="B910" s="32"/>
      <c r="C910" s="32"/>
      <c r="D910" s="31"/>
      <c r="E910" s="37" t="s">
        <v>368</v>
      </c>
      <c r="F910" s="37" t="str">
        <f ca="1">M908</f>
        <v>M15. Decision Engine - Usecase 2</v>
      </c>
      <c r="G910" s="33" t="s">
        <v>367</v>
      </c>
      <c r="H910" s="31"/>
      <c r="I910" s="32"/>
      <c r="J910" s="101"/>
      <c r="K910" s="32"/>
      <c r="L910" s="100"/>
    </row>
    <row r="911" spans="1:13">
      <c r="A911" s="31"/>
      <c r="B911" s="32"/>
      <c r="C911" s="32"/>
      <c r="D911" s="31"/>
      <c r="E911" s="37" t="s">
        <v>374</v>
      </c>
      <c r="F911" s="37"/>
      <c r="G911" s="33" t="s">
        <v>367</v>
      </c>
      <c r="H911" s="31"/>
      <c r="I911" s="32"/>
      <c r="J911" s="101"/>
      <c r="K911" s="32"/>
      <c r="L911" s="100"/>
    </row>
    <row r="912" spans="1:13">
      <c r="A912" s="31"/>
      <c r="B912" s="32"/>
      <c r="C912" s="32"/>
      <c r="D912" s="31"/>
      <c r="E912" s="37" t="s">
        <v>395</v>
      </c>
      <c r="F912" s="37" t="s">
        <v>394</v>
      </c>
      <c r="G912" s="33" t="s">
        <v>366</v>
      </c>
      <c r="H912" s="31"/>
      <c r="I912" s="32"/>
      <c r="J912" s="101"/>
      <c r="K912" s="32"/>
      <c r="L912" s="100"/>
    </row>
    <row r="913" spans="1:13">
      <c r="A913" s="31"/>
      <c r="B913" s="32"/>
      <c r="C913" s="32"/>
      <c r="D913" s="31"/>
      <c r="E913" s="37" t="s">
        <v>386</v>
      </c>
      <c r="F913" s="37" t="str">
        <f ca="1">IF(VLOOKUP(L908,Dashboard!A:G,2,FALSE)&lt;&gt;"","'plan': true"&amp;CHAR(44)&amp;"'actual': false","")</f>
        <v>'plan': true,'actual': false</v>
      </c>
      <c r="G913" s="33" t="s">
        <v>385</v>
      </c>
      <c r="H913" s="31"/>
      <c r="I913" s="32" t="s">
        <v>571</v>
      </c>
      <c r="J913" s="101"/>
      <c r="K913" s="32"/>
      <c r="L913" s="100"/>
    </row>
    <row r="914" spans="1:13" ht="15" thickBot="1">
      <c r="A914" s="31"/>
      <c r="B914" s="32"/>
      <c r="C914" s="32"/>
      <c r="D914" s="28"/>
      <c r="E914" s="43" t="e">
        <f>IF(F914="","//","")&amp;"nestedGroups: ["</f>
        <v>#VALUE!</v>
      </c>
      <c r="F914" s="37" t="e">
        <f>nestedGroups(5,I914*$I$2,", ")</f>
        <v>#VALUE!</v>
      </c>
      <c r="G914" s="30" t="s">
        <v>370</v>
      </c>
      <c r="H914" s="31"/>
      <c r="I914" s="3">
        <v>6</v>
      </c>
      <c r="J914" s="101"/>
      <c r="K914" s="32"/>
      <c r="L914" s="100"/>
    </row>
    <row r="915" spans="1:13">
      <c r="A915" s="31"/>
      <c r="B915" s="32"/>
      <c r="C915" s="32"/>
      <c r="D915" s="25" t="s">
        <v>362</v>
      </c>
      <c r="E915" s="41"/>
      <c r="F915" s="41"/>
      <c r="G915" s="27"/>
      <c r="H915" s="31"/>
      <c r="I915" s="32"/>
      <c r="J915" s="101"/>
      <c r="K915" s="32"/>
      <c r="L915" s="100"/>
    </row>
    <row r="916" spans="1:13">
      <c r="A916" s="31"/>
      <c r="B916" s="32"/>
      <c r="C916" s="32"/>
      <c r="D916" s="31"/>
      <c r="E916" s="37" t="str">
        <f ca="1">"id: "&amp;K916</f>
        <v>id: "16.1"</v>
      </c>
      <c r="F916" s="37"/>
      <c r="G916" s="33" t="s">
        <v>366</v>
      </c>
      <c r="H916" s="31"/>
      <c r="I916" s="32"/>
      <c r="J916" s="101">
        <f>$J$2+COUNTA($J$1:J915)</f>
        <v>118</v>
      </c>
      <c r="K916" s="32" t="str">
        <f ca="1">CHAR(34)&amp;L916&amp;CHAR(34)</f>
        <v>"16.1"</v>
      </c>
      <c r="L916" s="100" t="str">
        <f ca="1">INDIRECT("Dashboard!A"&amp;J916)</f>
        <v>16.1</v>
      </c>
      <c r="M916" s="32" t="str">
        <f ca="1">VLOOKUP(L916,Dashboard!A:G,7,FALSE)</f>
        <v>Note : Use case to be evaluated based on research basis in the area of smart home and smart grid &amp; smart factory applications</v>
      </c>
    </row>
    <row r="917" spans="1:13">
      <c r="A917" s="31"/>
      <c r="B917" s="32"/>
      <c r="C917" s="32"/>
      <c r="D917" s="31"/>
      <c r="E917" s="37" t="s">
        <v>369</v>
      </c>
      <c r="F917" s="102">
        <f>IF(F922="",2,1)</f>
        <v>2</v>
      </c>
      <c r="G917" s="33" t="s">
        <v>366</v>
      </c>
      <c r="H917" s="31"/>
      <c r="I917" s="32"/>
      <c r="J917" s="101"/>
      <c r="K917" s="32"/>
      <c r="L917" s="100"/>
    </row>
    <row r="918" spans="1:13">
      <c r="A918" s="31"/>
      <c r="B918" s="32"/>
      <c r="C918" s="32"/>
      <c r="D918" s="31"/>
      <c r="E918" s="37" t="s">
        <v>368</v>
      </c>
      <c r="F918" s="37" t="str">
        <f ca="1">M916</f>
        <v>Note : Use case to be evaluated based on research basis in the area of smart home and smart grid &amp; smart factory applications</v>
      </c>
      <c r="G918" s="33" t="s">
        <v>367</v>
      </c>
      <c r="H918" s="31"/>
      <c r="I918" s="32"/>
      <c r="J918" s="101"/>
      <c r="K918" s="32"/>
      <c r="L918" s="100"/>
    </row>
    <row r="919" spans="1:13">
      <c r="A919" s="31"/>
      <c r="B919" s="32"/>
      <c r="C919" s="32"/>
      <c r="D919" s="31"/>
      <c r="E919" s="37" t="s">
        <v>374</v>
      </c>
      <c r="F919" s="37"/>
      <c r="G919" s="33" t="s">
        <v>367</v>
      </c>
      <c r="H919" s="31"/>
      <c r="I919" s="32"/>
      <c r="J919" s="101"/>
      <c r="K919" s="32"/>
      <c r="L919" s="100"/>
    </row>
    <row r="920" spans="1:13">
      <c r="A920" s="31"/>
      <c r="B920" s="32"/>
      <c r="C920" s="32"/>
      <c r="D920" s="31"/>
      <c r="E920" s="37" t="s">
        <v>395</v>
      </c>
      <c r="F920" s="37" t="s">
        <v>394</v>
      </c>
      <c r="G920" s="33" t="s">
        <v>366</v>
      </c>
      <c r="H920" s="31"/>
      <c r="I920" s="32"/>
      <c r="J920" s="101"/>
      <c r="K920" s="32"/>
      <c r="L920" s="100"/>
    </row>
    <row r="921" spans="1:13">
      <c r="A921" s="31"/>
      <c r="B921" s="32"/>
      <c r="C921" s="32"/>
      <c r="D921" s="31"/>
      <c r="E921" s="37" t="s">
        <v>386</v>
      </c>
      <c r="F921" s="37" t="str">
        <f ca="1">IF(VLOOKUP(L916,Dashboard!A:G,2,FALSE)&lt;&gt;"","'plan': true"&amp;CHAR(44)&amp;"'actual': false","")</f>
        <v/>
      </c>
      <c r="G921" s="33" t="s">
        <v>385</v>
      </c>
      <c r="H921" s="31"/>
      <c r="I921" s="32"/>
      <c r="J921" s="101"/>
      <c r="K921" s="32"/>
      <c r="L921" s="100"/>
    </row>
    <row r="922" spans="1:13" ht="15" thickBot="1">
      <c r="A922" s="31"/>
      <c r="B922" s="32"/>
      <c r="C922" s="32"/>
      <c r="D922" s="28"/>
      <c r="E922" s="43" t="str">
        <f>IF(F922="","//","")&amp;"nestedGroups: ["</f>
        <v>//nestedGroups: [</v>
      </c>
      <c r="F922" s="43"/>
      <c r="G922" s="30" t="s">
        <v>370</v>
      </c>
      <c r="H922" s="31"/>
      <c r="I922" s="32"/>
      <c r="J922" s="101"/>
      <c r="K922" s="32"/>
      <c r="L922" s="100"/>
    </row>
    <row r="923" spans="1:13">
      <c r="A923" s="31"/>
      <c r="B923" s="32"/>
      <c r="C923" s="32"/>
      <c r="D923" s="25" t="s">
        <v>362</v>
      </c>
      <c r="E923" s="41"/>
      <c r="F923" s="41"/>
      <c r="G923" s="27"/>
      <c r="H923" s="31"/>
      <c r="I923" s="32"/>
      <c r="J923" s="101"/>
      <c r="K923" s="32"/>
      <c r="L923" s="100"/>
    </row>
    <row r="924" spans="1:13">
      <c r="A924" s="31"/>
      <c r="B924" s="32"/>
      <c r="C924" s="32"/>
      <c r="D924" s="31"/>
      <c r="E924" s="37" t="str">
        <f ca="1">"id: "&amp;K924</f>
        <v>id: "16.2"</v>
      </c>
      <c r="F924" s="37"/>
      <c r="G924" s="33" t="s">
        <v>366</v>
      </c>
      <c r="H924" s="31"/>
      <c r="I924" s="32"/>
      <c r="J924" s="101">
        <f>$J$2+COUNTA($J$1:J923)</f>
        <v>119</v>
      </c>
      <c r="K924" s="32" t="str">
        <f ca="1">CHAR(34)&amp;L924&amp;CHAR(34)</f>
        <v>"16.2"</v>
      </c>
      <c r="L924" s="100" t="str">
        <f ca="1">INDIRECT("Dashboard!A"&amp;J924)</f>
        <v>16.2</v>
      </c>
      <c r="M924" s="32" t="str">
        <f ca="1">VLOOKUP(L924,Dashboard!A:G,7,FALSE)</f>
        <v>Technical design document explaining the data schema and algorithm</v>
      </c>
    </row>
    <row r="925" spans="1:13">
      <c r="A925" s="31"/>
      <c r="B925" s="32"/>
      <c r="C925" s="32"/>
      <c r="D925" s="31"/>
      <c r="E925" s="37" t="s">
        <v>369</v>
      </c>
      <c r="F925" s="102">
        <f>IF(F930="",2,1)</f>
        <v>2</v>
      </c>
      <c r="G925" s="33" t="s">
        <v>366</v>
      </c>
      <c r="H925" s="31"/>
      <c r="I925" s="32"/>
      <c r="J925" s="101"/>
      <c r="K925" s="32"/>
      <c r="L925" s="100"/>
    </row>
    <row r="926" spans="1:13">
      <c r="A926" s="31"/>
      <c r="B926" s="32"/>
      <c r="C926" s="32"/>
      <c r="D926" s="31"/>
      <c r="E926" s="37" t="s">
        <v>368</v>
      </c>
      <c r="F926" s="37" t="str">
        <f ca="1">M924</f>
        <v>Technical design document explaining the data schema and algorithm</v>
      </c>
      <c r="G926" s="33" t="s">
        <v>367</v>
      </c>
      <c r="H926" s="31"/>
      <c r="I926" s="32"/>
      <c r="J926" s="101"/>
      <c r="K926" s="32"/>
      <c r="L926" s="100"/>
    </row>
    <row r="927" spans="1:13">
      <c r="A927" s="31"/>
      <c r="B927" s="32"/>
      <c r="C927" s="32"/>
      <c r="D927" s="31"/>
      <c r="E927" s="37" t="s">
        <v>374</v>
      </c>
      <c r="F927" s="37"/>
      <c r="G927" s="33" t="s">
        <v>367</v>
      </c>
      <c r="H927" s="31"/>
      <c r="I927" s="32"/>
      <c r="J927" s="101"/>
      <c r="K927" s="32"/>
      <c r="L927" s="100"/>
    </row>
    <row r="928" spans="1:13">
      <c r="A928" s="31"/>
      <c r="B928" s="32"/>
      <c r="C928" s="32"/>
      <c r="D928" s="31"/>
      <c r="E928" s="37" t="s">
        <v>395</v>
      </c>
      <c r="F928" s="37" t="s">
        <v>394</v>
      </c>
      <c r="G928" s="33" t="s">
        <v>366</v>
      </c>
      <c r="H928" s="31"/>
      <c r="I928" s="32"/>
      <c r="J928" s="101"/>
      <c r="K928" s="32"/>
      <c r="L928" s="100"/>
    </row>
    <row r="929" spans="1:13">
      <c r="A929" s="31"/>
      <c r="B929" s="32"/>
      <c r="C929" s="32"/>
      <c r="D929" s="31"/>
      <c r="E929" s="37" t="s">
        <v>386</v>
      </c>
      <c r="F929" s="37" t="str">
        <f ca="1">IF(VLOOKUP(L924,Dashboard!A:G,2,FALSE)&lt;&gt;"","'plan': true"&amp;CHAR(44)&amp;"'actual': false","")</f>
        <v>'plan': true,'actual': false</v>
      </c>
      <c r="G929" s="33" t="s">
        <v>385</v>
      </c>
      <c r="H929" s="31"/>
      <c r="I929" s="32"/>
      <c r="J929" s="101"/>
      <c r="K929" s="32"/>
      <c r="L929" s="100"/>
    </row>
    <row r="930" spans="1:13" ht="15" thickBot="1">
      <c r="A930" s="31"/>
      <c r="B930" s="32"/>
      <c r="C930" s="32"/>
      <c r="D930" s="28"/>
      <c r="E930" s="43" t="str">
        <f>IF(F930="","//","")&amp;"nestedGroups: ["</f>
        <v>//nestedGroups: [</v>
      </c>
      <c r="F930" s="43"/>
      <c r="G930" s="30" t="s">
        <v>370</v>
      </c>
      <c r="H930" s="31"/>
      <c r="I930" s="32"/>
      <c r="J930" s="101"/>
      <c r="K930" s="32"/>
      <c r="L930" s="100"/>
    </row>
    <row r="931" spans="1:13">
      <c r="A931" s="31"/>
      <c r="B931" s="32"/>
      <c r="C931" s="32"/>
      <c r="D931" s="25" t="s">
        <v>362</v>
      </c>
      <c r="E931" s="41"/>
      <c r="F931" s="41"/>
      <c r="G931" s="27"/>
      <c r="H931" s="31"/>
      <c r="I931" s="32"/>
      <c r="J931" s="101"/>
      <c r="K931" s="32"/>
      <c r="L931" s="100"/>
    </row>
    <row r="932" spans="1:13">
      <c r="A932" s="31"/>
      <c r="B932" s="32"/>
      <c r="C932" s="32"/>
      <c r="D932" s="31"/>
      <c r="E932" s="37" t="str">
        <f ca="1">"id: "&amp;K932</f>
        <v>id: "16.3"</v>
      </c>
      <c r="F932" s="37"/>
      <c r="G932" s="33" t="s">
        <v>366</v>
      </c>
      <c r="H932" s="31"/>
      <c r="I932" s="32"/>
      <c r="J932" s="101">
        <f>$J$2+COUNTA($J$1:J931)</f>
        <v>120</v>
      </c>
      <c r="K932" s="32" t="str">
        <f ca="1">CHAR(34)&amp;L932&amp;CHAR(34)</f>
        <v>"16.3"</v>
      </c>
      <c r="L932" s="100" t="str">
        <f ca="1">INDIRECT("Dashboard!A"&amp;J932)</f>
        <v>16.3</v>
      </c>
      <c r="M932" s="32" t="str">
        <f ca="1">VLOOKUP(L932,Dashboard!A:G,7,FALSE)</f>
        <v>Software Code</v>
      </c>
    </row>
    <row r="933" spans="1:13">
      <c r="A933" s="31"/>
      <c r="B933" s="32"/>
      <c r="C933" s="32"/>
      <c r="D933" s="31"/>
      <c r="E933" s="37" t="s">
        <v>369</v>
      </c>
      <c r="F933" s="102">
        <f>IF(F938="",2,1)</f>
        <v>2</v>
      </c>
      <c r="G933" s="33" t="s">
        <v>366</v>
      </c>
      <c r="H933" s="31"/>
      <c r="I933" s="32"/>
      <c r="J933" s="101"/>
      <c r="K933" s="32"/>
      <c r="L933" s="100"/>
    </row>
    <row r="934" spans="1:13">
      <c r="A934" s="31"/>
      <c r="B934" s="32"/>
      <c r="C934" s="32"/>
      <c r="D934" s="31"/>
      <c r="E934" s="37" t="s">
        <v>368</v>
      </c>
      <c r="F934" s="37" t="str">
        <f ca="1">M932</f>
        <v>Software Code</v>
      </c>
      <c r="G934" s="33" t="s">
        <v>367</v>
      </c>
      <c r="H934" s="31"/>
      <c r="I934" s="32"/>
      <c r="J934" s="101"/>
      <c r="K934" s="32"/>
      <c r="L934" s="100"/>
    </row>
    <row r="935" spans="1:13">
      <c r="A935" s="31"/>
      <c r="B935" s="32"/>
      <c r="C935" s="32"/>
      <c r="D935" s="31"/>
      <c r="E935" s="37" t="s">
        <v>374</v>
      </c>
      <c r="F935" s="37"/>
      <c r="G935" s="33" t="s">
        <v>367</v>
      </c>
      <c r="H935" s="31"/>
      <c r="I935" s="32"/>
      <c r="J935" s="101"/>
      <c r="K935" s="32"/>
      <c r="L935" s="100"/>
    </row>
    <row r="936" spans="1:13">
      <c r="A936" s="31"/>
      <c r="B936" s="32"/>
      <c r="C936" s="32"/>
      <c r="D936" s="31"/>
      <c r="E936" s="37" t="s">
        <v>395</v>
      </c>
      <c r="F936" s="37" t="s">
        <v>394</v>
      </c>
      <c r="G936" s="33" t="s">
        <v>366</v>
      </c>
      <c r="H936" s="31"/>
      <c r="I936" s="32"/>
      <c r="J936" s="101"/>
      <c r="K936" s="32"/>
      <c r="L936" s="100"/>
    </row>
    <row r="937" spans="1:13">
      <c r="A937" s="31"/>
      <c r="B937" s="32"/>
      <c r="C937" s="32"/>
      <c r="D937" s="31"/>
      <c r="E937" s="37" t="s">
        <v>386</v>
      </c>
      <c r="F937" s="37" t="str">
        <f ca="1">IF(VLOOKUP(L932,Dashboard!A:G,2,FALSE)&lt;&gt;"","'plan': true"&amp;CHAR(44)&amp;"'actual': false","")</f>
        <v>'plan': true,'actual': false</v>
      </c>
      <c r="G937" s="33" t="s">
        <v>385</v>
      </c>
      <c r="H937" s="31"/>
      <c r="I937" s="32"/>
      <c r="J937" s="101"/>
      <c r="K937" s="32"/>
      <c r="L937" s="100"/>
    </row>
    <row r="938" spans="1:13" ht="15" thickBot="1">
      <c r="A938" s="31"/>
      <c r="B938" s="32"/>
      <c r="C938" s="32"/>
      <c r="D938" s="28"/>
      <c r="E938" s="43" t="str">
        <f>IF(F938="","//","")&amp;"nestedGroups: ["</f>
        <v>//nestedGroups: [</v>
      </c>
      <c r="F938" s="43"/>
      <c r="G938" s="30" t="s">
        <v>370</v>
      </c>
      <c r="H938" s="31"/>
      <c r="I938" s="32"/>
      <c r="J938" s="101"/>
      <c r="K938" s="32"/>
      <c r="L938" s="100"/>
    </row>
    <row r="939" spans="1:13">
      <c r="A939" s="31"/>
      <c r="B939" s="32"/>
      <c r="C939" s="32"/>
      <c r="D939" s="25" t="s">
        <v>362</v>
      </c>
      <c r="E939" s="41"/>
      <c r="F939" s="41"/>
      <c r="G939" s="27"/>
      <c r="H939" s="31"/>
      <c r="I939" s="32"/>
      <c r="J939" s="101"/>
      <c r="K939" s="32"/>
      <c r="L939" s="100"/>
    </row>
    <row r="940" spans="1:13">
      <c r="A940" s="31"/>
      <c r="B940" s="32"/>
      <c r="C940" s="32"/>
      <c r="D940" s="31"/>
      <c r="E940" s="37" t="str">
        <f ca="1">"id: "&amp;K940</f>
        <v>id: "16.4"</v>
      </c>
      <c r="F940" s="37"/>
      <c r="G940" s="33" t="s">
        <v>366</v>
      </c>
      <c r="H940" s="31"/>
      <c r="I940" s="32"/>
      <c r="J940" s="101">
        <f>$J$2+COUNTA($J$1:J939)</f>
        <v>121</v>
      </c>
      <c r="K940" s="32" t="str">
        <f ca="1">CHAR(34)&amp;L940&amp;CHAR(34)</f>
        <v>"16.4"</v>
      </c>
      <c r="L940" s="100" t="str">
        <f ca="1">INDIRECT("Dashboard!A"&amp;J940)</f>
        <v>16.4</v>
      </c>
      <c r="M940" s="32" t="str">
        <f ca="1">VLOOKUP(L940,Dashboard!A:G,7,FALSE)</f>
        <v>Deployment Procedure of the code</v>
      </c>
    </row>
    <row r="941" spans="1:13">
      <c r="A941" s="31"/>
      <c r="B941" s="32"/>
      <c r="C941" s="32"/>
      <c r="D941" s="31"/>
      <c r="E941" s="37" t="s">
        <v>369</v>
      </c>
      <c r="F941" s="102">
        <f>IF(F946="",2,1)</f>
        <v>2</v>
      </c>
      <c r="G941" s="33" t="s">
        <v>366</v>
      </c>
      <c r="H941" s="31"/>
      <c r="I941" s="32"/>
      <c r="J941" s="101"/>
      <c r="K941" s="32"/>
      <c r="L941" s="100"/>
    </row>
    <row r="942" spans="1:13">
      <c r="A942" s="31"/>
      <c r="B942" s="32"/>
      <c r="C942" s="32"/>
      <c r="D942" s="31"/>
      <c r="E942" s="37" t="s">
        <v>368</v>
      </c>
      <c r="F942" s="37" t="str">
        <f ca="1">M940</f>
        <v>Deployment Procedure of the code</v>
      </c>
      <c r="G942" s="33" t="s">
        <v>367</v>
      </c>
      <c r="H942" s="31"/>
      <c r="I942" s="32"/>
      <c r="J942" s="101"/>
      <c r="K942" s="32"/>
      <c r="L942" s="100"/>
    </row>
    <row r="943" spans="1:13">
      <c r="A943" s="31"/>
      <c r="B943" s="32"/>
      <c r="C943" s="32"/>
      <c r="D943" s="31"/>
      <c r="E943" s="37" t="s">
        <v>374</v>
      </c>
      <c r="F943" s="37"/>
      <c r="G943" s="33" t="s">
        <v>367</v>
      </c>
      <c r="H943" s="31"/>
      <c r="I943" s="32"/>
      <c r="J943" s="101"/>
      <c r="K943" s="32"/>
      <c r="L943" s="100"/>
    </row>
    <row r="944" spans="1:13">
      <c r="A944" s="31"/>
      <c r="B944" s="32"/>
      <c r="C944" s="32"/>
      <c r="D944" s="31"/>
      <c r="E944" s="37" t="s">
        <v>395</v>
      </c>
      <c r="F944" s="37" t="s">
        <v>394</v>
      </c>
      <c r="G944" s="33" t="s">
        <v>366</v>
      </c>
      <c r="H944" s="31"/>
      <c r="I944" s="32"/>
      <c r="J944" s="101"/>
      <c r="K944" s="32"/>
      <c r="L944" s="100"/>
    </row>
    <row r="945" spans="1:13">
      <c r="A945" s="31"/>
      <c r="B945" s="32"/>
      <c r="C945" s="32"/>
      <c r="D945" s="31"/>
      <c r="E945" s="37" t="s">
        <v>386</v>
      </c>
      <c r="F945" s="37" t="str">
        <f ca="1">IF(VLOOKUP(L940,Dashboard!A:G,2,FALSE)&lt;&gt;"","'plan': true"&amp;CHAR(44)&amp;"'actual': false","")</f>
        <v>'plan': true,'actual': false</v>
      </c>
      <c r="G945" s="33" t="s">
        <v>385</v>
      </c>
      <c r="H945" s="31"/>
      <c r="I945" s="32"/>
      <c r="J945" s="101"/>
      <c r="K945" s="32"/>
      <c r="L945" s="100"/>
    </row>
    <row r="946" spans="1:13" ht="15" thickBot="1">
      <c r="A946" s="31"/>
      <c r="B946" s="32"/>
      <c r="C946" s="32"/>
      <c r="D946" s="28"/>
      <c r="E946" s="43" t="str">
        <f>IF(F946="","//","")&amp;"nestedGroups: ["</f>
        <v>//nestedGroups: [</v>
      </c>
      <c r="F946" s="43"/>
      <c r="G946" s="30" t="s">
        <v>370</v>
      </c>
      <c r="H946" s="31"/>
      <c r="I946" s="32"/>
      <c r="J946" s="101"/>
      <c r="K946" s="32"/>
      <c r="L946" s="100"/>
    </row>
    <row r="947" spans="1:13">
      <c r="A947" s="31"/>
      <c r="B947" s="32"/>
      <c r="C947" s="32"/>
      <c r="D947" s="25" t="s">
        <v>362</v>
      </c>
      <c r="E947" s="41"/>
      <c r="F947" s="41"/>
      <c r="G947" s="27"/>
      <c r="H947" s="31"/>
      <c r="I947" s="32"/>
      <c r="J947" s="101"/>
      <c r="K947" s="32"/>
      <c r="L947" s="100"/>
    </row>
    <row r="948" spans="1:13">
      <c r="A948" s="31"/>
      <c r="B948" s="32"/>
      <c r="C948" s="32"/>
      <c r="D948" s="31"/>
      <c r="E948" s="37" t="str">
        <f ca="1">"id: "&amp;K948</f>
        <v>id: "16.5"</v>
      </c>
      <c r="F948" s="37"/>
      <c r="G948" s="33" t="s">
        <v>366</v>
      </c>
      <c r="H948" s="31"/>
      <c r="I948" s="32"/>
      <c r="J948" s="101">
        <f>$J$2+COUNTA($J$1:J947)</f>
        <v>122</v>
      </c>
      <c r="K948" s="32" t="str">
        <f ca="1">CHAR(34)&amp;L948&amp;CHAR(34)</f>
        <v>"16.5"</v>
      </c>
      <c r="L948" s="100" t="str">
        <f ca="1">INDIRECT("Dashboard!A"&amp;J948)</f>
        <v>16.5</v>
      </c>
      <c r="M948" s="32" t="str">
        <f ca="1">VLOOKUP(L948,Dashboard!A:G,7,FALSE)</f>
        <v>Product usage guide with examples for all the functional usecases</v>
      </c>
    </row>
    <row r="949" spans="1:13">
      <c r="A949" s="31"/>
      <c r="B949" s="32"/>
      <c r="C949" s="32"/>
      <c r="D949" s="31"/>
      <c r="E949" s="37" t="s">
        <v>369</v>
      </c>
      <c r="F949" s="102">
        <f>IF(F954="",2,1)</f>
        <v>2</v>
      </c>
      <c r="G949" s="33" t="s">
        <v>366</v>
      </c>
      <c r="H949" s="31"/>
      <c r="I949" s="32"/>
      <c r="J949" s="101"/>
      <c r="K949" s="32"/>
      <c r="L949" s="100"/>
    </row>
    <row r="950" spans="1:13">
      <c r="A950" s="31"/>
      <c r="B950" s="32"/>
      <c r="C950" s="32"/>
      <c r="D950" s="31"/>
      <c r="E950" s="37" t="s">
        <v>368</v>
      </c>
      <c r="F950" s="37" t="str">
        <f ca="1">M948</f>
        <v>Product usage guide with examples for all the functional usecases</v>
      </c>
      <c r="G950" s="33" t="s">
        <v>367</v>
      </c>
      <c r="H950" s="31"/>
      <c r="I950" s="32"/>
      <c r="J950" s="101"/>
      <c r="K950" s="32"/>
      <c r="L950" s="100"/>
    </row>
    <row r="951" spans="1:13">
      <c r="A951" s="31"/>
      <c r="B951" s="32"/>
      <c r="C951" s="32"/>
      <c r="D951" s="31"/>
      <c r="E951" s="37" t="s">
        <v>374</v>
      </c>
      <c r="F951" s="37"/>
      <c r="G951" s="33" t="s">
        <v>367</v>
      </c>
      <c r="H951" s="31"/>
      <c r="I951" s="32"/>
      <c r="J951" s="101"/>
      <c r="K951" s="32"/>
      <c r="L951" s="100"/>
    </row>
    <row r="952" spans="1:13">
      <c r="A952" s="31"/>
      <c r="B952" s="32"/>
      <c r="C952" s="32"/>
      <c r="D952" s="31"/>
      <c r="E952" s="37" t="s">
        <v>395</v>
      </c>
      <c r="F952" s="37" t="s">
        <v>394</v>
      </c>
      <c r="G952" s="33" t="s">
        <v>366</v>
      </c>
      <c r="H952" s="31"/>
      <c r="I952" s="32"/>
      <c r="J952" s="101"/>
      <c r="K952" s="32"/>
      <c r="L952" s="100"/>
    </row>
    <row r="953" spans="1:13">
      <c r="A953" s="31"/>
      <c r="B953" s="32"/>
      <c r="C953" s="32"/>
      <c r="D953" s="31"/>
      <c r="E953" s="37" t="s">
        <v>386</v>
      </c>
      <c r="F953" s="37" t="str">
        <f ca="1">IF(VLOOKUP(L948,Dashboard!A:G,2,FALSE)&lt;&gt;"","'plan': true"&amp;CHAR(44)&amp;"'actual': false","")</f>
        <v>'plan': true,'actual': false</v>
      </c>
      <c r="G953" s="33" t="s">
        <v>385</v>
      </c>
      <c r="H953" s="31"/>
      <c r="I953" s="32"/>
      <c r="J953" s="101"/>
      <c r="K953" s="32"/>
      <c r="L953" s="100"/>
    </row>
    <row r="954" spans="1:13" ht="15" thickBot="1">
      <c r="A954" s="31"/>
      <c r="B954" s="32"/>
      <c r="C954" s="32"/>
      <c r="D954" s="28"/>
      <c r="E954" s="43" t="str">
        <f>IF(F954="","//","")&amp;"nestedGroups: ["</f>
        <v>//nestedGroups: [</v>
      </c>
      <c r="F954" s="43"/>
      <c r="G954" s="30" t="s">
        <v>370</v>
      </c>
      <c r="H954" s="31"/>
      <c r="I954" s="32"/>
      <c r="J954" s="101"/>
      <c r="K954" s="32"/>
      <c r="L954" s="100"/>
    </row>
    <row r="955" spans="1:13">
      <c r="A955" s="31"/>
      <c r="B955" s="32"/>
      <c r="C955" s="32"/>
      <c r="D955" s="25" t="s">
        <v>362</v>
      </c>
      <c r="E955" s="41"/>
      <c r="F955" s="41"/>
      <c r="G955" s="27"/>
      <c r="H955" s="31"/>
      <c r="I955" s="32"/>
      <c r="J955" s="101"/>
      <c r="K955" s="32"/>
      <c r="L955" s="100"/>
    </row>
    <row r="956" spans="1:13">
      <c r="A956" s="31"/>
      <c r="B956" s="32"/>
      <c r="C956" s="32"/>
      <c r="D956" s="31"/>
      <c r="E956" s="37" t="str">
        <f ca="1">"id: "&amp;K956</f>
        <v>id: "16.6"</v>
      </c>
      <c r="F956" s="37"/>
      <c r="G956" s="33" t="s">
        <v>366</v>
      </c>
      <c r="H956" s="31"/>
      <c r="I956" s="32"/>
      <c r="J956" s="101">
        <f>$J$2+COUNTA($J$1:J955)</f>
        <v>123</v>
      </c>
      <c r="K956" s="32" t="str">
        <f ca="1">CHAR(34)&amp;L956&amp;CHAR(34)</f>
        <v>"16.6"</v>
      </c>
      <c r="L956" s="100" t="str">
        <f ca="1">INDIRECT("Dashboard!A"&amp;J956)</f>
        <v>16.6</v>
      </c>
      <c r="M956" s="32" t="str">
        <f ca="1">VLOOKUP(L956,Dashboard!A:G,7,FALSE)</f>
        <v xml:space="preserve">Test report </v>
      </c>
    </row>
    <row r="957" spans="1:13">
      <c r="A957" s="31"/>
      <c r="B957" s="32"/>
      <c r="C957" s="32"/>
      <c r="D957" s="31"/>
      <c r="E957" s="37" t="s">
        <v>369</v>
      </c>
      <c r="F957" s="102">
        <f>IF(F962="",2,1)</f>
        <v>2</v>
      </c>
      <c r="G957" s="33" t="s">
        <v>366</v>
      </c>
      <c r="H957" s="31"/>
      <c r="I957" s="32"/>
      <c r="J957" s="101"/>
      <c r="K957" s="32"/>
      <c r="L957" s="100"/>
    </row>
    <row r="958" spans="1:13">
      <c r="A958" s="31"/>
      <c r="B958" s="32"/>
      <c r="C958" s="32"/>
      <c r="D958" s="31"/>
      <c r="E958" s="37" t="s">
        <v>368</v>
      </c>
      <c r="F958" s="37" t="str">
        <f ca="1">M956</f>
        <v xml:space="preserve">Test report </v>
      </c>
      <c r="G958" s="33" t="s">
        <v>367</v>
      </c>
      <c r="H958" s="31"/>
      <c r="I958" s="32"/>
      <c r="J958" s="101"/>
      <c r="K958" s="32"/>
      <c r="L958" s="100"/>
    </row>
    <row r="959" spans="1:13">
      <c r="A959" s="31"/>
      <c r="B959" s="32"/>
      <c r="C959" s="32"/>
      <c r="D959" s="31"/>
      <c r="E959" s="37" t="s">
        <v>374</v>
      </c>
      <c r="F959" s="37"/>
      <c r="G959" s="33" t="s">
        <v>367</v>
      </c>
      <c r="H959" s="31"/>
      <c r="I959" s="32"/>
      <c r="J959" s="101"/>
      <c r="K959" s="32"/>
      <c r="L959" s="100"/>
    </row>
    <row r="960" spans="1:13">
      <c r="A960" s="31"/>
      <c r="B960" s="32"/>
      <c r="C960" s="32"/>
      <c r="D960" s="31"/>
      <c r="E960" s="37" t="s">
        <v>395</v>
      </c>
      <c r="F960" s="37" t="s">
        <v>394</v>
      </c>
      <c r="G960" s="33" t="s">
        <v>366</v>
      </c>
      <c r="H960" s="31"/>
      <c r="I960" s="32"/>
      <c r="J960" s="101"/>
      <c r="K960" s="32"/>
      <c r="L960" s="100"/>
    </row>
    <row r="961" spans="1:13">
      <c r="A961" s="31"/>
      <c r="B961" s="32"/>
      <c r="C961" s="32"/>
      <c r="D961" s="31"/>
      <c r="E961" s="37" t="s">
        <v>386</v>
      </c>
      <c r="F961" s="37" t="str">
        <f ca="1">IF(VLOOKUP(L956,Dashboard!A:G,2,FALSE)&lt;&gt;"","'plan': true"&amp;CHAR(44)&amp;"'actual': false","")</f>
        <v>'plan': true,'actual': false</v>
      </c>
      <c r="G961" s="33" t="s">
        <v>385</v>
      </c>
      <c r="H961" s="31"/>
      <c r="I961" s="32"/>
      <c r="J961" s="101"/>
      <c r="K961" s="32"/>
      <c r="L961" s="100"/>
    </row>
    <row r="962" spans="1:13" ht="15" thickBot="1">
      <c r="A962" s="31"/>
      <c r="B962" s="32"/>
      <c r="C962" s="32"/>
      <c r="D962" s="28"/>
      <c r="E962" s="43" t="str">
        <f>IF(F962="","//","")&amp;"nestedGroups: ["</f>
        <v>//nestedGroups: [</v>
      </c>
      <c r="F962" s="43"/>
      <c r="G962" s="30" t="s">
        <v>370</v>
      </c>
      <c r="H962" s="31"/>
      <c r="I962" s="32"/>
      <c r="J962" s="101"/>
      <c r="K962" s="32"/>
      <c r="L962" s="100"/>
    </row>
    <row r="963" spans="1:13">
      <c r="A963" s="31"/>
      <c r="B963" s="32"/>
      <c r="C963" s="32"/>
      <c r="D963" s="25" t="s">
        <v>362</v>
      </c>
      <c r="E963" s="114"/>
      <c r="F963" s="114"/>
      <c r="G963" s="27"/>
      <c r="H963" s="31"/>
      <c r="I963" s="32"/>
      <c r="J963" s="101"/>
      <c r="K963" s="32"/>
      <c r="L963" s="100"/>
    </row>
    <row r="964" spans="1:13">
      <c r="A964" s="31"/>
      <c r="B964" s="32"/>
      <c r="C964" s="32"/>
      <c r="D964" s="31"/>
      <c r="E964" s="37" t="str">
        <f ca="1">"id: "&amp;K964</f>
        <v>id: "17"</v>
      </c>
      <c r="F964" s="37"/>
      <c r="G964" s="33" t="s">
        <v>366</v>
      </c>
      <c r="H964" s="31"/>
      <c r="I964" s="32"/>
      <c r="J964" s="101">
        <f>$J$2+COUNTA($J$1:J963)</f>
        <v>124</v>
      </c>
      <c r="K964" s="32" t="str">
        <f ca="1">CHAR(34)&amp;L964&amp;CHAR(34)</f>
        <v>"17"</v>
      </c>
      <c r="L964" s="100" t="str">
        <f ca="1">INDIRECT("Dashboard!A"&amp;J964)</f>
        <v>17</v>
      </c>
      <c r="M964" s="32" t="str">
        <f ca="1">VLOOKUP(L964,Dashboard!A:G,7,FALSE)</f>
        <v>M16. Decision Engine - Usecase 3</v>
      </c>
    </row>
    <row r="965" spans="1:13">
      <c r="A965" s="31"/>
      <c r="B965" s="32"/>
      <c r="C965" s="32"/>
      <c r="D965" s="31"/>
      <c r="E965" s="37" t="s">
        <v>369</v>
      </c>
      <c r="F965" s="102" t="e">
        <f>IF(F970="",2,1)</f>
        <v>#VALUE!</v>
      </c>
      <c r="G965" s="33" t="s">
        <v>366</v>
      </c>
      <c r="H965" s="31"/>
      <c r="I965" s="32"/>
      <c r="J965" s="101"/>
      <c r="K965" s="32"/>
      <c r="L965" s="100"/>
    </row>
    <row r="966" spans="1:13">
      <c r="A966" s="31"/>
      <c r="B966" s="32"/>
      <c r="C966" s="32"/>
      <c r="D966" s="31"/>
      <c r="E966" s="37" t="s">
        <v>368</v>
      </c>
      <c r="F966" s="37" t="str">
        <f ca="1">M964</f>
        <v>M16. Decision Engine - Usecase 3</v>
      </c>
      <c r="G966" s="33" t="s">
        <v>367</v>
      </c>
      <c r="H966" s="31"/>
      <c r="I966" s="32"/>
      <c r="J966" s="101"/>
      <c r="K966" s="32"/>
      <c r="L966" s="100"/>
    </row>
    <row r="967" spans="1:13">
      <c r="A967" s="31"/>
      <c r="B967" s="32"/>
      <c r="C967" s="32"/>
      <c r="D967" s="31"/>
      <c r="E967" s="37" t="s">
        <v>374</v>
      </c>
      <c r="F967" s="37"/>
      <c r="G967" s="33" t="s">
        <v>367</v>
      </c>
      <c r="H967" s="31"/>
      <c r="I967" s="32"/>
      <c r="J967" s="101"/>
      <c r="K967" s="32"/>
      <c r="L967" s="100"/>
    </row>
    <row r="968" spans="1:13">
      <c r="A968" s="31"/>
      <c r="B968" s="32"/>
      <c r="C968" s="32"/>
      <c r="D968" s="31"/>
      <c r="E968" s="37" t="s">
        <v>395</v>
      </c>
      <c r="F968" s="37" t="s">
        <v>394</v>
      </c>
      <c r="G968" s="33" t="s">
        <v>366</v>
      </c>
      <c r="H968" s="31"/>
      <c r="I968" s="32"/>
      <c r="J968" s="101"/>
      <c r="K968" s="32"/>
      <c r="L968" s="100"/>
    </row>
    <row r="969" spans="1:13">
      <c r="A969" s="31"/>
      <c r="B969" s="32"/>
      <c r="C969" s="32"/>
      <c r="D969" s="31"/>
      <c r="E969" s="37" t="s">
        <v>386</v>
      </c>
      <c r="F969" s="37" t="str">
        <f ca="1">IF(VLOOKUP(L964,Dashboard!A:G,2,FALSE)&lt;&gt;"","'plan': true"&amp;CHAR(44)&amp;"'actual': false","")</f>
        <v>'plan': true,'actual': false</v>
      </c>
      <c r="G969" s="33" t="s">
        <v>385</v>
      </c>
      <c r="H969" s="31"/>
      <c r="I969" s="32" t="s">
        <v>571</v>
      </c>
      <c r="J969" s="101"/>
      <c r="K969" s="32"/>
      <c r="L969" s="100"/>
    </row>
    <row r="970" spans="1:13" ht="15" thickBot="1">
      <c r="A970" s="31"/>
      <c r="B970" s="32"/>
      <c r="C970" s="32"/>
      <c r="D970" s="28"/>
      <c r="E970" s="43" t="e">
        <f>IF(F970="","//","")&amp;"nestedGroups: ["</f>
        <v>#VALUE!</v>
      </c>
      <c r="F970" s="37" t="e">
        <f>nestedGroups(5,I970*$I$2,", ")</f>
        <v>#VALUE!</v>
      </c>
      <c r="G970" s="30" t="s">
        <v>370</v>
      </c>
      <c r="H970" s="31"/>
      <c r="I970" s="3">
        <v>6</v>
      </c>
      <c r="J970" s="101"/>
      <c r="K970" s="32"/>
      <c r="L970" s="100"/>
    </row>
    <row r="971" spans="1:13">
      <c r="A971" s="31"/>
      <c r="B971" s="32"/>
      <c r="C971" s="32"/>
      <c r="D971" s="25" t="s">
        <v>362</v>
      </c>
      <c r="E971" s="41"/>
      <c r="F971" s="41"/>
      <c r="G971" s="27"/>
      <c r="H971" s="31"/>
      <c r="I971" s="32"/>
      <c r="J971" s="101"/>
      <c r="K971" s="32"/>
      <c r="L971" s="100"/>
    </row>
    <row r="972" spans="1:13">
      <c r="A972" s="31"/>
      <c r="B972" s="32"/>
      <c r="C972" s="32"/>
      <c r="D972" s="31"/>
      <c r="E972" s="37" t="str">
        <f ca="1">"id: "&amp;K972</f>
        <v>id: "17.1"</v>
      </c>
      <c r="F972" s="37"/>
      <c r="G972" s="33" t="s">
        <v>366</v>
      </c>
      <c r="H972" s="31"/>
      <c r="I972" s="32"/>
      <c r="J972" s="101">
        <f>$J$2+COUNTA($J$1:J971)</f>
        <v>125</v>
      </c>
      <c r="K972" s="32" t="str">
        <f ca="1">CHAR(34)&amp;L972&amp;CHAR(34)</f>
        <v>"17.1"</v>
      </c>
      <c r="L972" s="100" t="str">
        <f ca="1">INDIRECT("Dashboard!A"&amp;J972)</f>
        <v>17.1</v>
      </c>
      <c r="M972" s="32" t="str">
        <f ca="1">VLOOKUP(L972,Dashboard!A:G,7,FALSE)</f>
        <v>Note : Use case to be evaluated based on research basis in the area of smart home and smart grid &amp; smart factory applications</v>
      </c>
    </row>
    <row r="973" spans="1:13">
      <c r="A973" s="31"/>
      <c r="B973" s="32"/>
      <c r="C973" s="32"/>
      <c r="D973" s="31"/>
      <c r="E973" s="37" t="s">
        <v>369</v>
      </c>
      <c r="F973" s="102">
        <f>IF(F978="",2,1)</f>
        <v>2</v>
      </c>
      <c r="G973" s="33" t="s">
        <v>366</v>
      </c>
      <c r="H973" s="31"/>
      <c r="I973" s="32"/>
      <c r="J973" s="101"/>
      <c r="K973" s="32"/>
      <c r="L973" s="100"/>
    </row>
    <row r="974" spans="1:13">
      <c r="A974" s="31"/>
      <c r="B974" s="32"/>
      <c r="C974" s="32"/>
      <c r="D974" s="31"/>
      <c r="E974" s="37" t="s">
        <v>368</v>
      </c>
      <c r="F974" s="37" t="str">
        <f ca="1">M972</f>
        <v>Note : Use case to be evaluated based on research basis in the area of smart home and smart grid &amp; smart factory applications</v>
      </c>
      <c r="G974" s="33" t="s">
        <v>367</v>
      </c>
      <c r="H974" s="31"/>
      <c r="I974" s="32"/>
      <c r="J974" s="101"/>
      <c r="K974" s="32"/>
      <c r="L974" s="100"/>
    </row>
    <row r="975" spans="1:13">
      <c r="A975" s="31"/>
      <c r="B975" s="32"/>
      <c r="C975" s="32"/>
      <c r="D975" s="31"/>
      <c r="E975" s="37" t="s">
        <v>374</v>
      </c>
      <c r="F975" s="37"/>
      <c r="G975" s="33" t="s">
        <v>367</v>
      </c>
      <c r="H975" s="31"/>
      <c r="I975" s="32"/>
      <c r="J975" s="101"/>
      <c r="K975" s="32"/>
      <c r="L975" s="100"/>
    </row>
    <row r="976" spans="1:13">
      <c r="A976" s="31"/>
      <c r="B976" s="32"/>
      <c r="C976" s="32"/>
      <c r="D976" s="31"/>
      <c r="E976" s="37" t="s">
        <v>395</v>
      </c>
      <c r="F976" s="37" t="s">
        <v>394</v>
      </c>
      <c r="G976" s="33" t="s">
        <v>366</v>
      </c>
      <c r="H976" s="31"/>
      <c r="I976" s="32"/>
      <c r="J976" s="101"/>
      <c r="K976" s="32"/>
      <c r="L976" s="100"/>
    </row>
    <row r="977" spans="1:13">
      <c r="A977" s="31"/>
      <c r="B977" s="32"/>
      <c r="C977" s="32"/>
      <c r="D977" s="31"/>
      <c r="E977" s="37" t="s">
        <v>386</v>
      </c>
      <c r="F977" s="37" t="str">
        <f ca="1">IF(VLOOKUP(L972,Dashboard!A:G,2,FALSE)&lt;&gt;"","'plan': true"&amp;CHAR(44)&amp;"'actual': false","")</f>
        <v/>
      </c>
      <c r="G977" s="33" t="s">
        <v>385</v>
      </c>
      <c r="H977" s="31"/>
      <c r="I977" s="32"/>
      <c r="J977" s="101"/>
      <c r="K977" s="32"/>
      <c r="L977" s="100"/>
    </row>
    <row r="978" spans="1:13" ht="15" thickBot="1">
      <c r="A978" s="31"/>
      <c r="B978" s="32"/>
      <c r="C978" s="32"/>
      <c r="D978" s="28"/>
      <c r="E978" s="43" t="str">
        <f>IF(F978="","//","")&amp;"nestedGroups: ["</f>
        <v>//nestedGroups: [</v>
      </c>
      <c r="F978" s="43"/>
      <c r="G978" s="30" t="s">
        <v>370</v>
      </c>
      <c r="H978" s="31"/>
      <c r="I978" s="32"/>
      <c r="J978" s="101"/>
      <c r="K978" s="32"/>
      <c r="L978" s="100"/>
    </row>
    <row r="979" spans="1:13">
      <c r="A979" s="31"/>
      <c r="B979" s="32"/>
      <c r="C979" s="32"/>
      <c r="D979" s="25" t="s">
        <v>362</v>
      </c>
      <c r="E979" s="41"/>
      <c r="F979" s="41"/>
      <c r="G979" s="27"/>
      <c r="H979" s="31"/>
      <c r="I979" s="32"/>
      <c r="J979" s="101"/>
      <c r="K979" s="32"/>
      <c r="L979" s="100"/>
    </row>
    <row r="980" spans="1:13">
      <c r="A980" s="31"/>
      <c r="B980" s="32"/>
      <c r="C980" s="32"/>
      <c r="D980" s="31"/>
      <c r="E980" s="37" t="str">
        <f ca="1">"id: "&amp;K980</f>
        <v>id: "17.2"</v>
      </c>
      <c r="F980" s="37"/>
      <c r="G980" s="33" t="s">
        <v>366</v>
      </c>
      <c r="H980" s="31"/>
      <c r="I980" s="32"/>
      <c r="J980" s="101">
        <f>$J$2+COUNTA($J$1:J979)</f>
        <v>126</v>
      </c>
      <c r="K980" s="32" t="str">
        <f ca="1">CHAR(34)&amp;L980&amp;CHAR(34)</f>
        <v>"17.2"</v>
      </c>
      <c r="L980" s="100" t="str">
        <f ca="1">INDIRECT("Dashboard!A"&amp;J980)</f>
        <v>17.2</v>
      </c>
      <c r="M980" s="32" t="str">
        <f ca="1">VLOOKUP(L980,Dashboard!A:G,7,FALSE)</f>
        <v>Technical design document explaining the data schema and algorithm</v>
      </c>
    </row>
    <row r="981" spans="1:13">
      <c r="A981" s="31"/>
      <c r="B981" s="32"/>
      <c r="C981" s="32"/>
      <c r="D981" s="31"/>
      <c r="E981" s="37" t="s">
        <v>369</v>
      </c>
      <c r="F981" s="102">
        <f>IF(F986="",2,1)</f>
        <v>2</v>
      </c>
      <c r="G981" s="33" t="s">
        <v>366</v>
      </c>
      <c r="H981" s="31"/>
      <c r="I981" s="32"/>
      <c r="J981" s="101"/>
      <c r="K981" s="32"/>
      <c r="L981" s="100"/>
    </row>
    <row r="982" spans="1:13">
      <c r="A982" s="31"/>
      <c r="B982" s="32"/>
      <c r="C982" s="32"/>
      <c r="D982" s="31"/>
      <c r="E982" s="37" t="s">
        <v>368</v>
      </c>
      <c r="F982" s="37" t="str">
        <f ca="1">M980</f>
        <v>Technical design document explaining the data schema and algorithm</v>
      </c>
      <c r="G982" s="33" t="s">
        <v>367</v>
      </c>
      <c r="H982" s="31"/>
      <c r="I982" s="32"/>
      <c r="J982" s="101"/>
      <c r="K982" s="32"/>
      <c r="L982" s="100"/>
    </row>
    <row r="983" spans="1:13">
      <c r="A983" s="31"/>
      <c r="B983" s="32"/>
      <c r="C983" s="32"/>
      <c r="D983" s="31"/>
      <c r="E983" s="37" t="s">
        <v>374</v>
      </c>
      <c r="F983" s="37"/>
      <c r="G983" s="33" t="s">
        <v>367</v>
      </c>
      <c r="H983" s="31"/>
      <c r="I983" s="32"/>
      <c r="J983" s="101"/>
      <c r="K983" s="32"/>
      <c r="L983" s="100"/>
    </row>
    <row r="984" spans="1:13">
      <c r="A984" s="31"/>
      <c r="B984" s="32"/>
      <c r="C984" s="32"/>
      <c r="D984" s="31"/>
      <c r="E984" s="37" t="s">
        <v>395</v>
      </c>
      <c r="F984" s="37" t="s">
        <v>394</v>
      </c>
      <c r="G984" s="33" t="s">
        <v>366</v>
      </c>
      <c r="H984" s="31"/>
      <c r="I984" s="32"/>
      <c r="J984" s="101"/>
      <c r="K984" s="32"/>
      <c r="L984" s="100"/>
    </row>
    <row r="985" spans="1:13">
      <c r="A985" s="31"/>
      <c r="B985" s="32"/>
      <c r="C985" s="32"/>
      <c r="D985" s="31"/>
      <c r="E985" s="37" t="s">
        <v>386</v>
      </c>
      <c r="F985" s="37" t="str">
        <f ca="1">IF(VLOOKUP(L980,Dashboard!A:G,2,FALSE)&lt;&gt;"","'plan': true"&amp;CHAR(44)&amp;"'actual': false","")</f>
        <v>'plan': true,'actual': false</v>
      </c>
      <c r="G985" s="33" t="s">
        <v>385</v>
      </c>
      <c r="H985" s="31"/>
      <c r="I985" s="32"/>
      <c r="J985" s="101"/>
      <c r="K985" s="32"/>
      <c r="L985" s="100"/>
    </row>
    <row r="986" spans="1:13" ht="15" thickBot="1">
      <c r="A986" s="31"/>
      <c r="B986" s="32"/>
      <c r="C986" s="32"/>
      <c r="D986" s="28"/>
      <c r="E986" s="43" t="str">
        <f>IF(F986="","//","")&amp;"nestedGroups: ["</f>
        <v>//nestedGroups: [</v>
      </c>
      <c r="F986" s="43"/>
      <c r="G986" s="30" t="s">
        <v>370</v>
      </c>
      <c r="H986" s="31"/>
      <c r="I986" s="32"/>
      <c r="J986" s="101"/>
      <c r="K986" s="32"/>
      <c r="L986" s="100"/>
    </row>
    <row r="987" spans="1:13">
      <c r="A987" s="31"/>
      <c r="B987" s="32"/>
      <c r="C987" s="32"/>
      <c r="D987" s="25" t="s">
        <v>362</v>
      </c>
      <c r="E987" s="41"/>
      <c r="F987" s="41"/>
      <c r="G987" s="27"/>
      <c r="H987" s="31"/>
      <c r="I987" s="32"/>
      <c r="J987" s="101"/>
      <c r="K987" s="32"/>
      <c r="L987" s="100"/>
    </row>
    <row r="988" spans="1:13">
      <c r="A988" s="31"/>
      <c r="B988" s="32"/>
      <c r="C988" s="32"/>
      <c r="D988" s="31"/>
      <c r="E988" s="37" t="str">
        <f ca="1">"id: "&amp;K988</f>
        <v>id: "17.3"</v>
      </c>
      <c r="F988" s="37"/>
      <c r="G988" s="33" t="s">
        <v>366</v>
      </c>
      <c r="H988" s="31"/>
      <c r="I988" s="32"/>
      <c r="J988" s="101">
        <f>$J$2+COUNTA($J$1:J987)</f>
        <v>127</v>
      </c>
      <c r="K988" s="32" t="str">
        <f ca="1">CHAR(34)&amp;L988&amp;CHAR(34)</f>
        <v>"17.3"</v>
      </c>
      <c r="L988" s="100" t="str">
        <f ca="1">INDIRECT("Dashboard!A"&amp;J988)</f>
        <v>17.3</v>
      </c>
      <c r="M988" s="32" t="str">
        <f ca="1">VLOOKUP(L988,Dashboard!A:G,7,FALSE)</f>
        <v>Software Code</v>
      </c>
    </row>
    <row r="989" spans="1:13">
      <c r="A989" s="31"/>
      <c r="B989" s="32"/>
      <c r="C989" s="32"/>
      <c r="D989" s="31"/>
      <c r="E989" s="37" t="s">
        <v>369</v>
      </c>
      <c r="F989" s="102">
        <f>IF(F994="",2,1)</f>
        <v>2</v>
      </c>
      <c r="G989" s="33" t="s">
        <v>366</v>
      </c>
      <c r="H989" s="31"/>
      <c r="I989" s="32"/>
      <c r="J989" s="101"/>
      <c r="K989" s="32"/>
      <c r="L989" s="100"/>
    </row>
    <row r="990" spans="1:13">
      <c r="A990" s="31"/>
      <c r="B990" s="32"/>
      <c r="C990" s="32"/>
      <c r="D990" s="31"/>
      <c r="E990" s="37" t="s">
        <v>368</v>
      </c>
      <c r="F990" s="37" t="str">
        <f ca="1">M988</f>
        <v>Software Code</v>
      </c>
      <c r="G990" s="33" t="s">
        <v>367</v>
      </c>
      <c r="H990" s="31"/>
      <c r="I990" s="32"/>
      <c r="J990" s="101"/>
      <c r="K990" s="32"/>
      <c r="L990" s="100"/>
    </row>
    <row r="991" spans="1:13">
      <c r="A991" s="31"/>
      <c r="B991" s="32"/>
      <c r="C991" s="32"/>
      <c r="D991" s="31"/>
      <c r="E991" s="37" t="s">
        <v>374</v>
      </c>
      <c r="F991" s="37"/>
      <c r="G991" s="33" t="s">
        <v>367</v>
      </c>
      <c r="H991" s="31"/>
      <c r="I991" s="32"/>
      <c r="J991" s="101"/>
      <c r="K991" s="32"/>
      <c r="L991" s="100"/>
    </row>
    <row r="992" spans="1:13">
      <c r="A992" s="31"/>
      <c r="B992" s="32"/>
      <c r="C992" s="32"/>
      <c r="D992" s="31"/>
      <c r="E992" s="37" t="s">
        <v>395</v>
      </c>
      <c r="F992" s="37" t="s">
        <v>394</v>
      </c>
      <c r="G992" s="33" t="s">
        <v>366</v>
      </c>
      <c r="H992" s="31"/>
      <c r="I992" s="32"/>
      <c r="J992" s="101"/>
      <c r="K992" s="32"/>
      <c r="L992" s="100"/>
    </row>
    <row r="993" spans="1:13">
      <c r="A993" s="31"/>
      <c r="B993" s="32"/>
      <c r="C993" s="32"/>
      <c r="D993" s="31"/>
      <c r="E993" s="37" t="s">
        <v>386</v>
      </c>
      <c r="F993" s="37" t="str">
        <f ca="1">IF(VLOOKUP(L988,Dashboard!A:G,2,FALSE)&lt;&gt;"","'plan': true"&amp;CHAR(44)&amp;"'actual': false","")</f>
        <v>'plan': true,'actual': false</v>
      </c>
      <c r="G993" s="33" t="s">
        <v>385</v>
      </c>
      <c r="H993" s="31"/>
      <c r="I993" s="32"/>
      <c r="J993" s="101"/>
      <c r="K993" s="32"/>
      <c r="L993" s="100"/>
    </row>
    <row r="994" spans="1:13" ht="15" thickBot="1">
      <c r="A994" s="31"/>
      <c r="B994" s="32"/>
      <c r="C994" s="32"/>
      <c r="D994" s="28"/>
      <c r="E994" s="43" t="str">
        <f>IF(F994="","//","")&amp;"nestedGroups: ["</f>
        <v>//nestedGroups: [</v>
      </c>
      <c r="F994" s="43"/>
      <c r="G994" s="30" t="s">
        <v>370</v>
      </c>
      <c r="H994" s="31"/>
      <c r="I994" s="32"/>
      <c r="J994" s="101"/>
      <c r="K994" s="32"/>
      <c r="L994" s="100"/>
    </row>
    <row r="995" spans="1:13">
      <c r="A995" s="31"/>
      <c r="B995" s="32"/>
      <c r="C995" s="32"/>
      <c r="D995" s="25" t="s">
        <v>362</v>
      </c>
      <c r="E995" s="41"/>
      <c r="F995" s="41"/>
      <c r="G995" s="27"/>
      <c r="H995" s="31"/>
      <c r="I995" s="32"/>
      <c r="J995" s="101"/>
      <c r="K995" s="32"/>
      <c r="L995" s="100"/>
    </row>
    <row r="996" spans="1:13">
      <c r="A996" s="31"/>
      <c r="B996" s="32"/>
      <c r="C996" s="32"/>
      <c r="D996" s="31"/>
      <c r="E996" s="37" t="str">
        <f ca="1">"id: "&amp;K996</f>
        <v>id: "17.4"</v>
      </c>
      <c r="F996" s="37"/>
      <c r="G996" s="33" t="s">
        <v>366</v>
      </c>
      <c r="H996" s="31"/>
      <c r="I996" s="32"/>
      <c r="J996" s="101">
        <f>$J$2+COUNTA($J$1:J995)</f>
        <v>128</v>
      </c>
      <c r="K996" s="32" t="str">
        <f ca="1">CHAR(34)&amp;L996&amp;CHAR(34)</f>
        <v>"17.4"</v>
      </c>
      <c r="L996" s="100" t="str">
        <f ca="1">INDIRECT("Dashboard!A"&amp;J996)</f>
        <v>17.4</v>
      </c>
      <c r="M996" s="32" t="str">
        <f ca="1">VLOOKUP(L996,Dashboard!A:G,7,FALSE)</f>
        <v>Deployment Procedure of the code</v>
      </c>
    </row>
    <row r="997" spans="1:13">
      <c r="A997" s="31"/>
      <c r="B997" s="32"/>
      <c r="C997" s="32"/>
      <c r="D997" s="31"/>
      <c r="E997" s="37" t="s">
        <v>369</v>
      </c>
      <c r="F997" s="102">
        <f>IF(F1002="",2,1)</f>
        <v>2</v>
      </c>
      <c r="G997" s="33" t="s">
        <v>366</v>
      </c>
      <c r="H997" s="31"/>
      <c r="I997" s="32"/>
      <c r="J997" s="101"/>
      <c r="K997" s="32"/>
      <c r="L997" s="100"/>
    </row>
    <row r="998" spans="1:13">
      <c r="A998" s="31"/>
      <c r="B998" s="32"/>
      <c r="C998" s="32"/>
      <c r="D998" s="31"/>
      <c r="E998" s="37" t="s">
        <v>368</v>
      </c>
      <c r="F998" s="37" t="str">
        <f ca="1">M996</f>
        <v>Deployment Procedure of the code</v>
      </c>
      <c r="G998" s="33" t="s">
        <v>367</v>
      </c>
      <c r="H998" s="31"/>
      <c r="I998" s="32"/>
      <c r="J998" s="101"/>
      <c r="K998" s="32"/>
      <c r="L998" s="100"/>
    </row>
    <row r="999" spans="1:13">
      <c r="A999" s="31"/>
      <c r="B999" s="32"/>
      <c r="C999" s="32"/>
      <c r="D999" s="31"/>
      <c r="E999" s="37" t="s">
        <v>374</v>
      </c>
      <c r="F999" s="37"/>
      <c r="G999" s="33" t="s">
        <v>367</v>
      </c>
      <c r="H999" s="31"/>
      <c r="I999" s="32"/>
      <c r="J999" s="101"/>
      <c r="K999" s="32"/>
      <c r="L999" s="100"/>
    </row>
    <row r="1000" spans="1:13">
      <c r="A1000" s="31"/>
      <c r="B1000" s="32"/>
      <c r="C1000" s="32"/>
      <c r="D1000" s="31"/>
      <c r="E1000" s="37" t="s">
        <v>395</v>
      </c>
      <c r="F1000" s="37" t="s">
        <v>394</v>
      </c>
      <c r="G1000" s="33" t="s">
        <v>366</v>
      </c>
      <c r="H1000" s="31"/>
      <c r="I1000" s="32"/>
      <c r="J1000" s="101"/>
      <c r="K1000" s="32"/>
      <c r="L1000" s="100"/>
    </row>
    <row r="1001" spans="1:13">
      <c r="A1001" s="31"/>
      <c r="B1001" s="32"/>
      <c r="C1001" s="32"/>
      <c r="D1001" s="31"/>
      <c r="E1001" s="37" t="s">
        <v>386</v>
      </c>
      <c r="F1001" s="37" t="str">
        <f ca="1">IF(VLOOKUP(L996,Dashboard!A:G,2,FALSE)&lt;&gt;"","'plan': true"&amp;CHAR(44)&amp;"'actual': false","")</f>
        <v>'plan': true,'actual': false</v>
      </c>
      <c r="G1001" s="33" t="s">
        <v>385</v>
      </c>
      <c r="H1001" s="31"/>
      <c r="I1001" s="32"/>
      <c r="J1001" s="101"/>
      <c r="K1001" s="32"/>
      <c r="L1001" s="100"/>
    </row>
    <row r="1002" spans="1:13" ht="15" thickBot="1">
      <c r="A1002" s="31"/>
      <c r="B1002" s="32"/>
      <c r="C1002" s="32"/>
      <c r="D1002" s="28"/>
      <c r="E1002" s="43" t="str">
        <f>IF(F1002="","//","")&amp;"nestedGroups: ["</f>
        <v>//nestedGroups: [</v>
      </c>
      <c r="F1002" s="43"/>
      <c r="G1002" s="30" t="s">
        <v>370</v>
      </c>
      <c r="H1002" s="31"/>
      <c r="I1002" s="32"/>
      <c r="J1002" s="101"/>
      <c r="K1002" s="32"/>
      <c r="L1002" s="100"/>
    </row>
    <row r="1003" spans="1:13">
      <c r="A1003" s="31"/>
      <c r="B1003" s="32"/>
      <c r="C1003" s="32"/>
      <c r="D1003" s="25" t="s">
        <v>362</v>
      </c>
      <c r="E1003" s="41"/>
      <c r="F1003" s="41"/>
      <c r="G1003" s="27"/>
      <c r="H1003" s="31"/>
      <c r="I1003" s="32"/>
      <c r="J1003" s="101"/>
      <c r="K1003" s="32"/>
      <c r="L1003" s="100"/>
    </row>
    <row r="1004" spans="1:13">
      <c r="A1004" s="31"/>
      <c r="B1004" s="32"/>
      <c r="C1004" s="32"/>
      <c r="D1004" s="31"/>
      <c r="E1004" s="37" t="str">
        <f ca="1">"id: "&amp;K1004</f>
        <v>id: "17.5"</v>
      </c>
      <c r="F1004" s="37"/>
      <c r="G1004" s="33" t="s">
        <v>366</v>
      </c>
      <c r="H1004" s="31"/>
      <c r="I1004" s="32"/>
      <c r="J1004" s="101">
        <f>$J$2+COUNTA($J$1:J1003)</f>
        <v>129</v>
      </c>
      <c r="K1004" s="32" t="str">
        <f ca="1">CHAR(34)&amp;L1004&amp;CHAR(34)</f>
        <v>"17.5"</v>
      </c>
      <c r="L1004" s="100" t="str">
        <f ca="1">INDIRECT("Dashboard!A"&amp;J1004)</f>
        <v>17.5</v>
      </c>
      <c r="M1004" s="32" t="str">
        <f ca="1">VLOOKUP(L1004,Dashboard!A:G,7,FALSE)</f>
        <v>Product usage guide with examples for all the functional usecases</v>
      </c>
    </row>
    <row r="1005" spans="1:13">
      <c r="A1005" s="31"/>
      <c r="B1005" s="32"/>
      <c r="C1005" s="32"/>
      <c r="D1005" s="31"/>
      <c r="E1005" s="37" t="s">
        <v>369</v>
      </c>
      <c r="F1005" s="102">
        <f>IF(F1010="",2,1)</f>
        <v>2</v>
      </c>
      <c r="G1005" s="33" t="s">
        <v>366</v>
      </c>
      <c r="H1005" s="31"/>
      <c r="I1005" s="32"/>
      <c r="J1005" s="101"/>
      <c r="K1005" s="32"/>
      <c r="L1005" s="100"/>
    </row>
    <row r="1006" spans="1:13">
      <c r="A1006" s="31"/>
      <c r="B1006" s="32"/>
      <c r="C1006" s="32"/>
      <c r="D1006" s="31"/>
      <c r="E1006" s="37" t="s">
        <v>368</v>
      </c>
      <c r="F1006" s="37" t="str">
        <f ca="1">M1004</f>
        <v>Product usage guide with examples for all the functional usecases</v>
      </c>
      <c r="G1006" s="33" t="s">
        <v>367</v>
      </c>
      <c r="H1006" s="31"/>
      <c r="I1006" s="32"/>
      <c r="J1006" s="101"/>
      <c r="K1006" s="32"/>
      <c r="L1006" s="100"/>
    </row>
    <row r="1007" spans="1:13">
      <c r="A1007" s="31"/>
      <c r="B1007" s="32"/>
      <c r="C1007" s="32"/>
      <c r="D1007" s="31"/>
      <c r="E1007" s="37" t="s">
        <v>374</v>
      </c>
      <c r="F1007" s="37"/>
      <c r="G1007" s="33" t="s">
        <v>367</v>
      </c>
      <c r="H1007" s="31"/>
      <c r="I1007" s="32"/>
      <c r="J1007" s="101"/>
      <c r="K1007" s="32"/>
      <c r="L1007" s="100"/>
    </row>
    <row r="1008" spans="1:13">
      <c r="A1008" s="31"/>
      <c r="B1008" s="32"/>
      <c r="C1008" s="32"/>
      <c r="D1008" s="31"/>
      <c r="E1008" s="37" t="s">
        <v>395</v>
      </c>
      <c r="F1008" s="37" t="s">
        <v>394</v>
      </c>
      <c r="G1008" s="33" t="s">
        <v>366</v>
      </c>
      <c r="H1008" s="31"/>
      <c r="I1008" s="32"/>
      <c r="J1008" s="101"/>
      <c r="K1008" s="32"/>
      <c r="L1008" s="100"/>
    </row>
    <row r="1009" spans="1:13">
      <c r="A1009" s="31"/>
      <c r="B1009" s="32"/>
      <c r="C1009" s="32"/>
      <c r="D1009" s="31"/>
      <c r="E1009" s="37" t="s">
        <v>386</v>
      </c>
      <c r="F1009" s="37" t="str">
        <f ca="1">IF(VLOOKUP(L1004,Dashboard!A:G,2,FALSE)&lt;&gt;"","'plan': true"&amp;CHAR(44)&amp;"'actual': false","")</f>
        <v>'plan': true,'actual': false</v>
      </c>
      <c r="G1009" s="33" t="s">
        <v>385</v>
      </c>
      <c r="H1009" s="31"/>
      <c r="I1009" s="32"/>
      <c r="J1009" s="101"/>
      <c r="K1009" s="32"/>
      <c r="L1009" s="100"/>
    </row>
    <row r="1010" spans="1:13" ht="15" thickBot="1">
      <c r="A1010" s="31"/>
      <c r="B1010" s="32"/>
      <c r="C1010" s="32"/>
      <c r="D1010" s="28"/>
      <c r="E1010" s="43" t="str">
        <f>IF(F1010="","//","")&amp;"nestedGroups: ["</f>
        <v>//nestedGroups: [</v>
      </c>
      <c r="F1010" s="43"/>
      <c r="G1010" s="30" t="s">
        <v>370</v>
      </c>
      <c r="H1010" s="31"/>
      <c r="I1010" s="32"/>
      <c r="J1010" s="101"/>
      <c r="K1010" s="32"/>
      <c r="L1010" s="100"/>
    </row>
    <row r="1011" spans="1:13">
      <c r="A1011" s="31"/>
      <c r="B1011" s="32"/>
      <c r="C1011" s="32"/>
      <c r="D1011" s="25" t="s">
        <v>362</v>
      </c>
      <c r="E1011" s="41"/>
      <c r="F1011" s="41"/>
      <c r="G1011" s="27"/>
      <c r="H1011" s="31"/>
      <c r="I1011" s="32"/>
      <c r="J1011" s="101"/>
      <c r="K1011" s="32"/>
      <c r="L1011" s="100"/>
    </row>
    <row r="1012" spans="1:13">
      <c r="A1012" s="31"/>
      <c r="B1012" s="32"/>
      <c r="C1012" s="32"/>
      <c r="D1012" s="31"/>
      <c r="E1012" s="37" t="str">
        <f ca="1">"id: "&amp;K1012</f>
        <v>id: "17.6"</v>
      </c>
      <c r="F1012" s="37"/>
      <c r="G1012" s="33" t="s">
        <v>366</v>
      </c>
      <c r="H1012" s="31"/>
      <c r="I1012" s="32"/>
      <c r="J1012" s="101">
        <f>$J$2+COUNTA($J$1:J1011)</f>
        <v>130</v>
      </c>
      <c r="K1012" s="32" t="str">
        <f ca="1">CHAR(34)&amp;L1012&amp;CHAR(34)</f>
        <v>"17.6"</v>
      </c>
      <c r="L1012" s="100" t="str">
        <f ca="1">INDIRECT("Dashboard!A"&amp;J1012)</f>
        <v>17.6</v>
      </c>
      <c r="M1012" s="32" t="str">
        <f ca="1">VLOOKUP(L1012,Dashboard!A:G,7,FALSE)</f>
        <v xml:space="preserve">Test report </v>
      </c>
    </row>
    <row r="1013" spans="1:13">
      <c r="A1013" s="31"/>
      <c r="B1013" s="32"/>
      <c r="C1013" s="32"/>
      <c r="D1013" s="31"/>
      <c r="E1013" s="37" t="s">
        <v>369</v>
      </c>
      <c r="F1013" s="102">
        <f>IF(F1018="",2,1)</f>
        <v>2</v>
      </c>
      <c r="G1013" s="33" t="s">
        <v>366</v>
      </c>
      <c r="H1013" s="31"/>
      <c r="I1013" s="32"/>
      <c r="J1013" s="101"/>
      <c r="K1013" s="32"/>
      <c r="L1013" s="100"/>
    </row>
    <row r="1014" spans="1:13">
      <c r="A1014" s="31"/>
      <c r="B1014" s="32"/>
      <c r="C1014" s="32"/>
      <c r="D1014" s="31"/>
      <c r="E1014" s="37" t="s">
        <v>368</v>
      </c>
      <c r="F1014" s="37" t="str">
        <f ca="1">M1012</f>
        <v xml:space="preserve">Test report </v>
      </c>
      <c r="G1014" s="33" t="s">
        <v>367</v>
      </c>
      <c r="H1014" s="31"/>
      <c r="I1014" s="32"/>
      <c r="J1014" s="101"/>
      <c r="K1014" s="32"/>
      <c r="L1014" s="100"/>
    </row>
    <row r="1015" spans="1:13">
      <c r="A1015" s="31"/>
      <c r="B1015" s="32"/>
      <c r="C1015" s="32"/>
      <c r="D1015" s="31"/>
      <c r="E1015" s="37" t="s">
        <v>374</v>
      </c>
      <c r="F1015" s="37"/>
      <c r="G1015" s="33" t="s">
        <v>367</v>
      </c>
      <c r="H1015" s="31"/>
      <c r="I1015" s="32"/>
      <c r="J1015" s="101"/>
      <c r="K1015" s="32"/>
      <c r="L1015" s="100"/>
    </row>
    <row r="1016" spans="1:13">
      <c r="A1016" s="31"/>
      <c r="B1016" s="32"/>
      <c r="C1016" s="32"/>
      <c r="D1016" s="31"/>
      <c r="E1016" s="37" t="s">
        <v>395</v>
      </c>
      <c r="F1016" s="37" t="s">
        <v>394</v>
      </c>
      <c r="G1016" s="33" t="s">
        <v>366</v>
      </c>
      <c r="H1016" s="31"/>
      <c r="I1016" s="32"/>
      <c r="J1016" s="101"/>
      <c r="K1016" s="32"/>
      <c r="L1016" s="100"/>
    </row>
    <row r="1017" spans="1:13">
      <c r="A1017" s="31"/>
      <c r="B1017" s="32"/>
      <c r="C1017" s="32"/>
      <c r="D1017" s="31"/>
      <c r="E1017" s="37" t="s">
        <v>386</v>
      </c>
      <c r="F1017" s="37" t="str">
        <f ca="1">IF(VLOOKUP(L1012,Dashboard!A:G,2,FALSE)&lt;&gt;"","'plan': true"&amp;CHAR(44)&amp;"'actual': false","")</f>
        <v>'plan': true,'actual': false</v>
      </c>
      <c r="G1017" s="33" t="s">
        <v>385</v>
      </c>
      <c r="H1017" s="31"/>
      <c r="I1017" s="32"/>
      <c r="J1017" s="101"/>
      <c r="K1017" s="32"/>
      <c r="L1017" s="100"/>
    </row>
    <row r="1018" spans="1:13" ht="15" thickBot="1">
      <c r="A1018" s="31"/>
      <c r="B1018" s="32"/>
      <c r="C1018" s="32"/>
      <c r="D1018" s="28"/>
      <c r="E1018" s="43" t="str">
        <f>IF(F1018="","//","")&amp;"nestedGroups: ["</f>
        <v>//nestedGroups: [</v>
      </c>
      <c r="F1018" s="43"/>
      <c r="G1018" s="30" t="s">
        <v>370</v>
      </c>
      <c r="H1018" s="31"/>
      <c r="I1018" s="32"/>
      <c r="J1018" s="101"/>
      <c r="K1018" s="32"/>
      <c r="L1018" s="100"/>
    </row>
    <row r="1019" spans="1:13">
      <c r="A1019" s="31"/>
      <c r="B1019" s="32"/>
      <c r="C1019" s="32"/>
      <c r="D1019" s="25" t="s">
        <v>362</v>
      </c>
      <c r="E1019" s="114"/>
      <c r="F1019" s="114"/>
      <c r="G1019" s="27"/>
      <c r="H1019" s="31"/>
      <c r="I1019" s="32"/>
      <c r="J1019" s="101"/>
      <c r="K1019" s="32"/>
      <c r="L1019" s="100"/>
    </row>
    <row r="1020" spans="1:13">
      <c r="A1020" s="31"/>
      <c r="B1020" s="32"/>
      <c r="C1020" s="32"/>
      <c r="D1020" s="31"/>
      <c r="E1020" s="37" t="str">
        <f ca="1">"id: "&amp;K1020</f>
        <v>id: "18"</v>
      </c>
      <c r="F1020" s="37"/>
      <c r="G1020" s="33" t="s">
        <v>366</v>
      </c>
      <c r="H1020" s="31"/>
      <c r="I1020" s="32"/>
      <c r="J1020" s="101">
        <f>$J$2+COUNTA($J$1:J1019)</f>
        <v>131</v>
      </c>
      <c r="K1020" s="32" t="str">
        <f ca="1">CHAR(34)&amp;L1020&amp;CHAR(34)</f>
        <v>"18"</v>
      </c>
      <c r="L1020" s="100" t="str">
        <f ca="1">INDIRECT("Dashboard!A"&amp;J1020)</f>
        <v>18</v>
      </c>
      <c r="M1020" s="32" t="str">
        <f ca="1">VLOOKUP(L1020,Dashboard!A:G,7,FALSE)</f>
        <v>M17. Stakeholder management and updated usecases WebUI</v>
      </c>
    </row>
    <row r="1021" spans="1:13">
      <c r="A1021" s="31"/>
      <c r="B1021" s="32"/>
      <c r="C1021" s="32"/>
      <c r="D1021" s="31"/>
      <c r="E1021" s="37" t="s">
        <v>369</v>
      </c>
      <c r="F1021" s="102" t="e">
        <f>IF(F1026="",2,1)</f>
        <v>#VALUE!</v>
      </c>
      <c r="G1021" s="33" t="s">
        <v>366</v>
      </c>
      <c r="H1021" s="31"/>
      <c r="I1021" s="32"/>
      <c r="J1021" s="101"/>
      <c r="K1021" s="32"/>
      <c r="L1021" s="100"/>
    </row>
    <row r="1022" spans="1:13">
      <c r="A1022" s="31"/>
      <c r="B1022" s="32"/>
      <c r="C1022" s="32"/>
      <c r="D1022" s="31"/>
      <c r="E1022" s="37" t="s">
        <v>368</v>
      </c>
      <c r="F1022" s="37" t="str">
        <f ca="1">M1020</f>
        <v>M17. Stakeholder management and updated usecases WebUI</v>
      </c>
      <c r="G1022" s="33" t="s">
        <v>367</v>
      </c>
      <c r="H1022" s="31"/>
      <c r="I1022" s="32"/>
      <c r="J1022" s="101"/>
      <c r="K1022" s="32"/>
      <c r="L1022" s="100"/>
    </row>
    <row r="1023" spans="1:13">
      <c r="A1023" s="31"/>
      <c r="B1023" s="32"/>
      <c r="C1023" s="32"/>
      <c r="D1023" s="31"/>
      <c r="E1023" s="37" t="s">
        <v>374</v>
      </c>
      <c r="F1023" s="37"/>
      <c r="G1023" s="33" t="s">
        <v>367</v>
      </c>
      <c r="H1023" s="31"/>
      <c r="I1023" s="32"/>
      <c r="J1023" s="101"/>
      <c r="K1023" s="32"/>
      <c r="L1023" s="100"/>
    </row>
    <row r="1024" spans="1:13">
      <c r="A1024" s="31"/>
      <c r="B1024" s="32"/>
      <c r="C1024" s="32"/>
      <c r="D1024" s="31"/>
      <c r="E1024" s="37" t="s">
        <v>395</v>
      </c>
      <c r="F1024" s="37" t="s">
        <v>394</v>
      </c>
      <c r="G1024" s="33" t="s">
        <v>366</v>
      </c>
      <c r="H1024" s="31"/>
      <c r="I1024" s="32"/>
      <c r="J1024" s="101"/>
      <c r="K1024" s="32"/>
      <c r="L1024" s="100"/>
    </row>
    <row r="1025" spans="1:13">
      <c r="A1025" s="31"/>
      <c r="B1025" s="32"/>
      <c r="C1025" s="32"/>
      <c r="D1025" s="31"/>
      <c r="E1025" s="37" t="s">
        <v>386</v>
      </c>
      <c r="F1025" s="37" t="str">
        <f ca="1">IF(VLOOKUP(L1020,Dashboard!A:G,2,FALSE)&lt;&gt;"","'plan': true"&amp;CHAR(44)&amp;"'actual': false","")</f>
        <v>'plan': true,'actual': false</v>
      </c>
      <c r="G1025" s="33" t="s">
        <v>385</v>
      </c>
      <c r="H1025" s="31"/>
      <c r="I1025" s="32" t="s">
        <v>571</v>
      </c>
      <c r="J1025" s="101"/>
      <c r="K1025" s="32"/>
      <c r="L1025" s="100"/>
    </row>
    <row r="1026" spans="1:13" ht="15" thickBot="1">
      <c r="A1026" s="31"/>
      <c r="B1026" s="32"/>
      <c r="C1026" s="32"/>
      <c r="D1026" s="28"/>
      <c r="E1026" s="43" t="e">
        <f>IF(F1026="","//","")&amp;"nestedGroups: ["</f>
        <v>#VALUE!</v>
      </c>
      <c r="F1026" s="37" t="e">
        <f>nestedGroups(5,I1026*$I$2,", ")</f>
        <v>#VALUE!</v>
      </c>
      <c r="G1026" s="30" t="s">
        <v>370</v>
      </c>
      <c r="H1026" s="31"/>
      <c r="I1026" s="3">
        <v>8</v>
      </c>
      <c r="J1026" s="101"/>
      <c r="K1026" s="32"/>
      <c r="L1026" s="100"/>
    </row>
    <row r="1027" spans="1:13">
      <c r="A1027" s="31"/>
      <c r="B1027" s="32"/>
      <c r="C1027" s="32"/>
      <c r="D1027" s="25" t="s">
        <v>362</v>
      </c>
      <c r="E1027" s="41"/>
      <c r="F1027" s="41"/>
      <c r="G1027" s="27"/>
      <c r="H1027" s="31"/>
      <c r="I1027" s="32"/>
      <c r="J1027" s="101"/>
      <c r="K1027" s="32"/>
      <c r="L1027" s="100"/>
    </row>
    <row r="1028" spans="1:13">
      <c r="A1028" s="31"/>
      <c r="B1028" s="32"/>
      <c r="C1028" s="32"/>
      <c r="D1028" s="31"/>
      <c r="E1028" s="37" t="str">
        <f ca="1">"id: "&amp;K1028</f>
        <v>id: "18.1"</v>
      </c>
      <c r="F1028" s="37"/>
      <c r="G1028" s="33" t="s">
        <v>366</v>
      </c>
      <c r="H1028" s="31"/>
      <c r="I1028" s="32"/>
      <c r="J1028" s="101">
        <f>$J$2+COUNTA($J$1:J1027)</f>
        <v>132</v>
      </c>
      <c r="K1028" s="32" t="str">
        <f ca="1">CHAR(34)&amp;L1028&amp;CHAR(34)</f>
        <v>"18.1"</v>
      </c>
      <c r="L1028" s="100" t="str">
        <f ca="1">INDIRECT("Dashboard!A"&amp;J1028)</f>
        <v>18.1</v>
      </c>
      <c r="M1028" s="32" t="str">
        <f ca="1">VLOOKUP(L1028,Dashboard!A:G,7,FALSE)</f>
        <v>Note : 1. Unit/block/cluster classification UI</v>
      </c>
    </row>
    <row r="1029" spans="1:13">
      <c r="A1029" s="31"/>
      <c r="B1029" s="32"/>
      <c r="C1029" s="32"/>
      <c r="D1029" s="31"/>
      <c r="E1029" s="37" t="s">
        <v>369</v>
      </c>
      <c r="F1029" s="102">
        <f>IF(F1034="",2,1)</f>
        <v>2</v>
      </c>
      <c r="G1029" s="33" t="s">
        <v>366</v>
      </c>
      <c r="H1029" s="31"/>
      <c r="I1029" s="32"/>
      <c r="J1029" s="101"/>
      <c r="K1029" s="32"/>
      <c r="L1029" s="100"/>
    </row>
    <row r="1030" spans="1:13">
      <c r="A1030" s="31"/>
      <c r="B1030" s="32"/>
      <c r="C1030" s="32"/>
      <c r="D1030" s="31"/>
      <c r="E1030" s="37" t="s">
        <v>368</v>
      </c>
      <c r="F1030" s="37" t="str">
        <f ca="1">M1028</f>
        <v>Note : 1. Unit/block/cluster classification UI</v>
      </c>
      <c r="G1030" s="33" t="s">
        <v>367</v>
      </c>
      <c r="H1030" s="31"/>
      <c r="I1030" s="32"/>
      <c r="J1030" s="101"/>
      <c r="K1030" s="32"/>
      <c r="L1030" s="100"/>
    </row>
    <row r="1031" spans="1:13">
      <c r="A1031" s="31"/>
      <c r="B1031" s="32"/>
      <c r="C1031" s="32"/>
      <c r="D1031" s="31"/>
      <c r="E1031" s="37" t="s">
        <v>374</v>
      </c>
      <c r="F1031" s="37"/>
      <c r="G1031" s="33" t="s">
        <v>367</v>
      </c>
      <c r="H1031" s="31"/>
      <c r="I1031" s="32"/>
      <c r="J1031" s="101"/>
      <c r="K1031" s="32"/>
      <c r="L1031" s="100"/>
    </row>
    <row r="1032" spans="1:13">
      <c r="A1032" s="31"/>
      <c r="B1032" s="32"/>
      <c r="C1032" s="32"/>
      <c r="D1032" s="31"/>
      <c r="E1032" s="37" t="s">
        <v>395</v>
      </c>
      <c r="F1032" s="37" t="s">
        <v>394</v>
      </c>
      <c r="G1032" s="33" t="s">
        <v>366</v>
      </c>
      <c r="H1032" s="31"/>
      <c r="I1032" s="32"/>
      <c r="J1032" s="101"/>
      <c r="K1032" s="32"/>
      <c r="L1032" s="100"/>
    </row>
    <row r="1033" spans="1:13">
      <c r="A1033" s="31"/>
      <c r="B1033" s="32"/>
      <c r="C1033" s="32"/>
      <c r="D1033" s="31"/>
      <c r="E1033" s="37" t="s">
        <v>386</v>
      </c>
      <c r="F1033" s="37" t="str">
        <f ca="1">IF(VLOOKUP(L1028,Dashboard!A:G,2,FALSE)&lt;&gt;"","'plan': true"&amp;CHAR(44)&amp;"'actual': false","")</f>
        <v/>
      </c>
      <c r="G1033" s="33" t="s">
        <v>385</v>
      </c>
      <c r="H1033" s="31"/>
      <c r="I1033" s="32"/>
      <c r="J1033" s="101"/>
      <c r="K1033" s="32"/>
      <c r="L1033" s="100"/>
    </row>
    <row r="1034" spans="1:13" ht="15" thickBot="1">
      <c r="A1034" s="31"/>
      <c r="B1034" s="32"/>
      <c r="C1034" s="32"/>
      <c r="D1034" s="28"/>
      <c r="E1034" s="43" t="str">
        <f>IF(F1034="","//","")&amp;"nestedGroups: ["</f>
        <v>//nestedGroups: [</v>
      </c>
      <c r="F1034" s="43"/>
      <c r="G1034" s="30" t="s">
        <v>370</v>
      </c>
      <c r="H1034" s="31"/>
      <c r="I1034" s="32"/>
      <c r="J1034" s="101"/>
      <c r="K1034" s="32"/>
      <c r="L1034" s="100"/>
    </row>
    <row r="1035" spans="1:13">
      <c r="A1035" s="31"/>
      <c r="B1035" s="32"/>
      <c r="C1035" s="32"/>
      <c r="D1035" s="25" t="s">
        <v>362</v>
      </c>
      <c r="E1035" s="41"/>
      <c r="F1035" s="41"/>
      <c r="G1035" s="27"/>
      <c r="H1035" s="31"/>
      <c r="I1035" s="32"/>
      <c r="J1035" s="101"/>
      <c r="K1035" s="32"/>
      <c r="L1035" s="100"/>
    </row>
    <row r="1036" spans="1:13">
      <c r="A1036" s="31"/>
      <c r="B1036" s="32"/>
      <c r="C1036" s="32"/>
      <c r="D1036" s="31"/>
      <c r="E1036" s="37" t="str">
        <f ca="1">"id: "&amp;K1036</f>
        <v>id: "18.2"</v>
      </c>
      <c r="F1036" s="37"/>
      <c r="G1036" s="33" t="s">
        <v>366</v>
      </c>
      <c r="H1036" s="31"/>
      <c r="I1036" s="32"/>
      <c r="J1036" s="101">
        <f>$J$2+COUNTA($J$1:J1035)</f>
        <v>133</v>
      </c>
      <c r="K1036" s="32" t="str">
        <f ca="1">CHAR(34)&amp;L1036&amp;CHAR(34)</f>
        <v>"18.2"</v>
      </c>
      <c r="L1036" s="100" t="str">
        <f ca="1">INDIRECT("Dashboard!A"&amp;J1036)</f>
        <v>18.2</v>
      </c>
      <c r="M1036" s="32" t="str">
        <f ca="1">VLOOKUP(L1036,Dashboard!A:G,7,FALSE)</f>
        <v>Note : 2. User Management UI</v>
      </c>
    </row>
    <row r="1037" spans="1:13">
      <c r="A1037" s="31"/>
      <c r="B1037" s="32"/>
      <c r="C1037" s="32"/>
      <c r="D1037" s="31"/>
      <c r="E1037" s="37" t="s">
        <v>369</v>
      </c>
      <c r="F1037" s="102">
        <f>IF(F1042="",2,1)</f>
        <v>2</v>
      </c>
      <c r="G1037" s="33" t="s">
        <v>366</v>
      </c>
      <c r="H1037" s="31"/>
      <c r="I1037" s="32"/>
      <c r="J1037" s="101"/>
      <c r="K1037" s="32"/>
      <c r="L1037" s="100"/>
    </row>
    <row r="1038" spans="1:13">
      <c r="A1038" s="31"/>
      <c r="B1038" s="32"/>
      <c r="C1038" s="32"/>
      <c r="D1038" s="31"/>
      <c r="E1038" s="37" t="s">
        <v>368</v>
      </c>
      <c r="F1038" s="37" t="str">
        <f ca="1">M1036</f>
        <v>Note : 2. User Management UI</v>
      </c>
      <c r="G1038" s="33" t="s">
        <v>367</v>
      </c>
      <c r="H1038" s="31"/>
      <c r="I1038" s="32"/>
      <c r="J1038" s="101"/>
      <c r="K1038" s="32"/>
      <c r="L1038" s="100"/>
    </row>
    <row r="1039" spans="1:13">
      <c r="A1039" s="31"/>
      <c r="B1039" s="32"/>
      <c r="C1039" s="32"/>
      <c r="D1039" s="31"/>
      <c r="E1039" s="37" t="s">
        <v>374</v>
      </c>
      <c r="F1039" s="37"/>
      <c r="G1039" s="33" t="s">
        <v>367</v>
      </c>
      <c r="H1039" s="31"/>
      <c r="I1039" s="32"/>
      <c r="J1039" s="101"/>
      <c r="K1039" s="32"/>
      <c r="L1039" s="100"/>
    </row>
    <row r="1040" spans="1:13">
      <c r="A1040" s="31"/>
      <c r="B1040" s="32"/>
      <c r="C1040" s="32"/>
      <c r="D1040" s="31"/>
      <c r="E1040" s="37" t="s">
        <v>395</v>
      </c>
      <c r="F1040" s="37" t="s">
        <v>394</v>
      </c>
      <c r="G1040" s="33" t="s">
        <v>366</v>
      </c>
      <c r="H1040" s="31"/>
      <c r="I1040" s="32"/>
      <c r="J1040" s="101"/>
      <c r="K1040" s="32"/>
      <c r="L1040" s="100"/>
    </row>
    <row r="1041" spans="1:13">
      <c r="A1041" s="31"/>
      <c r="B1041" s="32"/>
      <c r="C1041" s="32"/>
      <c r="D1041" s="31"/>
      <c r="E1041" s="37" t="s">
        <v>386</v>
      </c>
      <c r="F1041" s="37" t="str">
        <f ca="1">IF(VLOOKUP(L1036,Dashboard!A:G,2,FALSE)&lt;&gt;"","'plan': true"&amp;CHAR(44)&amp;"'actual': false","")</f>
        <v/>
      </c>
      <c r="G1041" s="33" t="s">
        <v>385</v>
      </c>
      <c r="H1041" s="31"/>
      <c r="I1041" s="32"/>
      <c r="J1041" s="101"/>
      <c r="K1041" s="32"/>
      <c r="L1041" s="100"/>
    </row>
    <row r="1042" spans="1:13" ht="15" thickBot="1">
      <c r="A1042" s="31"/>
      <c r="B1042" s="32"/>
      <c r="C1042" s="32"/>
      <c r="D1042" s="28"/>
      <c r="E1042" s="43" t="str">
        <f>IF(F1042="","//","")&amp;"nestedGroups: ["</f>
        <v>//nestedGroups: [</v>
      </c>
      <c r="F1042" s="43"/>
      <c r="G1042" s="30" t="s">
        <v>370</v>
      </c>
      <c r="H1042" s="31"/>
      <c r="I1042" s="32"/>
      <c r="J1042" s="101"/>
      <c r="K1042" s="32"/>
      <c r="L1042" s="100"/>
    </row>
    <row r="1043" spans="1:13">
      <c r="A1043" s="31"/>
      <c r="B1043" s="32"/>
      <c r="C1043" s="32"/>
      <c r="D1043" s="25" t="s">
        <v>362</v>
      </c>
      <c r="E1043" s="41"/>
      <c r="F1043" s="41"/>
      <c r="G1043" s="27"/>
      <c r="H1043" s="31"/>
      <c r="I1043" s="32"/>
      <c r="J1043" s="101"/>
      <c r="K1043" s="32"/>
      <c r="L1043" s="100"/>
    </row>
    <row r="1044" spans="1:13">
      <c r="A1044" s="31"/>
      <c r="B1044" s="32"/>
      <c r="C1044" s="32"/>
      <c r="D1044" s="31"/>
      <c r="E1044" s="37" t="str">
        <f ca="1">"id: "&amp;K1044</f>
        <v>id: "18.3"</v>
      </c>
      <c r="F1044" s="37"/>
      <c r="G1044" s="33" t="s">
        <v>366</v>
      </c>
      <c r="H1044" s="31"/>
      <c r="I1044" s="32"/>
      <c r="J1044" s="101">
        <f>$J$2+COUNTA($J$1:J1043)</f>
        <v>134</v>
      </c>
      <c r="K1044" s="32" t="str">
        <f ca="1">CHAR(34)&amp;L1044&amp;CHAR(34)</f>
        <v>"18.3"</v>
      </c>
      <c r="L1044" s="100" t="str">
        <f ca="1">INDIRECT("Dashboard!A"&amp;J1044)</f>
        <v>18.3</v>
      </c>
      <c r="M1044" s="32" t="str">
        <f ca="1">VLOOKUP(L1044,Dashboard!A:G,7,FALSE)</f>
        <v>Note : 3. Edge asset onboarding and management UI</v>
      </c>
    </row>
    <row r="1045" spans="1:13">
      <c r="A1045" s="31"/>
      <c r="B1045" s="32"/>
      <c r="C1045" s="32"/>
      <c r="D1045" s="31"/>
      <c r="E1045" s="37" t="s">
        <v>369</v>
      </c>
      <c r="F1045" s="102">
        <f>IF(F1050="",2,1)</f>
        <v>2</v>
      </c>
      <c r="G1045" s="33" t="s">
        <v>366</v>
      </c>
      <c r="H1045" s="31"/>
      <c r="I1045" s="32"/>
      <c r="J1045" s="101"/>
      <c r="K1045" s="32"/>
      <c r="L1045" s="100"/>
    </row>
    <row r="1046" spans="1:13">
      <c r="A1046" s="31"/>
      <c r="B1046" s="32"/>
      <c r="C1046" s="32"/>
      <c r="D1046" s="31"/>
      <c r="E1046" s="37" t="s">
        <v>368</v>
      </c>
      <c r="F1046" s="37" t="str">
        <f ca="1">M1044</f>
        <v>Note : 3. Edge asset onboarding and management UI</v>
      </c>
      <c r="G1046" s="33" t="s">
        <v>367</v>
      </c>
      <c r="H1046" s="31"/>
      <c r="I1046" s="32"/>
      <c r="J1046" s="101"/>
      <c r="K1046" s="32"/>
      <c r="L1046" s="100"/>
    </row>
    <row r="1047" spans="1:13">
      <c r="A1047" s="31"/>
      <c r="B1047" s="32"/>
      <c r="C1047" s="32"/>
      <c r="D1047" s="31"/>
      <c r="E1047" s="37" t="s">
        <v>374</v>
      </c>
      <c r="F1047" s="37"/>
      <c r="G1047" s="33" t="s">
        <v>367</v>
      </c>
      <c r="H1047" s="31"/>
      <c r="I1047" s="32"/>
      <c r="J1047" s="101"/>
      <c r="K1047" s="32"/>
      <c r="L1047" s="100"/>
    </row>
    <row r="1048" spans="1:13">
      <c r="A1048" s="31"/>
      <c r="B1048" s="32"/>
      <c r="C1048" s="32"/>
      <c r="D1048" s="31"/>
      <c r="E1048" s="37" t="s">
        <v>395</v>
      </c>
      <c r="F1048" s="37" t="s">
        <v>394</v>
      </c>
      <c r="G1048" s="33" t="s">
        <v>366</v>
      </c>
      <c r="H1048" s="31"/>
      <c r="I1048" s="32"/>
      <c r="J1048" s="101"/>
      <c r="K1048" s="32"/>
      <c r="L1048" s="100"/>
    </row>
    <row r="1049" spans="1:13">
      <c r="A1049" s="31"/>
      <c r="B1049" s="32"/>
      <c r="C1049" s="32"/>
      <c r="D1049" s="31"/>
      <c r="E1049" s="37" t="s">
        <v>386</v>
      </c>
      <c r="F1049" s="37" t="str">
        <f ca="1">IF(VLOOKUP(L1044,Dashboard!A:G,2,FALSE)&lt;&gt;"","'plan': true"&amp;CHAR(44)&amp;"'actual': false","")</f>
        <v/>
      </c>
      <c r="G1049" s="33" t="s">
        <v>385</v>
      </c>
      <c r="H1049" s="31"/>
      <c r="I1049" s="32"/>
      <c r="J1049" s="101"/>
      <c r="K1049" s="32"/>
      <c r="L1049" s="100"/>
    </row>
    <row r="1050" spans="1:13" ht="15" thickBot="1">
      <c r="A1050" s="31"/>
      <c r="B1050" s="32"/>
      <c r="C1050" s="32"/>
      <c r="D1050" s="28"/>
      <c r="E1050" s="43" t="str">
        <f>IF(F1050="","//","")&amp;"nestedGroups: ["</f>
        <v>//nestedGroups: [</v>
      </c>
      <c r="F1050" s="43"/>
      <c r="G1050" s="30" t="s">
        <v>370</v>
      </c>
      <c r="H1050" s="31"/>
      <c r="I1050" s="32"/>
      <c r="J1050" s="101"/>
      <c r="K1050" s="32"/>
      <c r="L1050" s="100"/>
    </row>
    <row r="1051" spans="1:13">
      <c r="A1051" s="31"/>
      <c r="B1051" s="32"/>
      <c r="C1051" s="32"/>
      <c r="D1051" s="25" t="s">
        <v>362</v>
      </c>
      <c r="E1051" s="41"/>
      <c r="F1051" s="41"/>
      <c r="G1051" s="27"/>
      <c r="H1051" s="31"/>
      <c r="I1051" s="32"/>
      <c r="J1051" s="101"/>
      <c r="K1051" s="32"/>
      <c r="L1051" s="100"/>
    </row>
    <row r="1052" spans="1:13">
      <c r="A1052" s="31"/>
      <c r="B1052" s="32"/>
      <c r="C1052" s="32"/>
      <c r="D1052" s="31"/>
      <c r="E1052" s="37" t="str">
        <f ca="1">"id: "&amp;K1052</f>
        <v>id: "18.4"</v>
      </c>
      <c r="F1052" s="37"/>
      <c r="G1052" s="33" t="s">
        <v>366</v>
      </c>
      <c r="H1052" s="31"/>
      <c r="I1052" s="32"/>
      <c r="J1052" s="101">
        <f>$J$2+COUNTA($J$1:J1051)</f>
        <v>135</v>
      </c>
      <c r="K1052" s="32" t="str">
        <f ca="1">CHAR(34)&amp;L1052&amp;CHAR(34)</f>
        <v>"18.4"</v>
      </c>
      <c r="L1052" s="100" t="str">
        <f ca="1">INDIRECT("Dashboard!A"&amp;J1052)</f>
        <v>18.4</v>
      </c>
      <c r="M1052" s="32" t="str">
        <f ca="1">VLOOKUP(L1052,Dashboard!A:G,7,FALSE)</f>
        <v>Technical design document explaining the data schema and algorithm</v>
      </c>
    </row>
    <row r="1053" spans="1:13">
      <c r="A1053" s="31"/>
      <c r="B1053" s="32"/>
      <c r="C1053" s="32"/>
      <c r="D1053" s="31"/>
      <c r="E1053" s="37" t="s">
        <v>369</v>
      </c>
      <c r="F1053" s="102">
        <f>IF(F1058="",2,1)</f>
        <v>2</v>
      </c>
      <c r="G1053" s="33" t="s">
        <v>366</v>
      </c>
      <c r="H1053" s="31"/>
      <c r="I1053" s="32"/>
      <c r="J1053" s="101"/>
      <c r="K1053" s="32"/>
      <c r="L1053" s="100"/>
    </row>
    <row r="1054" spans="1:13">
      <c r="A1054" s="31"/>
      <c r="B1054" s="32"/>
      <c r="C1054" s="32"/>
      <c r="D1054" s="31"/>
      <c r="E1054" s="37" t="s">
        <v>368</v>
      </c>
      <c r="F1054" s="37" t="str">
        <f ca="1">M1052</f>
        <v>Technical design document explaining the data schema and algorithm</v>
      </c>
      <c r="G1054" s="33" t="s">
        <v>367</v>
      </c>
      <c r="H1054" s="31"/>
      <c r="I1054" s="32"/>
      <c r="J1054" s="101"/>
      <c r="K1054" s="32"/>
      <c r="L1054" s="100"/>
    </row>
    <row r="1055" spans="1:13">
      <c r="A1055" s="31"/>
      <c r="B1055" s="32"/>
      <c r="C1055" s="32"/>
      <c r="D1055" s="31"/>
      <c r="E1055" s="37" t="s">
        <v>374</v>
      </c>
      <c r="F1055" s="37"/>
      <c r="G1055" s="33" t="s">
        <v>367</v>
      </c>
      <c r="H1055" s="31"/>
      <c r="I1055" s="32"/>
      <c r="J1055" s="101"/>
      <c r="K1055" s="32"/>
      <c r="L1055" s="100"/>
    </row>
    <row r="1056" spans="1:13">
      <c r="A1056" s="31"/>
      <c r="B1056" s="32"/>
      <c r="C1056" s="32"/>
      <c r="D1056" s="31"/>
      <c r="E1056" s="37" t="s">
        <v>395</v>
      </c>
      <c r="F1056" s="37" t="s">
        <v>394</v>
      </c>
      <c r="G1056" s="33" t="s">
        <v>366</v>
      </c>
      <c r="H1056" s="31"/>
      <c r="I1056" s="32"/>
      <c r="J1056" s="101"/>
      <c r="K1056" s="32"/>
      <c r="L1056" s="100"/>
    </row>
    <row r="1057" spans="1:13">
      <c r="A1057" s="31"/>
      <c r="B1057" s="32"/>
      <c r="C1057" s="32"/>
      <c r="D1057" s="31"/>
      <c r="E1057" s="37" t="s">
        <v>386</v>
      </c>
      <c r="F1057" s="37" t="str">
        <f ca="1">IF(VLOOKUP(L1052,Dashboard!A:G,2,FALSE)&lt;&gt;"","'plan': true"&amp;CHAR(44)&amp;"'actual': false","")</f>
        <v>'plan': true,'actual': false</v>
      </c>
      <c r="G1057" s="33" t="s">
        <v>385</v>
      </c>
      <c r="H1057" s="31"/>
      <c r="I1057" s="32"/>
      <c r="J1057" s="101"/>
      <c r="K1057" s="32"/>
      <c r="L1057" s="100"/>
    </row>
    <row r="1058" spans="1:13" ht="15" thickBot="1">
      <c r="A1058" s="31"/>
      <c r="B1058" s="32"/>
      <c r="C1058" s="32"/>
      <c r="D1058" s="28"/>
      <c r="E1058" s="43" t="str">
        <f>IF(F1058="","//","")&amp;"nestedGroups: ["</f>
        <v>//nestedGroups: [</v>
      </c>
      <c r="F1058" s="43"/>
      <c r="G1058" s="30" t="s">
        <v>370</v>
      </c>
      <c r="H1058" s="31"/>
      <c r="I1058" s="32"/>
      <c r="J1058" s="101"/>
      <c r="K1058" s="32"/>
      <c r="L1058" s="100"/>
    </row>
    <row r="1059" spans="1:13">
      <c r="A1059" s="31"/>
      <c r="B1059" s="32"/>
      <c r="C1059" s="32"/>
      <c r="D1059" s="25" t="s">
        <v>362</v>
      </c>
      <c r="E1059" s="41"/>
      <c r="F1059" s="41"/>
      <c r="G1059" s="27"/>
      <c r="H1059" s="31"/>
      <c r="I1059" s="32"/>
      <c r="J1059" s="101"/>
      <c r="K1059" s="32"/>
      <c r="L1059" s="100"/>
    </row>
    <row r="1060" spans="1:13">
      <c r="A1060" s="31"/>
      <c r="B1060" s="32"/>
      <c r="C1060" s="32"/>
      <c r="D1060" s="31"/>
      <c r="E1060" s="37" t="str">
        <f ca="1">"id: "&amp;K1060</f>
        <v>id: "18.5"</v>
      </c>
      <c r="F1060" s="37"/>
      <c r="G1060" s="33" t="s">
        <v>366</v>
      </c>
      <c r="H1060" s="31"/>
      <c r="I1060" s="32"/>
      <c r="J1060" s="101">
        <f>$J$2+COUNTA($J$1:J1059)</f>
        <v>136</v>
      </c>
      <c r="K1060" s="32" t="str">
        <f ca="1">CHAR(34)&amp;L1060&amp;CHAR(34)</f>
        <v>"18.5"</v>
      </c>
      <c r="L1060" s="100" t="str">
        <f ca="1">INDIRECT("Dashboard!A"&amp;J1060)</f>
        <v>18.5</v>
      </c>
      <c r="M1060" s="32" t="str">
        <f ca="1">VLOOKUP(L1060,Dashboard!A:G,7,FALSE)</f>
        <v>Software Code</v>
      </c>
    </row>
    <row r="1061" spans="1:13">
      <c r="A1061" s="31"/>
      <c r="B1061" s="32"/>
      <c r="C1061" s="32"/>
      <c r="D1061" s="31"/>
      <c r="E1061" s="37" t="s">
        <v>369</v>
      </c>
      <c r="F1061" s="102">
        <f>IF(F1066="",2,1)</f>
        <v>2</v>
      </c>
      <c r="G1061" s="33" t="s">
        <v>366</v>
      </c>
      <c r="H1061" s="31"/>
      <c r="I1061" s="32"/>
      <c r="J1061" s="101"/>
      <c r="K1061" s="32"/>
      <c r="L1061" s="100"/>
    </row>
    <row r="1062" spans="1:13">
      <c r="A1062" s="31"/>
      <c r="B1062" s="32"/>
      <c r="C1062" s="32"/>
      <c r="D1062" s="31"/>
      <c r="E1062" s="37" t="s">
        <v>368</v>
      </c>
      <c r="F1062" s="37" t="str">
        <f ca="1">M1060</f>
        <v>Software Code</v>
      </c>
      <c r="G1062" s="33" t="s">
        <v>367</v>
      </c>
      <c r="H1062" s="31"/>
      <c r="I1062" s="32"/>
      <c r="J1062" s="101"/>
      <c r="K1062" s="32"/>
      <c r="L1062" s="100"/>
    </row>
    <row r="1063" spans="1:13">
      <c r="A1063" s="31"/>
      <c r="B1063" s="32"/>
      <c r="C1063" s="32"/>
      <c r="D1063" s="31"/>
      <c r="E1063" s="37" t="s">
        <v>374</v>
      </c>
      <c r="F1063" s="37"/>
      <c r="G1063" s="33" t="s">
        <v>367</v>
      </c>
      <c r="H1063" s="31"/>
      <c r="I1063" s="32"/>
      <c r="J1063" s="101"/>
      <c r="K1063" s="32"/>
      <c r="L1063" s="100"/>
    </row>
    <row r="1064" spans="1:13">
      <c r="A1064" s="31"/>
      <c r="B1064" s="32"/>
      <c r="C1064" s="32"/>
      <c r="D1064" s="31"/>
      <c r="E1064" s="37" t="s">
        <v>395</v>
      </c>
      <c r="F1064" s="37" t="s">
        <v>394</v>
      </c>
      <c r="G1064" s="33" t="s">
        <v>366</v>
      </c>
      <c r="H1064" s="31"/>
      <c r="I1064" s="32"/>
      <c r="J1064" s="101"/>
      <c r="K1064" s="32"/>
      <c r="L1064" s="100"/>
    </row>
    <row r="1065" spans="1:13">
      <c r="A1065" s="31"/>
      <c r="B1065" s="32"/>
      <c r="C1065" s="32"/>
      <c r="D1065" s="31"/>
      <c r="E1065" s="37" t="s">
        <v>386</v>
      </c>
      <c r="F1065" s="37" t="str">
        <f ca="1">IF(VLOOKUP(L1060,Dashboard!A:G,2,FALSE)&lt;&gt;"","'plan': true"&amp;CHAR(44)&amp;"'actual': false","")</f>
        <v>'plan': true,'actual': false</v>
      </c>
      <c r="G1065" s="33" t="s">
        <v>385</v>
      </c>
      <c r="H1065" s="31"/>
      <c r="I1065" s="32"/>
      <c r="J1065" s="101"/>
      <c r="K1065" s="32"/>
      <c r="L1065" s="100"/>
    </row>
    <row r="1066" spans="1:13" ht="15" thickBot="1">
      <c r="A1066" s="31"/>
      <c r="B1066" s="32"/>
      <c r="C1066" s="32"/>
      <c r="D1066" s="28"/>
      <c r="E1066" s="43" t="str">
        <f>IF(F1066="","//","")&amp;"nestedGroups: ["</f>
        <v>//nestedGroups: [</v>
      </c>
      <c r="F1066" s="43"/>
      <c r="G1066" s="30" t="s">
        <v>370</v>
      </c>
      <c r="H1066" s="31"/>
      <c r="I1066" s="32"/>
      <c r="J1066" s="101"/>
      <c r="K1066" s="32"/>
      <c r="L1066" s="100"/>
    </row>
    <row r="1067" spans="1:13">
      <c r="A1067" s="31"/>
      <c r="B1067" s="32"/>
      <c r="C1067" s="32"/>
      <c r="D1067" s="25" t="s">
        <v>362</v>
      </c>
      <c r="E1067" s="41"/>
      <c r="F1067" s="41"/>
      <c r="G1067" s="27"/>
      <c r="H1067" s="31"/>
      <c r="I1067" s="32"/>
      <c r="J1067" s="101"/>
      <c r="K1067" s="32"/>
      <c r="L1067" s="100"/>
    </row>
    <row r="1068" spans="1:13">
      <c r="A1068" s="31"/>
      <c r="B1068" s="32"/>
      <c r="C1068" s="32"/>
      <c r="D1068" s="31"/>
      <c r="E1068" s="37" t="str">
        <f ca="1">"id: "&amp;K1068</f>
        <v>id: "18.6"</v>
      </c>
      <c r="F1068" s="37"/>
      <c r="G1068" s="33" t="s">
        <v>366</v>
      </c>
      <c r="H1068" s="31"/>
      <c r="I1068" s="32"/>
      <c r="J1068" s="101">
        <f>$J$2+COUNTA($J$1:J1067)</f>
        <v>137</v>
      </c>
      <c r="K1068" s="32" t="str">
        <f ca="1">CHAR(34)&amp;L1068&amp;CHAR(34)</f>
        <v>"18.6"</v>
      </c>
      <c r="L1068" s="100" t="str">
        <f ca="1">INDIRECT("Dashboard!A"&amp;J1068)</f>
        <v>18.6</v>
      </c>
      <c r="M1068" s="32" t="str">
        <f ca="1">VLOOKUP(L1068,Dashboard!A:G,7,FALSE)</f>
        <v>Deployment Procedure of the code</v>
      </c>
    </row>
    <row r="1069" spans="1:13">
      <c r="A1069" s="31"/>
      <c r="B1069" s="32"/>
      <c r="C1069" s="32"/>
      <c r="D1069" s="31"/>
      <c r="E1069" s="37" t="s">
        <v>369</v>
      </c>
      <c r="F1069" s="102">
        <f>IF(F1074="",2,1)</f>
        <v>2</v>
      </c>
      <c r="G1069" s="33" t="s">
        <v>366</v>
      </c>
      <c r="H1069" s="31"/>
      <c r="I1069" s="32"/>
      <c r="J1069" s="101"/>
      <c r="K1069" s="32"/>
      <c r="L1069" s="100"/>
    </row>
    <row r="1070" spans="1:13">
      <c r="A1070" s="31"/>
      <c r="B1070" s="32"/>
      <c r="C1070" s="32"/>
      <c r="D1070" s="31"/>
      <c r="E1070" s="37" t="s">
        <v>368</v>
      </c>
      <c r="F1070" s="37" t="str">
        <f ca="1">M1068</f>
        <v>Deployment Procedure of the code</v>
      </c>
      <c r="G1070" s="33" t="s">
        <v>367</v>
      </c>
      <c r="H1070" s="31"/>
      <c r="I1070" s="32"/>
      <c r="J1070" s="101"/>
      <c r="K1070" s="32"/>
      <c r="L1070" s="100"/>
    </row>
    <row r="1071" spans="1:13">
      <c r="A1071" s="31"/>
      <c r="B1071" s="32"/>
      <c r="C1071" s="32"/>
      <c r="D1071" s="31"/>
      <c r="E1071" s="37" t="s">
        <v>374</v>
      </c>
      <c r="F1071" s="37"/>
      <c r="G1071" s="33" t="s">
        <v>367</v>
      </c>
      <c r="H1071" s="31"/>
      <c r="I1071" s="32"/>
      <c r="J1071" s="101"/>
      <c r="K1071" s="32"/>
      <c r="L1071" s="100"/>
    </row>
    <row r="1072" spans="1:13">
      <c r="A1072" s="31"/>
      <c r="B1072" s="32"/>
      <c r="C1072" s="32"/>
      <c r="D1072" s="31"/>
      <c r="E1072" s="37" t="s">
        <v>395</v>
      </c>
      <c r="F1072" s="37" t="s">
        <v>394</v>
      </c>
      <c r="G1072" s="33" t="s">
        <v>366</v>
      </c>
      <c r="H1072" s="31"/>
      <c r="I1072" s="32"/>
      <c r="J1072" s="101"/>
      <c r="K1072" s="32"/>
      <c r="L1072" s="100"/>
    </row>
    <row r="1073" spans="1:13">
      <c r="A1073" s="31"/>
      <c r="B1073" s="32"/>
      <c r="C1073" s="32"/>
      <c r="D1073" s="31"/>
      <c r="E1073" s="37" t="s">
        <v>386</v>
      </c>
      <c r="F1073" s="37" t="str">
        <f ca="1">IF(VLOOKUP(L1068,Dashboard!A:G,2,FALSE)&lt;&gt;"","'plan': true"&amp;CHAR(44)&amp;"'actual': false","")</f>
        <v>'plan': true,'actual': false</v>
      </c>
      <c r="G1073" s="33" t="s">
        <v>385</v>
      </c>
      <c r="H1073" s="31"/>
      <c r="I1073" s="32"/>
      <c r="J1073" s="101"/>
      <c r="K1073" s="32"/>
      <c r="L1073" s="100"/>
    </row>
    <row r="1074" spans="1:13" ht="15" thickBot="1">
      <c r="A1074" s="31"/>
      <c r="B1074" s="32"/>
      <c r="C1074" s="32"/>
      <c r="D1074" s="28"/>
      <c r="E1074" s="43" t="str">
        <f>IF(F1074="","//","")&amp;"nestedGroups: ["</f>
        <v>//nestedGroups: [</v>
      </c>
      <c r="F1074" s="43"/>
      <c r="G1074" s="30" t="s">
        <v>370</v>
      </c>
      <c r="H1074" s="31"/>
      <c r="I1074" s="32"/>
      <c r="J1074" s="101"/>
      <c r="K1074" s="32"/>
      <c r="L1074" s="100"/>
    </row>
    <row r="1075" spans="1:13">
      <c r="A1075" s="31"/>
      <c r="B1075" s="32"/>
      <c r="C1075" s="32"/>
      <c r="D1075" s="25" t="s">
        <v>362</v>
      </c>
      <c r="E1075" s="41"/>
      <c r="F1075" s="41"/>
      <c r="G1075" s="27"/>
      <c r="H1075" s="31"/>
      <c r="I1075" s="32"/>
      <c r="J1075" s="101"/>
      <c r="K1075" s="32"/>
      <c r="L1075" s="100"/>
    </row>
    <row r="1076" spans="1:13">
      <c r="A1076" s="31"/>
      <c r="B1076" s="32"/>
      <c r="C1076" s="32"/>
      <c r="D1076" s="31"/>
      <c r="E1076" s="37" t="str">
        <f ca="1">"id: "&amp;K1076</f>
        <v>id: "18.7"</v>
      </c>
      <c r="F1076" s="37"/>
      <c r="G1076" s="33" t="s">
        <v>366</v>
      </c>
      <c r="H1076" s="31"/>
      <c r="I1076" s="32"/>
      <c r="J1076" s="101">
        <f>$J$2+COUNTA($J$1:J1075)</f>
        <v>138</v>
      </c>
      <c r="K1076" s="32" t="str">
        <f ca="1">CHAR(34)&amp;L1076&amp;CHAR(34)</f>
        <v>"18.7"</v>
      </c>
      <c r="L1076" s="100" t="str">
        <f ca="1">INDIRECT("Dashboard!A"&amp;J1076)</f>
        <v>18.7</v>
      </c>
      <c r="M1076" s="32" t="str">
        <f ca="1">VLOOKUP(L1076,Dashboard!A:G,7,FALSE)</f>
        <v>Product usage guide with examples for all the functional usecases</v>
      </c>
    </row>
    <row r="1077" spans="1:13">
      <c r="A1077" s="31"/>
      <c r="B1077" s="32"/>
      <c r="C1077" s="32"/>
      <c r="D1077" s="31"/>
      <c r="E1077" s="37" t="s">
        <v>369</v>
      </c>
      <c r="F1077" s="102">
        <f>IF(F1082="",2,1)</f>
        <v>2</v>
      </c>
      <c r="G1077" s="33" t="s">
        <v>366</v>
      </c>
      <c r="H1077" s="31"/>
      <c r="I1077" s="32"/>
      <c r="J1077" s="101"/>
      <c r="K1077" s="32"/>
      <c r="L1077" s="100"/>
    </row>
    <row r="1078" spans="1:13">
      <c r="A1078" s="31"/>
      <c r="B1078" s="32"/>
      <c r="C1078" s="32"/>
      <c r="D1078" s="31"/>
      <c r="E1078" s="37" t="s">
        <v>368</v>
      </c>
      <c r="F1078" s="37" t="str">
        <f ca="1">M1076</f>
        <v>Product usage guide with examples for all the functional usecases</v>
      </c>
      <c r="G1078" s="33" t="s">
        <v>367</v>
      </c>
      <c r="H1078" s="31"/>
      <c r="I1078" s="32"/>
      <c r="J1078" s="101"/>
      <c r="K1078" s="32"/>
      <c r="L1078" s="100"/>
    </row>
    <row r="1079" spans="1:13">
      <c r="A1079" s="31"/>
      <c r="B1079" s="32"/>
      <c r="C1079" s="32"/>
      <c r="D1079" s="31"/>
      <c r="E1079" s="37" t="s">
        <v>374</v>
      </c>
      <c r="F1079" s="37"/>
      <c r="G1079" s="33" t="s">
        <v>367</v>
      </c>
      <c r="H1079" s="31"/>
      <c r="I1079" s="32"/>
      <c r="J1079" s="101"/>
      <c r="K1079" s="32"/>
      <c r="L1079" s="100"/>
    </row>
    <row r="1080" spans="1:13">
      <c r="A1080" s="31"/>
      <c r="B1080" s="32"/>
      <c r="C1080" s="32"/>
      <c r="D1080" s="31"/>
      <c r="E1080" s="37" t="s">
        <v>395</v>
      </c>
      <c r="F1080" s="37" t="s">
        <v>394</v>
      </c>
      <c r="G1080" s="33" t="s">
        <v>366</v>
      </c>
      <c r="H1080" s="31"/>
      <c r="I1080" s="32"/>
      <c r="J1080" s="101"/>
      <c r="K1080" s="32"/>
      <c r="L1080" s="100"/>
    </row>
    <row r="1081" spans="1:13">
      <c r="A1081" s="31"/>
      <c r="B1081" s="32"/>
      <c r="C1081" s="32"/>
      <c r="D1081" s="31"/>
      <c r="E1081" s="37" t="s">
        <v>386</v>
      </c>
      <c r="F1081" s="37" t="str">
        <f ca="1">IF(VLOOKUP(L1076,Dashboard!A:G,2,FALSE)&lt;&gt;"","'plan': true"&amp;CHAR(44)&amp;"'actual': false","")</f>
        <v>'plan': true,'actual': false</v>
      </c>
      <c r="G1081" s="33" t="s">
        <v>385</v>
      </c>
      <c r="H1081" s="31"/>
      <c r="I1081" s="32"/>
      <c r="J1081" s="101"/>
      <c r="K1081" s="32"/>
      <c r="L1081" s="100"/>
    </row>
    <row r="1082" spans="1:13" ht="15" thickBot="1">
      <c r="A1082" s="31"/>
      <c r="B1082" s="32"/>
      <c r="C1082" s="32"/>
      <c r="D1082" s="28"/>
      <c r="E1082" s="43" t="str">
        <f>IF(F1082="","//","")&amp;"nestedGroups: ["</f>
        <v>//nestedGroups: [</v>
      </c>
      <c r="F1082" s="43"/>
      <c r="G1082" s="30" t="s">
        <v>370</v>
      </c>
      <c r="H1082" s="31"/>
      <c r="I1082" s="32"/>
      <c r="J1082" s="101"/>
      <c r="K1082" s="32"/>
      <c r="L1082" s="100"/>
    </row>
    <row r="1083" spans="1:13">
      <c r="A1083" s="31"/>
      <c r="B1083" s="32"/>
      <c r="C1083" s="32"/>
      <c r="D1083" s="25" t="s">
        <v>362</v>
      </c>
      <c r="E1083" s="41"/>
      <c r="F1083" s="41"/>
      <c r="G1083" s="27"/>
      <c r="H1083" s="31"/>
      <c r="I1083" s="32"/>
      <c r="J1083" s="101"/>
      <c r="K1083" s="32"/>
      <c r="L1083" s="100"/>
    </row>
    <row r="1084" spans="1:13">
      <c r="A1084" s="31"/>
      <c r="B1084" s="32"/>
      <c r="C1084" s="32"/>
      <c r="D1084" s="31"/>
      <c r="E1084" s="37" t="str">
        <f ca="1">"id: "&amp;K1084</f>
        <v>id: "18.8"</v>
      </c>
      <c r="F1084" s="37"/>
      <c r="G1084" s="33" t="s">
        <v>366</v>
      </c>
      <c r="H1084" s="31"/>
      <c r="I1084" s="32"/>
      <c r="J1084" s="101">
        <f>$J$2+COUNTA($J$1:J1083)</f>
        <v>139</v>
      </c>
      <c r="K1084" s="32" t="str">
        <f ca="1">CHAR(34)&amp;L1084&amp;CHAR(34)</f>
        <v>"18.8"</v>
      </c>
      <c r="L1084" s="100" t="str">
        <f ca="1">INDIRECT("Dashboard!A"&amp;J1084)</f>
        <v>18.8</v>
      </c>
      <c r="M1084" s="32" t="str">
        <f ca="1">VLOOKUP(L1084,Dashboard!A:G,7,FALSE)</f>
        <v xml:space="preserve">Test report </v>
      </c>
    </row>
    <row r="1085" spans="1:13">
      <c r="A1085" s="31"/>
      <c r="B1085" s="32"/>
      <c r="C1085" s="32"/>
      <c r="D1085" s="31"/>
      <c r="E1085" s="37" t="s">
        <v>369</v>
      </c>
      <c r="F1085" s="102">
        <f>IF(F1090="",2,1)</f>
        <v>2</v>
      </c>
      <c r="G1085" s="33" t="s">
        <v>366</v>
      </c>
      <c r="H1085" s="31"/>
      <c r="I1085" s="32"/>
      <c r="J1085" s="101"/>
      <c r="K1085" s="32"/>
      <c r="L1085" s="100"/>
    </row>
    <row r="1086" spans="1:13">
      <c r="A1086" s="31"/>
      <c r="B1086" s="32"/>
      <c r="C1086" s="32"/>
      <c r="D1086" s="31"/>
      <c r="E1086" s="37" t="s">
        <v>368</v>
      </c>
      <c r="F1086" s="37" t="str">
        <f ca="1">M1084</f>
        <v xml:space="preserve">Test report </v>
      </c>
      <c r="G1086" s="33" t="s">
        <v>367</v>
      </c>
      <c r="H1086" s="31"/>
      <c r="I1086" s="32"/>
      <c r="J1086" s="101"/>
      <c r="K1086" s="32"/>
      <c r="L1086" s="100"/>
    </row>
    <row r="1087" spans="1:13">
      <c r="A1087" s="31"/>
      <c r="B1087" s="32"/>
      <c r="C1087" s="32"/>
      <c r="D1087" s="31"/>
      <c r="E1087" s="37" t="s">
        <v>374</v>
      </c>
      <c r="F1087" s="37"/>
      <c r="G1087" s="33" t="s">
        <v>367</v>
      </c>
      <c r="H1087" s="31"/>
      <c r="I1087" s="32"/>
      <c r="J1087" s="101"/>
      <c r="K1087" s="32"/>
      <c r="L1087" s="100"/>
    </row>
    <row r="1088" spans="1:13">
      <c r="A1088" s="31"/>
      <c r="B1088" s="32"/>
      <c r="C1088" s="32"/>
      <c r="D1088" s="31"/>
      <c r="E1088" s="37" t="s">
        <v>395</v>
      </c>
      <c r="F1088" s="37" t="s">
        <v>394</v>
      </c>
      <c r="G1088" s="33" t="s">
        <v>366</v>
      </c>
      <c r="H1088" s="31"/>
      <c r="I1088" s="32"/>
      <c r="J1088" s="101"/>
      <c r="K1088" s="32"/>
      <c r="L1088" s="100"/>
    </row>
    <row r="1089" spans="1:13">
      <c r="A1089" s="31"/>
      <c r="B1089" s="32"/>
      <c r="C1089" s="32"/>
      <c r="D1089" s="31"/>
      <c r="E1089" s="37" t="s">
        <v>386</v>
      </c>
      <c r="F1089" s="37" t="str">
        <f ca="1">IF(VLOOKUP(L1084,Dashboard!A:G,2,FALSE)&lt;&gt;"","'plan': true"&amp;CHAR(44)&amp;"'actual': false","")</f>
        <v>'plan': true,'actual': false</v>
      </c>
      <c r="G1089" s="33" t="s">
        <v>385</v>
      </c>
      <c r="H1089" s="31"/>
      <c r="I1089" s="32"/>
      <c r="J1089" s="101"/>
      <c r="K1089" s="32"/>
      <c r="L1089" s="100"/>
    </row>
    <row r="1090" spans="1:13" ht="15" thickBot="1">
      <c r="A1090" s="31"/>
      <c r="B1090" s="32"/>
      <c r="C1090" s="32"/>
      <c r="D1090" s="28"/>
      <c r="E1090" s="43" t="str">
        <f>IF(F1090="","//","")&amp;"nestedGroups: ["</f>
        <v>//nestedGroups: [</v>
      </c>
      <c r="F1090" s="43"/>
      <c r="G1090" s="30" t="s">
        <v>370</v>
      </c>
      <c r="H1090" s="31"/>
      <c r="I1090" s="32"/>
      <c r="J1090" s="101"/>
      <c r="K1090" s="32"/>
      <c r="L1090" s="100"/>
    </row>
    <row r="1091" spans="1:13">
      <c r="A1091" s="31"/>
      <c r="B1091" s="32"/>
      <c r="C1091" s="32"/>
      <c r="D1091" s="25" t="s">
        <v>362</v>
      </c>
      <c r="E1091" s="114"/>
      <c r="F1091" s="114"/>
      <c r="G1091" s="27"/>
      <c r="H1091" s="31"/>
      <c r="I1091" s="32"/>
      <c r="J1091" s="101"/>
      <c r="K1091" s="32"/>
      <c r="L1091" s="100"/>
    </row>
    <row r="1092" spans="1:13">
      <c r="A1092" s="31"/>
      <c r="B1092" s="32"/>
      <c r="C1092" s="32"/>
      <c r="D1092" s="31"/>
      <c r="E1092" s="37" t="str">
        <f ca="1">"id: "&amp;K1092</f>
        <v>id: "19"</v>
      </c>
      <c r="F1092" s="37"/>
      <c r="G1092" s="33" t="s">
        <v>366</v>
      </c>
      <c r="H1092" s="31"/>
      <c r="I1092" s="32"/>
      <c r="J1092" s="101">
        <f>$J$2+COUNTA($J$1:J1091)</f>
        <v>140</v>
      </c>
      <c r="K1092" s="32" t="str">
        <f ca="1">CHAR(34)&amp;L1092&amp;CHAR(34)</f>
        <v>"19"</v>
      </c>
      <c r="L1092" s="100" t="str">
        <f ca="1">INDIRECT("Dashboard!A"&amp;J1092)</f>
        <v>19</v>
      </c>
      <c r="M1092" s="32" t="str">
        <f ca="1">VLOOKUP(L1092,Dashboard!A:G,7,FALSE)</f>
        <v>M18. Final Report</v>
      </c>
    </row>
    <row r="1093" spans="1:13">
      <c r="A1093" s="31"/>
      <c r="B1093" s="32"/>
      <c r="C1093" s="32"/>
      <c r="D1093" s="31"/>
      <c r="E1093" s="37" t="s">
        <v>369</v>
      </c>
      <c r="F1093" s="102" t="e">
        <f>IF(F1098="",2,1)</f>
        <v>#VALUE!</v>
      </c>
      <c r="G1093" s="33" t="s">
        <v>366</v>
      </c>
      <c r="H1093" s="31"/>
      <c r="I1093" s="32"/>
      <c r="J1093" s="101"/>
      <c r="K1093" s="32"/>
      <c r="L1093" s="100"/>
    </row>
    <row r="1094" spans="1:13">
      <c r="A1094" s="31"/>
      <c r="B1094" s="32"/>
      <c r="C1094" s="32"/>
      <c r="D1094" s="31"/>
      <c r="E1094" s="37" t="s">
        <v>368</v>
      </c>
      <c r="F1094" s="37" t="str">
        <f ca="1">M1092</f>
        <v>M18. Final Report</v>
      </c>
      <c r="G1094" s="33" t="s">
        <v>367</v>
      </c>
      <c r="H1094" s="31"/>
      <c r="I1094" s="32"/>
      <c r="J1094" s="101"/>
      <c r="K1094" s="32"/>
      <c r="L1094" s="100"/>
    </row>
    <row r="1095" spans="1:13">
      <c r="A1095" s="31"/>
      <c r="B1095" s="32"/>
      <c r="C1095" s="32"/>
      <c r="D1095" s="31"/>
      <c r="E1095" s="37" t="s">
        <v>374</v>
      </c>
      <c r="F1095" s="37"/>
      <c r="G1095" s="33" t="s">
        <v>367</v>
      </c>
      <c r="H1095" s="31"/>
      <c r="I1095" s="32"/>
      <c r="J1095" s="101"/>
      <c r="K1095" s="32"/>
      <c r="L1095" s="100"/>
    </row>
    <row r="1096" spans="1:13">
      <c r="A1096" s="31"/>
      <c r="B1096" s="32"/>
      <c r="C1096" s="32"/>
      <c r="D1096" s="31"/>
      <c r="E1096" s="37" t="s">
        <v>395</v>
      </c>
      <c r="F1096" s="37" t="s">
        <v>394</v>
      </c>
      <c r="G1096" s="33" t="s">
        <v>366</v>
      </c>
      <c r="H1096" s="31"/>
      <c r="I1096" s="32"/>
      <c r="J1096" s="101"/>
      <c r="K1096" s="32"/>
      <c r="L1096" s="100"/>
    </row>
    <row r="1097" spans="1:13">
      <c r="A1097" s="31"/>
      <c r="B1097" s="32"/>
      <c r="C1097" s="32"/>
      <c r="D1097" s="31"/>
      <c r="E1097" s="37" t="s">
        <v>386</v>
      </c>
      <c r="F1097" s="37" t="str">
        <f ca="1">IF(VLOOKUP(L1092,Dashboard!A:G,2,FALSE)&lt;&gt;"","'plan': true"&amp;CHAR(44)&amp;"'actual': false","")</f>
        <v>'plan': true,'actual': false</v>
      </c>
      <c r="G1097" s="33" t="s">
        <v>385</v>
      </c>
      <c r="H1097" s="31"/>
      <c r="I1097" s="32" t="s">
        <v>571</v>
      </c>
      <c r="J1097" s="101"/>
      <c r="K1097" s="32"/>
      <c r="L1097" s="100"/>
    </row>
    <row r="1098" spans="1:13" ht="15" thickBot="1">
      <c r="A1098" s="31"/>
      <c r="B1098" s="32"/>
      <c r="C1098" s="32"/>
      <c r="D1098" s="28"/>
      <c r="E1098" s="43" t="e">
        <f>IF(F1098="","//","")&amp;"nestedGroups: ["</f>
        <v>#VALUE!</v>
      </c>
      <c r="F1098" s="37" t="e">
        <f>nestedGroups(5,I1098*$I$2,", ")</f>
        <v>#VALUE!</v>
      </c>
      <c r="G1098" s="30" t="s">
        <v>370</v>
      </c>
      <c r="H1098" s="31"/>
      <c r="I1098" s="3">
        <v>8</v>
      </c>
      <c r="J1098" s="101"/>
      <c r="K1098" s="32"/>
      <c r="L1098" s="100"/>
    </row>
    <row r="1099" spans="1:13">
      <c r="A1099" s="31"/>
      <c r="B1099" s="32"/>
      <c r="C1099" s="32"/>
      <c r="D1099" s="25" t="s">
        <v>362</v>
      </c>
      <c r="E1099" s="41"/>
      <c r="F1099" s="41"/>
      <c r="G1099" s="27"/>
      <c r="H1099" s="31"/>
      <c r="I1099" s="32"/>
      <c r="J1099" s="101"/>
      <c r="K1099" s="32"/>
      <c r="L1099" s="100"/>
    </row>
    <row r="1100" spans="1:13">
      <c r="A1100" s="31"/>
      <c r="B1100" s="32"/>
      <c r="C1100" s="32"/>
      <c r="D1100" s="31"/>
      <c r="E1100" s="37" t="str">
        <f ca="1">"id: "&amp;K1100</f>
        <v>id: "19.1"</v>
      </c>
      <c r="F1100" s="37"/>
      <c r="G1100" s="33" t="s">
        <v>366</v>
      </c>
      <c r="H1100" s="31"/>
      <c r="I1100" s="32"/>
      <c r="J1100" s="101">
        <f>$J$2+COUNTA($J$1:J1099)</f>
        <v>141</v>
      </c>
      <c r="K1100" s="32" t="str">
        <f ca="1">CHAR(34)&amp;L1100&amp;CHAR(34)</f>
        <v>"19.1"</v>
      </c>
      <c r="L1100" s="100" t="str">
        <f ca="1">INDIRECT("Dashboard!A"&amp;J1100)</f>
        <v>19.1</v>
      </c>
      <c r="M1100" s="32" t="str">
        <f ca="1">VLOOKUP(L1100,Dashboard!A:G,7,FALSE)</f>
        <v>Final version of WP4 report - compiled</v>
      </c>
    </row>
    <row r="1101" spans="1:13">
      <c r="A1101" s="31"/>
      <c r="B1101" s="32"/>
      <c r="C1101" s="32"/>
      <c r="D1101" s="31"/>
      <c r="E1101" s="37" t="s">
        <v>369</v>
      </c>
      <c r="F1101" s="102">
        <f>IF(F1106="",2,1)</f>
        <v>2</v>
      </c>
      <c r="G1101" s="33" t="s">
        <v>366</v>
      </c>
      <c r="H1101" s="31"/>
      <c r="I1101" s="32"/>
      <c r="J1101" s="101"/>
      <c r="K1101" s="32"/>
      <c r="L1101" s="100"/>
    </row>
    <row r="1102" spans="1:13">
      <c r="A1102" s="31"/>
      <c r="B1102" s="32"/>
      <c r="C1102" s="32"/>
      <c r="D1102" s="31"/>
      <c r="E1102" s="37" t="s">
        <v>368</v>
      </c>
      <c r="F1102" s="37" t="str">
        <f ca="1">M1100</f>
        <v>Final version of WP4 report - compiled</v>
      </c>
      <c r="G1102" s="33" t="s">
        <v>367</v>
      </c>
      <c r="H1102" s="31"/>
      <c r="I1102" s="32"/>
      <c r="J1102" s="101"/>
      <c r="K1102" s="32"/>
      <c r="L1102" s="100"/>
    </row>
    <row r="1103" spans="1:13">
      <c r="A1103" s="31"/>
      <c r="B1103" s="32"/>
      <c r="C1103" s="32"/>
      <c r="D1103" s="31"/>
      <c r="E1103" s="37" t="s">
        <v>374</v>
      </c>
      <c r="F1103" s="37"/>
      <c r="G1103" s="33" t="s">
        <v>367</v>
      </c>
      <c r="H1103" s="31"/>
      <c r="I1103" s="32"/>
      <c r="J1103" s="101"/>
      <c r="K1103" s="32"/>
      <c r="L1103" s="100"/>
    </row>
    <row r="1104" spans="1:13">
      <c r="A1104" s="31"/>
      <c r="B1104" s="32"/>
      <c r="C1104" s="32"/>
      <c r="D1104" s="31"/>
      <c r="E1104" s="37" t="s">
        <v>395</v>
      </c>
      <c r="F1104" s="37" t="s">
        <v>394</v>
      </c>
      <c r="G1104" s="33" t="s">
        <v>366</v>
      </c>
      <c r="H1104" s="31"/>
      <c r="I1104" s="32"/>
      <c r="J1104" s="101"/>
      <c r="K1104" s="32"/>
      <c r="L1104" s="100"/>
    </row>
    <row r="1105" spans="1:12">
      <c r="A1105" s="31"/>
      <c r="B1105" s="32"/>
      <c r="C1105" s="32"/>
      <c r="D1105" s="31"/>
      <c r="E1105" s="37" t="s">
        <v>386</v>
      </c>
      <c r="F1105" s="37" t="str">
        <f ca="1">IF(VLOOKUP(L1100,Dashboard!A:G,2,FALSE)&lt;&gt;"","'plan': true"&amp;CHAR(44)&amp;"'actual': false","")</f>
        <v>'plan': true,'actual': false</v>
      </c>
      <c r="G1105" s="33" t="s">
        <v>385</v>
      </c>
      <c r="H1105" s="31"/>
      <c r="I1105" s="32"/>
      <c r="J1105" s="101"/>
      <c r="K1105" s="32"/>
      <c r="L1105" s="100"/>
    </row>
    <row r="1106" spans="1:12" ht="15" thickBot="1">
      <c r="A1106" s="31"/>
      <c r="B1106" s="32"/>
      <c r="C1106" s="32"/>
      <c r="D1106" s="28"/>
      <c r="E1106" s="43" t="str">
        <f>IF(F1106="","//","")&amp;"nestedGroups: ["</f>
        <v>//nestedGroups: [</v>
      </c>
      <c r="F1106" s="43"/>
      <c r="G1106" s="30" t="s">
        <v>370</v>
      </c>
      <c r="H1106" s="31"/>
      <c r="I1106" s="32"/>
      <c r="J1106" s="101"/>
      <c r="K1106" s="32"/>
      <c r="L1106" s="100"/>
    </row>
    <row r="1107" spans="1:12">
      <c r="A1107" s="31"/>
      <c r="B1107" s="32"/>
      <c r="C1107" s="32"/>
      <c r="D1107" s="32"/>
      <c r="E1107" s="37"/>
      <c r="F1107" s="37"/>
      <c r="G1107" s="33"/>
    </row>
    <row r="1108" spans="1:12">
      <c r="A1108" s="31"/>
      <c r="B1108" s="32"/>
      <c r="C1108" s="32"/>
      <c r="D1108" s="32"/>
      <c r="E1108" s="37"/>
      <c r="F1108" s="37"/>
      <c r="G1108" s="33"/>
    </row>
    <row r="1109" spans="1:12">
      <c r="A1109" s="31"/>
      <c r="B1109" s="32"/>
      <c r="C1109" s="32"/>
      <c r="D1109" s="32"/>
      <c r="E1109" s="37"/>
      <c r="F1109" s="37"/>
      <c r="G1109" s="33"/>
    </row>
    <row r="1110" spans="1:12">
      <c r="A1110" s="31"/>
      <c r="B1110" s="32"/>
      <c r="C1110" s="32"/>
      <c r="D1110" s="32"/>
      <c r="E1110" s="37"/>
      <c r="F1110" s="37"/>
      <c r="G1110" s="33"/>
    </row>
    <row r="1111" spans="1:12">
      <c r="A1111" s="31"/>
      <c r="B1111" s="32"/>
      <c r="C1111" s="32"/>
      <c r="D1111" s="32"/>
      <c r="E1111" s="37"/>
      <c r="F1111" s="37"/>
      <c r="G1111" s="33"/>
    </row>
    <row r="1112" spans="1:12">
      <c r="A1112" s="31"/>
      <c r="B1112" s="32"/>
      <c r="C1112" s="32"/>
      <c r="D1112" s="32"/>
      <c r="E1112" s="37"/>
      <c r="F1112" s="37"/>
      <c r="G1112" s="33"/>
    </row>
    <row r="1113" spans="1:12" ht="15" thickBot="1">
      <c r="A1113" s="31"/>
      <c r="B1113" s="32"/>
      <c r="C1113" s="32"/>
      <c r="D1113" s="32"/>
      <c r="E1113" s="37"/>
      <c r="F1113" s="37"/>
      <c r="G1113" s="33"/>
    </row>
    <row r="1114" spans="1:12">
      <c r="A1114" s="25"/>
      <c r="B1114" s="26"/>
      <c r="C1114" s="26"/>
      <c r="D1114" s="26" t="s">
        <v>363</v>
      </c>
      <c r="E1114" s="41"/>
      <c r="F1114" s="41"/>
      <c r="G1114" s="27"/>
    </row>
    <row r="1115" spans="1:12" ht="15" thickBot="1">
      <c r="A1115" s="28"/>
      <c r="B1115" s="29"/>
      <c r="C1115" s="29" t="s">
        <v>364</v>
      </c>
      <c r="D1115" s="29"/>
      <c r="E1115" s="43"/>
      <c r="F1115" s="43"/>
      <c r="G1115" s="30"/>
    </row>
  </sheetData>
  <conditionalFormatting sqref="A1:XFD1048576">
    <cfRule type="expression" dxfId="2" priority="26">
      <formula>_xlfn.ISFORMULA(A1)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422"/>
  <sheetViews>
    <sheetView tabSelected="1" zoomScale="80" zoomScaleNormal="80" workbookViewId="0">
      <pane ySplit="3" topLeftCell="A416" activePane="bottomLeft" state="frozen"/>
      <selection pane="bottomLeft" activeCell="A3" sqref="A3:T419"/>
    </sheetView>
  </sheetViews>
  <sheetFormatPr defaultRowHeight="14.5"/>
  <cols>
    <col min="1" max="2" width="4.6328125" style="32" customWidth="1"/>
    <col min="3" max="3" width="3.90625" style="32" customWidth="1"/>
    <col min="4" max="4" width="4.90625" style="32" customWidth="1"/>
    <col min="5" max="5" width="5.6328125" style="32" customWidth="1"/>
    <col min="6" max="6" width="9" style="32" customWidth="1"/>
    <col min="7" max="7" width="13.81640625" style="32" customWidth="1"/>
    <col min="8" max="8" width="12.453125" style="32" bestFit="1" customWidth="1"/>
    <col min="9" max="9" width="5.6328125" style="32" customWidth="1"/>
    <col min="10" max="10" width="16" style="32" bestFit="1" customWidth="1"/>
    <col min="11" max="11" width="2.6328125" style="32" customWidth="1"/>
    <col min="12" max="12" width="12.36328125" style="32" bestFit="1" customWidth="1"/>
    <col min="13" max="13" width="12.36328125" style="32" customWidth="1"/>
    <col min="14" max="14" width="10.7265625" style="32" bestFit="1" customWidth="1"/>
    <col min="15" max="15" width="12.36328125" style="32" customWidth="1"/>
    <col min="16" max="16" width="8.1796875" style="32" bestFit="1" customWidth="1"/>
    <col min="17" max="17" width="10.6328125" style="32" customWidth="1"/>
    <col min="18" max="18" width="7.54296875" style="32" bestFit="1" customWidth="1"/>
    <col min="19" max="19" width="10.6328125" style="37" customWidth="1"/>
    <col min="20" max="20" width="5.08984375" style="32" customWidth="1"/>
    <col min="21" max="21" width="2.6328125" style="32" customWidth="1"/>
    <col min="22" max="22" width="4.26953125" style="32" customWidth="1"/>
    <col min="23" max="23" width="2.6328125" style="32" customWidth="1"/>
    <col min="24" max="24" width="8.7265625" style="32"/>
    <col min="25" max="25" width="9.90625" style="32" customWidth="1"/>
    <col min="26" max="26" width="8.7265625" style="32"/>
    <col min="27" max="27" width="9.81640625" style="32" bestFit="1" customWidth="1"/>
    <col min="28" max="16384" width="8.7265625" style="32"/>
  </cols>
  <sheetData>
    <row r="1" spans="1:27" ht="15" customHeight="1">
      <c r="O1" s="32" t="s">
        <v>393</v>
      </c>
      <c r="P1" s="32" t="s">
        <v>2</v>
      </c>
      <c r="T1" s="45"/>
      <c r="W1" s="32" t="s">
        <v>2</v>
      </c>
      <c r="X1" s="45" t="s">
        <v>388</v>
      </c>
      <c r="Y1" s="46" t="s">
        <v>381</v>
      </c>
      <c r="Z1" s="32" t="str">
        <f>X3</f>
        <v>Validation</v>
      </c>
      <c r="AA1" s="48" t="str">
        <f>Y3</f>
        <v>orange</v>
      </c>
    </row>
    <row r="2" spans="1:27" ht="15" thickBot="1">
      <c r="A2" s="32" t="s">
        <v>389</v>
      </c>
      <c r="F2" s="32" t="str">
        <f>"has formula"</f>
        <v>has formula</v>
      </c>
      <c r="O2" s="34" t="s">
        <v>378</v>
      </c>
      <c r="T2" s="45"/>
      <c r="V2" s="34" t="s">
        <v>581</v>
      </c>
      <c r="W2" s="32" t="s">
        <v>2</v>
      </c>
      <c r="X2" s="45" t="s">
        <v>391</v>
      </c>
      <c r="Y2" s="46" t="s">
        <v>383</v>
      </c>
      <c r="Z2" s="32" t="str">
        <f>X4</f>
        <v>Pending</v>
      </c>
      <c r="AA2" s="48" t="str">
        <f>Y4</f>
        <v>pink-white</v>
      </c>
    </row>
    <row r="3" spans="1:27" ht="15" thickBot="1">
      <c r="A3" s="35"/>
      <c r="B3" s="26"/>
      <c r="C3" s="26" t="s">
        <v>379</v>
      </c>
      <c r="D3" s="26"/>
      <c r="E3" s="26"/>
      <c r="F3" s="26"/>
      <c r="G3" s="26"/>
      <c r="H3" s="26"/>
      <c r="I3" s="26"/>
      <c r="J3" s="26"/>
      <c r="K3" s="26"/>
      <c r="L3" s="26"/>
      <c r="M3" s="26"/>
      <c r="N3" s="26"/>
      <c r="O3" s="26"/>
      <c r="P3" s="26"/>
      <c r="Q3" s="26"/>
      <c r="R3" s="26"/>
      <c r="S3" s="41"/>
      <c r="T3" s="27"/>
      <c r="V3" s="34" t="s">
        <v>580</v>
      </c>
      <c r="W3" s="32" t="s">
        <v>2</v>
      </c>
      <c r="X3" s="45" t="s">
        <v>392</v>
      </c>
      <c r="Y3" s="46" t="s">
        <v>387</v>
      </c>
    </row>
    <row r="4" spans="1:27">
      <c r="A4" s="36"/>
      <c r="C4" s="25"/>
      <c r="D4" s="26" t="s">
        <v>573</v>
      </c>
      <c r="E4" s="26">
        <v>1</v>
      </c>
      <c r="F4" s="41" t="s">
        <v>572</v>
      </c>
      <c r="G4" s="111" t="str">
        <f ca="1">CHAR(34)&amp;INDIRECT("Dashboard!A"&amp;(ROW()-1)/3+3)&amp;CHAR(34)</f>
        <v>"1"</v>
      </c>
      <c r="H4" s="41" t="s">
        <v>574</v>
      </c>
      <c r="I4" s="41" t="s">
        <v>396</v>
      </c>
      <c r="J4" s="41" t="s">
        <v>575</v>
      </c>
      <c r="K4" s="41">
        <v>1</v>
      </c>
      <c r="L4" s="26" t="s">
        <v>576</v>
      </c>
      <c r="M4" s="26" t="str">
        <f t="shared" ref="M4:M9" si="0">IF(ISNA(VLOOKUP(O4,$X$1:$Y$4,2,FALSE)),"",VLOOKUP(O4,$X$1:$Y$4,2,FALSE))</f>
        <v>gray</v>
      </c>
      <c r="N4" s="41" t="s">
        <v>577</v>
      </c>
      <c r="O4" s="40" t="s">
        <v>388</v>
      </c>
      <c r="P4" s="41" t="s">
        <v>578</v>
      </c>
      <c r="Q4" s="42">
        <f ca="1">IF(INDIRECT("Dashboard!I"&amp;(ROW()-1)/3+3)="","",INDIRECT("Dashboard!I"&amp;(ROW()-1)/3+3))</f>
        <v>44470</v>
      </c>
      <c r="R4" s="41" t="s">
        <v>579</v>
      </c>
      <c r="S4" s="42">
        <f ca="1">IF(INDIRECT("Dashboard!J"&amp;(ROW()-1)/3+3)="","",INDIRECT("Dashboard!J"&amp;(ROW()-1)/3+3))</f>
        <v>44924</v>
      </c>
      <c r="T4" s="27" t="s">
        <v>382</v>
      </c>
      <c r="V4" s="32" t="str">
        <f ca="1">IF(C4&lt;&gt;"//",D4&amp;E4&amp;F4&amp;G4&amp;H4&amp;I4&amp;J4&amp;K4&amp;L4&amp;M4&amp;N4&amp;O4&amp;P4&amp;TEXT(Q4,"yyyy-mm-dd")&amp;R4&amp;TEXT(S4,"yyyy-mm-dd")&amp;T4,"")</f>
        <v>{"id": 1, "group":"1", "subgroup": "plan", "subgroupOrder":1, "className": "gray", "content": "Planned", "start": "2021-10-01", "end": "2022-12-29"},</v>
      </c>
      <c r="W4" s="37" t="s">
        <v>2</v>
      </c>
      <c r="X4" s="45" t="s">
        <v>390</v>
      </c>
      <c r="Y4" s="47" t="s">
        <v>384</v>
      </c>
    </row>
    <row r="5" spans="1:27">
      <c r="A5" s="36"/>
      <c r="C5" s="31" t="str">
        <f ca="1">IF(AND(Q5="", S5=""),"//","")</f>
        <v/>
      </c>
      <c r="D5" s="37" t="str">
        <f t="shared" ref="D5:D68" si="1">D4</f>
        <v xml:space="preserve">{"id": </v>
      </c>
      <c r="E5" s="32">
        <f t="shared" ref="E5:E70" si="2">E4+1</f>
        <v>2</v>
      </c>
      <c r="F5" s="37" t="str">
        <f t="shared" ref="F5:H6" si="3">F4</f>
        <v>, "group":</v>
      </c>
      <c r="G5" s="37" t="str">
        <f t="shared" ca="1" si="3"/>
        <v>"1"</v>
      </c>
      <c r="H5" s="37" t="str">
        <f t="shared" si="3"/>
        <v>, "subgroup": "</v>
      </c>
      <c r="I5" s="37" t="s">
        <v>397</v>
      </c>
      <c r="J5" s="37" t="str">
        <f t="shared" ref="J5:J68" si="4">J4</f>
        <v>", "subgroupOrder":</v>
      </c>
      <c r="K5" s="37">
        <v>0</v>
      </c>
      <c r="L5" s="37" t="str">
        <f t="shared" ref="L5:L68" si="5">L4</f>
        <v>, "className": "</v>
      </c>
      <c r="M5" s="32" t="str">
        <f t="shared" ca="1" si="0"/>
        <v>green</v>
      </c>
      <c r="N5" s="37" t="str">
        <f t="shared" ref="N5:N68" si="6">N4</f>
        <v>", "content": "</v>
      </c>
      <c r="O5" s="34" t="str">
        <f ca="1">IF(INDIRECT("Dashboard!P"&amp;((ROW()+1)/3+2))=1,"Completed",IF(INDIRECT("Dashboard!P"&amp;((ROW()+1)/3+2))="","","Pending"))</f>
        <v>Completed</v>
      </c>
      <c r="P5" s="37" t="str">
        <f t="shared" ref="P5:P68" si="7">P4</f>
        <v>", "start": "</v>
      </c>
      <c r="Q5" s="38">
        <f ca="1">IF(INDIRECT("Dashboard!K"&amp;((ROW()+1)/3+2))="","",INDIRECT("Dashboard!K"&amp;((ROW()+1)/3+2)))</f>
        <v>44471</v>
      </c>
      <c r="R5" s="37" t="str">
        <f t="shared" ref="R5:R68" si="8">R4</f>
        <v>", "end": "</v>
      </c>
      <c r="S5" s="38">
        <f ca="1">IF(INDIRECT("Dashboard!L"&amp;((ROW()+1)/3+2))="","",INDIRECT("Dashboard!L"&amp;((ROW()+1)/3+2)))</f>
        <v>44581</v>
      </c>
      <c r="T5" s="116" t="str">
        <f ca="1">IF(C8="]);",LEFT(T4,2),T4)</f>
        <v>"},</v>
      </c>
      <c r="V5" s="32" t="str">
        <f t="shared" ref="V5:V68" ca="1" si="9">IF(C5&lt;&gt;"//",D5&amp;E5&amp;F5&amp;G5&amp;H5&amp;I5&amp;J5&amp;K5&amp;L5&amp;M5&amp;N5&amp;O5&amp;P5&amp;TEXT(Q5,"yyyy-mm-dd")&amp;R5&amp;TEXT(S5,"yyyy-mm-dd")&amp;T5,"")</f>
        <v>{"id": 2, "group":"1", "subgroup": "actual", "subgroupOrder":0, "className": "green", "content": "Completed", "start": "2021-10-02", "end": "2022-01-20"},</v>
      </c>
      <c r="W5" s="37" t="s">
        <v>2</v>
      </c>
      <c r="X5" s="32" t="str">
        <f ca="1">G5&amp;" : "&amp;INDIRECT("Dashboard!G"&amp;((ROW()+1)/3+2))</f>
        <v>"1" : M0. Kick off - Benchmarking and project requirement analysis</v>
      </c>
    </row>
    <row r="6" spans="1:27" ht="15" thickBot="1">
      <c r="A6" s="36"/>
      <c r="C6" s="28" t="str">
        <f ca="1">IF(OR(INDIRECT("Dashboard!B"&amp;(ROW()/3+2))&lt;&gt;"&gt;",AND(Q6="",S6="")),"//","")</f>
        <v>//</v>
      </c>
      <c r="D6" s="43" t="str">
        <f t="shared" si="1"/>
        <v xml:space="preserve">{"id": </v>
      </c>
      <c r="E6" s="29">
        <f t="shared" si="2"/>
        <v>3</v>
      </c>
      <c r="F6" s="43" t="str">
        <f t="shared" si="3"/>
        <v>, "group":</v>
      </c>
      <c r="G6" s="43" t="str">
        <f t="shared" ca="1" si="3"/>
        <v>"1"</v>
      </c>
      <c r="H6" s="43" t="str">
        <f t="shared" si="3"/>
        <v>, "subgroup": "</v>
      </c>
      <c r="I6" s="43" t="s">
        <v>397</v>
      </c>
      <c r="J6" s="43" t="str">
        <f t="shared" si="4"/>
        <v>", "subgroupOrder":</v>
      </c>
      <c r="K6" s="43">
        <v>0</v>
      </c>
      <c r="L6" s="43" t="str">
        <f t="shared" si="5"/>
        <v>, "className": "</v>
      </c>
      <c r="M6" s="29" t="str">
        <f t="shared" si="0"/>
        <v>orange</v>
      </c>
      <c r="N6" s="43" t="str">
        <f t="shared" si="6"/>
        <v>", "content": "</v>
      </c>
      <c r="O6" s="49" t="s">
        <v>392</v>
      </c>
      <c r="P6" s="43" t="str">
        <f t="shared" si="7"/>
        <v>", "start": "</v>
      </c>
      <c r="Q6" s="44">
        <f ca="1">S5</f>
        <v>44581</v>
      </c>
      <c r="R6" s="43" t="str">
        <f t="shared" si="8"/>
        <v>", "end": "</v>
      </c>
      <c r="S6" s="113">
        <f ca="1">IF(INDIRECT("Dashboard!M"&amp;(ROW()/3+2))="","",INDIRECT("Dashboard!M"&amp;(ROW()/3+2)))</f>
        <v>44588</v>
      </c>
      <c r="T6" s="117" t="str">
        <f ca="1">IF(C8="]);",LEFT(T5,2),T5)</f>
        <v>"},</v>
      </c>
      <c r="V6" s="32" t="str">
        <f t="shared" ca="1" si="9"/>
        <v/>
      </c>
      <c r="W6" s="37" t="s">
        <v>2</v>
      </c>
    </row>
    <row r="7" spans="1:27">
      <c r="A7" s="36"/>
      <c r="C7" s="25"/>
      <c r="D7" s="41" t="str">
        <f t="shared" si="1"/>
        <v xml:space="preserve">{"id": </v>
      </c>
      <c r="E7" s="26">
        <f t="shared" si="2"/>
        <v>4</v>
      </c>
      <c r="F7" s="41" t="str">
        <f t="shared" ref="F7:F70" si="10">F6</f>
        <v>, "group":</v>
      </c>
      <c r="G7" s="111" t="str">
        <f ca="1">CHAR(34)&amp;INDIRECT("Dashboard!A"&amp;(ROW()-1)/3+3)&amp;CHAR(34)</f>
        <v>"1.1"</v>
      </c>
      <c r="H7" s="41" t="str">
        <f t="shared" ref="H7:H70" si="11">H6</f>
        <v>, "subgroup": "</v>
      </c>
      <c r="I7" s="41" t="s">
        <v>396</v>
      </c>
      <c r="J7" s="41" t="str">
        <f t="shared" si="4"/>
        <v>", "subgroupOrder":</v>
      </c>
      <c r="K7" s="41">
        <v>1</v>
      </c>
      <c r="L7" s="41" t="str">
        <f t="shared" si="5"/>
        <v>, "className": "</v>
      </c>
      <c r="M7" s="26" t="str">
        <f t="shared" si="0"/>
        <v>gray</v>
      </c>
      <c r="N7" s="41" t="str">
        <f t="shared" si="6"/>
        <v>", "content": "</v>
      </c>
      <c r="O7" s="40" t="s">
        <v>388</v>
      </c>
      <c r="P7" s="41" t="str">
        <f t="shared" si="7"/>
        <v>", "start": "</v>
      </c>
      <c r="Q7" s="42" t="str">
        <f ca="1">IF(INDIRECT("Dashboard!I"&amp;(ROW()-1)/3+3)="","",INDIRECT("Dashboard!I"&amp;(ROW()-1)/3+3))</f>
        <v/>
      </c>
      <c r="R7" s="41" t="str">
        <f t="shared" si="8"/>
        <v>", "end": "</v>
      </c>
      <c r="S7" s="42" t="str">
        <f ca="1">IF(INDIRECT("Dashboard!J"&amp;(ROW()-1)/3+3)="","",INDIRECT("Dashboard!J"&amp;(ROW()-1)/3+3))</f>
        <v/>
      </c>
      <c r="T7" s="118" t="str">
        <f ca="1">IF(C11="]);",LEFT(T6,2),T6)</f>
        <v>"},</v>
      </c>
      <c r="V7" s="32" t="str">
        <f t="shared" ca="1" si="9"/>
        <v>{"id": 4, "group":"1.1", "subgroup": "plan", "subgroupOrder":1, "className": "gray", "content": "Planned", "start": "", "end": ""},</v>
      </c>
      <c r="W7" s="37" t="s">
        <v>2</v>
      </c>
    </row>
    <row r="8" spans="1:27">
      <c r="A8" s="36"/>
      <c r="C8" s="31" t="str">
        <f ca="1">IF(AND(Q8="", S8=""),"//","")</f>
        <v>//</v>
      </c>
      <c r="D8" s="37" t="str">
        <f t="shared" si="1"/>
        <v xml:space="preserve">{"id": </v>
      </c>
      <c r="E8" s="32">
        <f t="shared" si="2"/>
        <v>5</v>
      </c>
      <c r="F8" s="37" t="str">
        <f t="shared" si="10"/>
        <v>, "group":</v>
      </c>
      <c r="G8" s="37" t="str">
        <f ca="1">G7</f>
        <v>"1.1"</v>
      </c>
      <c r="H8" s="37" t="str">
        <f t="shared" si="11"/>
        <v>, "subgroup": "</v>
      </c>
      <c r="I8" s="37" t="s">
        <v>397</v>
      </c>
      <c r="J8" s="37" t="str">
        <f t="shared" si="4"/>
        <v>", "subgroupOrder":</v>
      </c>
      <c r="K8" s="37">
        <v>0</v>
      </c>
      <c r="L8" s="37" t="str">
        <f t="shared" si="5"/>
        <v>, "className": "</v>
      </c>
      <c r="M8" s="32" t="str">
        <f t="shared" ca="1" si="0"/>
        <v/>
      </c>
      <c r="N8" s="37" t="str">
        <f t="shared" si="6"/>
        <v>", "content": "</v>
      </c>
      <c r="O8" s="34" t="str">
        <f ca="1">IF(INDIRECT("Dashboard!P"&amp;((ROW()+1)/3+2))=1,"Completed",IF(INDIRECT("Dashboard!P"&amp;((ROW()+1)/3+2))="","","Pending"))</f>
        <v/>
      </c>
      <c r="P8" s="37" t="str">
        <f t="shared" si="7"/>
        <v>", "start": "</v>
      </c>
      <c r="Q8" s="38" t="str">
        <f ca="1">IF(INDIRECT("Dashboard!K"&amp;((ROW()+1)/3+2))="","",INDIRECT("Dashboard!K"&amp;((ROW()+1)/3+2)))</f>
        <v/>
      </c>
      <c r="R8" s="37" t="str">
        <f t="shared" si="8"/>
        <v>", "end": "</v>
      </c>
      <c r="S8" s="38" t="str">
        <f ca="1">IF(INDIRECT("Dashboard!L"&amp;((ROW()+1)/3+2))="","",INDIRECT("Dashboard!L"&amp;((ROW()+1)/3+2)))</f>
        <v/>
      </c>
      <c r="T8" s="116" t="str">
        <f ca="1">IF(C11="]);",LEFT(T7,2),T7)</f>
        <v>"},</v>
      </c>
      <c r="V8" s="32" t="str">
        <f t="shared" ca="1" si="9"/>
        <v/>
      </c>
      <c r="W8" s="37" t="s">
        <v>2</v>
      </c>
      <c r="X8" s="32" t="str">
        <f ca="1">G8&amp;" : "&amp;INDIRECT("Dashboard!G"&amp;((ROW()+1)/3+2))</f>
        <v>"1.1" : Conducting Platform Benchmarking Analysis, Green Nudges frameworks, Data standards, Gateways and Sensor recommendations</v>
      </c>
    </row>
    <row r="9" spans="1:27" ht="15" thickBot="1">
      <c r="A9" s="36"/>
      <c r="C9" s="28" t="str">
        <f ca="1">IF(OR(INDIRECT("Dashboard!B"&amp;(ROW()/3+2))&lt;&gt;"&gt;",AND(Q9="",S9="")),"//","")</f>
        <v>//</v>
      </c>
      <c r="D9" s="43" t="str">
        <f t="shared" si="1"/>
        <v xml:space="preserve">{"id": </v>
      </c>
      <c r="E9" s="29">
        <f t="shared" si="2"/>
        <v>6</v>
      </c>
      <c r="F9" s="43" t="str">
        <f t="shared" si="10"/>
        <v>, "group":</v>
      </c>
      <c r="G9" s="43" t="str">
        <f ca="1">G8</f>
        <v>"1.1"</v>
      </c>
      <c r="H9" s="43" t="str">
        <f t="shared" si="11"/>
        <v>, "subgroup": "</v>
      </c>
      <c r="I9" s="43" t="s">
        <v>397</v>
      </c>
      <c r="J9" s="43" t="str">
        <f t="shared" si="4"/>
        <v>", "subgroupOrder":</v>
      </c>
      <c r="K9" s="43">
        <v>0</v>
      </c>
      <c r="L9" s="43" t="str">
        <f t="shared" si="5"/>
        <v>, "className": "</v>
      </c>
      <c r="M9" s="29" t="str">
        <f t="shared" si="0"/>
        <v>orange</v>
      </c>
      <c r="N9" s="43" t="str">
        <f t="shared" si="6"/>
        <v>", "content": "</v>
      </c>
      <c r="O9" s="49" t="s">
        <v>392</v>
      </c>
      <c r="P9" s="43" t="str">
        <f t="shared" si="7"/>
        <v>", "start": "</v>
      </c>
      <c r="Q9" s="44" t="str">
        <f ca="1">S8</f>
        <v/>
      </c>
      <c r="R9" s="43" t="str">
        <f t="shared" si="8"/>
        <v>", "end": "</v>
      </c>
      <c r="S9" s="113" t="str">
        <f ca="1">IF(INDIRECT("Dashboard!M"&amp;(ROW()/3+2))="","",INDIRECT("Dashboard!M"&amp;(ROW()/3+2)))</f>
        <v/>
      </c>
      <c r="T9" s="117" t="str">
        <f ca="1">IF(C11="]);",LEFT(T8,2),T8)</f>
        <v>"},</v>
      </c>
      <c r="V9" s="32" t="str">
        <f t="shared" ca="1" si="9"/>
        <v/>
      </c>
      <c r="W9" s="37" t="s">
        <v>2</v>
      </c>
    </row>
    <row r="10" spans="1:27">
      <c r="A10" s="36"/>
      <c r="C10" s="25"/>
      <c r="D10" s="41" t="str">
        <f t="shared" si="1"/>
        <v xml:space="preserve">{"id": </v>
      </c>
      <c r="E10" s="26">
        <f t="shared" si="2"/>
        <v>7</v>
      </c>
      <c r="F10" s="41" t="str">
        <f t="shared" si="10"/>
        <v>, "group":</v>
      </c>
      <c r="G10" s="111" t="str">
        <f ca="1">CHAR(34)&amp;INDIRECT("Dashboard!A"&amp;(ROW()-1)/3+3)&amp;CHAR(34)</f>
        <v>"1.2"</v>
      </c>
      <c r="H10" s="41" t="str">
        <f t="shared" si="11"/>
        <v>, "subgroup": "</v>
      </c>
      <c r="I10" s="41" t="s">
        <v>396</v>
      </c>
      <c r="J10" s="41" t="str">
        <f t="shared" si="4"/>
        <v>", "subgroupOrder":</v>
      </c>
      <c r="K10" s="41">
        <v>1</v>
      </c>
      <c r="L10" s="41" t="str">
        <f t="shared" si="5"/>
        <v>, "className": "</v>
      </c>
      <c r="M10" s="26" t="str">
        <f t="shared" ref="M10:M18" si="12">IF(ISNA(VLOOKUP(O10,$X$1:$Y$4,2,FALSE)),"",VLOOKUP(O10,$X$1:$Y$4,2,FALSE))</f>
        <v>gray</v>
      </c>
      <c r="N10" s="41" t="str">
        <f t="shared" si="6"/>
        <v>", "content": "</v>
      </c>
      <c r="O10" s="40" t="s">
        <v>388</v>
      </c>
      <c r="P10" s="41" t="str">
        <f t="shared" si="7"/>
        <v>", "start": "</v>
      </c>
      <c r="Q10" s="42" t="str">
        <f ca="1">IF(INDIRECT("Dashboard!I"&amp;(ROW()-1)/3+3)="","",INDIRECT("Dashboard!I"&amp;(ROW()-1)/3+3))</f>
        <v/>
      </c>
      <c r="R10" s="41" t="str">
        <f t="shared" si="8"/>
        <v>", "end": "</v>
      </c>
      <c r="S10" s="42" t="str">
        <f ca="1">IF(INDIRECT("Dashboard!J"&amp;(ROW()-1)/3+3)="","",INDIRECT("Dashboard!J"&amp;(ROW()-1)/3+3))</f>
        <v/>
      </c>
      <c r="T10" s="118" t="str">
        <f ca="1">IF(C14="]);",LEFT(T9,2),T9)</f>
        <v>"},</v>
      </c>
      <c r="V10" s="32" t="str">
        <f t="shared" ca="1" si="9"/>
        <v>{"id": 7, "group":"1.2", "subgroup": "plan", "subgroupOrder":1, "className": "gray", "content": "Planned", "start": "", "end": ""},</v>
      </c>
      <c r="W10" s="37" t="s">
        <v>2</v>
      </c>
    </row>
    <row r="11" spans="1:27">
      <c r="A11" s="36"/>
      <c r="C11" s="31" t="str">
        <f ca="1">IF(AND(Q11="", S11=""),"//","")</f>
        <v>//</v>
      </c>
      <c r="D11" s="37" t="str">
        <f t="shared" si="1"/>
        <v xml:space="preserve">{"id": </v>
      </c>
      <c r="E11" s="32">
        <f t="shared" si="2"/>
        <v>8</v>
      </c>
      <c r="F11" s="37" t="str">
        <f t="shared" si="10"/>
        <v>, "group":</v>
      </c>
      <c r="G11" s="37" t="str">
        <f ca="1">G10</f>
        <v>"1.2"</v>
      </c>
      <c r="H11" s="37" t="str">
        <f t="shared" si="11"/>
        <v>, "subgroup": "</v>
      </c>
      <c r="I11" s="37" t="s">
        <v>397</v>
      </c>
      <c r="J11" s="37" t="str">
        <f t="shared" si="4"/>
        <v>", "subgroupOrder":</v>
      </c>
      <c r="K11" s="37">
        <v>0</v>
      </c>
      <c r="L11" s="37" t="str">
        <f t="shared" si="5"/>
        <v>, "className": "</v>
      </c>
      <c r="M11" s="32" t="str">
        <f t="shared" ca="1" si="12"/>
        <v/>
      </c>
      <c r="N11" s="37" t="str">
        <f t="shared" si="6"/>
        <v>", "content": "</v>
      </c>
      <c r="O11" s="34" t="str">
        <f ca="1">IF(INDIRECT("Dashboard!P"&amp;((ROW()+1)/3+2))=1,"Completed",IF(INDIRECT("Dashboard!P"&amp;((ROW()+1)/3+2))="","","Pending"))</f>
        <v/>
      </c>
      <c r="P11" s="37" t="str">
        <f t="shared" si="7"/>
        <v>", "start": "</v>
      </c>
      <c r="Q11" s="38" t="str">
        <f ca="1">IF(INDIRECT("Dashboard!K"&amp;((ROW()+1)/3+2))="","",INDIRECT("Dashboard!K"&amp;((ROW()+1)/3+2)))</f>
        <v/>
      </c>
      <c r="R11" s="37" t="str">
        <f t="shared" si="8"/>
        <v>", "end": "</v>
      </c>
      <c r="S11" s="38" t="str">
        <f ca="1">IF(INDIRECT("Dashboard!L"&amp;((ROW()+1)/3+2))="","",INDIRECT("Dashboard!L"&amp;((ROW()+1)/3+2)))</f>
        <v/>
      </c>
      <c r="T11" s="116" t="str">
        <f ca="1">IF(C14="]);",LEFT(T10,2),T10)</f>
        <v>"},</v>
      </c>
      <c r="V11" s="32" t="str">
        <f t="shared" ca="1" si="9"/>
        <v/>
      </c>
      <c r="W11" s="37" t="s">
        <v>2</v>
      </c>
      <c r="X11" s="32" t="str">
        <f ca="1">G11&amp;" : "&amp;INDIRECT("Dashboard!G"&amp;((ROW()+1)/3+2))</f>
        <v>"1.2" : Note : This has to be quantitatively differentiated atleast by end of 1st year after completion of tests by NTU team.</v>
      </c>
    </row>
    <row r="12" spans="1:27" ht="15" thickBot="1">
      <c r="A12" s="36"/>
      <c r="C12" s="28" t="str">
        <f ca="1">IF(OR(INDIRECT("Dashboard!B"&amp;(ROW()/3+2))&lt;&gt;"&gt;",AND(Q12="",S12="")),"//","")</f>
        <v>//</v>
      </c>
      <c r="D12" s="43" t="str">
        <f t="shared" si="1"/>
        <v xml:space="preserve">{"id": </v>
      </c>
      <c r="E12" s="29">
        <f t="shared" si="2"/>
        <v>9</v>
      </c>
      <c r="F12" s="43" t="str">
        <f t="shared" si="10"/>
        <v>, "group":</v>
      </c>
      <c r="G12" s="43" t="str">
        <f ca="1">G11</f>
        <v>"1.2"</v>
      </c>
      <c r="H12" s="43" t="str">
        <f t="shared" si="11"/>
        <v>, "subgroup": "</v>
      </c>
      <c r="I12" s="43" t="s">
        <v>397</v>
      </c>
      <c r="J12" s="43" t="str">
        <f t="shared" si="4"/>
        <v>", "subgroupOrder":</v>
      </c>
      <c r="K12" s="43">
        <v>0</v>
      </c>
      <c r="L12" s="43" t="str">
        <f t="shared" si="5"/>
        <v>, "className": "</v>
      </c>
      <c r="M12" s="29" t="str">
        <f t="shared" si="12"/>
        <v>orange</v>
      </c>
      <c r="N12" s="43" t="str">
        <f t="shared" si="6"/>
        <v>", "content": "</v>
      </c>
      <c r="O12" s="49" t="s">
        <v>392</v>
      </c>
      <c r="P12" s="43" t="str">
        <f t="shared" si="7"/>
        <v>", "start": "</v>
      </c>
      <c r="Q12" s="44" t="str">
        <f ca="1">S11</f>
        <v/>
      </c>
      <c r="R12" s="43" t="str">
        <f t="shared" si="8"/>
        <v>", "end": "</v>
      </c>
      <c r="S12" s="113" t="str">
        <f ca="1">IF(INDIRECT("Dashboard!M"&amp;(ROW()/3+2))="","",INDIRECT("Dashboard!M"&amp;(ROW()/3+2)))</f>
        <v/>
      </c>
      <c r="T12" s="117" t="str">
        <f ca="1">IF(C14="]);",LEFT(T11,2),T11)</f>
        <v>"},</v>
      </c>
      <c r="V12" s="32" t="str">
        <f t="shared" ca="1" si="9"/>
        <v/>
      </c>
      <c r="W12" s="37" t="s">
        <v>2</v>
      </c>
    </row>
    <row r="13" spans="1:27">
      <c r="A13" s="36"/>
      <c r="C13" s="25"/>
      <c r="D13" s="41" t="str">
        <f t="shared" si="1"/>
        <v xml:space="preserve">{"id": </v>
      </c>
      <c r="E13" s="26">
        <f t="shared" si="2"/>
        <v>10</v>
      </c>
      <c r="F13" s="41" t="str">
        <f t="shared" si="10"/>
        <v>, "group":</v>
      </c>
      <c r="G13" s="111" t="str">
        <f ca="1">CHAR(34)&amp;INDIRECT("Dashboard!A"&amp;(ROW()-1)/3+3)&amp;CHAR(34)</f>
        <v>"1.3"</v>
      </c>
      <c r="H13" s="41" t="str">
        <f t="shared" si="11"/>
        <v>, "subgroup": "</v>
      </c>
      <c r="I13" s="41" t="s">
        <v>396</v>
      </c>
      <c r="J13" s="41" t="str">
        <f t="shared" si="4"/>
        <v>", "subgroupOrder":</v>
      </c>
      <c r="K13" s="41">
        <v>1</v>
      </c>
      <c r="L13" s="41" t="str">
        <f t="shared" si="5"/>
        <v>, "className": "</v>
      </c>
      <c r="M13" s="26" t="str">
        <f t="shared" si="12"/>
        <v>gray</v>
      </c>
      <c r="N13" s="41" t="str">
        <f t="shared" si="6"/>
        <v>", "content": "</v>
      </c>
      <c r="O13" s="40" t="s">
        <v>388</v>
      </c>
      <c r="P13" s="41" t="str">
        <f t="shared" si="7"/>
        <v>", "start": "</v>
      </c>
      <c r="Q13" s="42">
        <f ca="1">IF(INDIRECT("Dashboard!I"&amp;(ROW()-1)/3+3)="","",INDIRECT("Dashboard!I"&amp;(ROW()-1)/3+3))</f>
        <v>44470</v>
      </c>
      <c r="R13" s="41" t="str">
        <f t="shared" si="8"/>
        <v>", "end": "</v>
      </c>
      <c r="S13" s="42">
        <f ca="1">IF(INDIRECT("Dashboard!J"&amp;(ROW()-1)/3+3)="","",INDIRECT("Dashboard!J"&amp;(ROW()-1)/3+3))</f>
        <v>44924</v>
      </c>
      <c r="T13" s="118" t="str">
        <f ca="1">IF(C17="]);",LEFT(T12,2),T12)</f>
        <v>"},</v>
      </c>
      <c r="V13" s="32" t="str">
        <f t="shared" ca="1" si="9"/>
        <v>{"id": 10, "group":"1.3", "subgroup": "plan", "subgroupOrder":1, "className": "gray", "content": "Planned", "start": "2021-10-01", "end": "2022-12-29"},</v>
      </c>
      <c r="W13" s="37" t="s">
        <v>2</v>
      </c>
    </row>
    <row r="14" spans="1:27">
      <c r="A14" s="36"/>
      <c r="C14" s="31" t="str">
        <f ca="1">IF(AND(Q14="", S14=""),"//","")</f>
        <v/>
      </c>
      <c r="D14" s="37" t="str">
        <f t="shared" si="1"/>
        <v xml:space="preserve">{"id": </v>
      </c>
      <c r="E14" s="32">
        <f t="shared" si="2"/>
        <v>11</v>
      </c>
      <c r="F14" s="37" t="str">
        <f t="shared" si="10"/>
        <v>, "group":</v>
      </c>
      <c r="G14" s="37" t="str">
        <f ca="1">G13</f>
        <v>"1.3"</v>
      </c>
      <c r="H14" s="37" t="str">
        <f t="shared" si="11"/>
        <v>, "subgroup": "</v>
      </c>
      <c r="I14" s="37" t="s">
        <v>397</v>
      </c>
      <c r="J14" s="37" t="str">
        <f t="shared" si="4"/>
        <v>", "subgroupOrder":</v>
      </c>
      <c r="K14" s="37">
        <v>0</v>
      </c>
      <c r="L14" s="37" t="str">
        <f t="shared" si="5"/>
        <v>, "className": "</v>
      </c>
      <c r="M14" s="32" t="str">
        <f t="shared" ca="1" si="12"/>
        <v>green</v>
      </c>
      <c r="N14" s="37" t="str">
        <f t="shared" si="6"/>
        <v>", "content": "</v>
      </c>
      <c r="O14" s="34" t="str">
        <f ca="1">IF(INDIRECT("Dashboard!P"&amp;((ROW()+1)/3+2))=1,"Completed",IF(INDIRECT("Dashboard!P"&amp;((ROW()+1)/3+2))="","","Pending"))</f>
        <v>Completed</v>
      </c>
      <c r="P14" s="37" t="str">
        <f t="shared" si="7"/>
        <v>", "start": "</v>
      </c>
      <c r="Q14" s="38">
        <f ca="1">IF(INDIRECT("Dashboard!K"&amp;((ROW()+1)/3+2))="","",INDIRECT("Dashboard!K"&amp;((ROW()+1)/3+2)))</f>
        <v>44471</v>
      </c>
      <c r="R14" s="37" t="str">
        <f t="shared" si="8"/>
        <v>", "end": "</v>
      </c>
      <c r="S14" s="38">
        <f ca="1">IF(INDIRECT("Dashboard!L"&amp;((ROW()+1)/3+2))="","",INDIRECT("Dashboard!L"&amp;((ROW()+1)/3+2)))</f>
        <v>44581</v>
      </c>
      <c r="T14" s="116" t="str">
        <f ca="1">IF(C17="]);",LEFT(T13,2),T13)</f>
        <v>"},</v>
      </c>
      <c r="V14" s="32" t="str">
        <f t="shared" ca="1" si="9"/>
        <v>{"id": 11, "group":"1.3", "subgroup": "actual", "subgroupOrder":0, "className": "green", "content": "Completed", "start": "2021-10-02", "end": "2022-01-20"},</v>
      </c>
      <c r="W14" s="37" t="s">
        <v>2</v>
      </c>
      <c r="X14" s="32" t="str">
        <f ca="1">G14&amp;" : "&amp;INDIRECT("Dashboard!G"&amp;((ROW()+1)/3+2))</f>
        <v>"1.3" : Benchmark Report</v>
      </c>
    </row>
    <row r="15" spans="1:27" ht="15" thickBot="1">
      <c r="A15" s="36"/>
      <c r="C15" s="28" t="str">
        <f ca="1">IF(OR(INDIRECT("Dashboard!B"&amp;(ROW()/3+2))&lt;&gt;"&gt;",AND(Q15="",S15="")),"//","")</f>
        <v/>
      </c>
      <c r="D15" s="43" t="str">
        <f t="shared" si="1"/>
        <v xml:space="preserve">{"id": </v>
      </c>
      <c r="E15" s="29">
        <f t="shared" si="2"/>
        <v>12</v>
      </c>
      <c r="F15" s="43" t="str">
        <f t="shared" si="10"/>
        <v>, "group":</v>
      </c>
      <c r="G15" s="43" t="str">
        <f ca="1">G14</f>
        <v>"1.3"</v>
      </c>
      <c r="H15" s="43" t="str">
        <f t="shared" si="11"/>
        <v>, "subgroup": "</v>
      </c>
      <c r="I15" s="43" t="s">
        <v>397</v>
      </c>
      <c r="J15" s="43" t="str">
        <f t="shared" si="4"/>
        <v>", "subgroupOrder":</v>
      </c>
      <c r="K15" s="43">
        <v>0</v>
      </c>
      <c r="L15" s="43" t="str">
        <f t="shared" si="5"/>
        <v>, "className": "</v>
      </c>
      <c r="M15" s="29" t="str">
        <f t="shared" si="12"/>
        <v>orange</v>
      </c>
      <c r="N15" s="43" t="str">
        <f t="shared" si="6"/>
        <v>", "content": "</v>
      </c>
      <c r="O15" s="49" t="s">
        <v>392</v>
      </c>
      <c r="P15" s="43" t="str">
        <f t="shared" si="7"/>
        <v>", "start": "</v>
      </c>
      <c r="Q15" s="44">
        <f ca="1">S14</f>
        <v>44581</v>
      </c>
      <c r="R15" s="43" t="str">
        <f t="shared" si="8"/>
        <v>", "end": "</v>
      </c>
      <c r="S15" s="113">
        <f ca="1">IF(INDIRECT("Dashboard!M"&amp;(ROW()/3+2))="","",INDIRECT("Dashboard!M"&amp;(ROW()/3+2)))</f>
        <v>44588</v>
      </c>
      <c r="T15" s="117" t="str">
        <f ca="1">IF(C17="]);",LEFT(T14,2),T14)</f>
        <v>"},</v>
      </c>
      <c r="V15" s="32" t="str">
        <f t="shared" ca="1" si="9"/>
        <v>{"id": 12, "group":"1.3", "subgroup": "actual", "subgroupOrder":0, "className": "orange", "content": "Validation", "start": "2022-01-20", "end": "2022-01-27"},</v>
      </c>
      <c r="W15" s="37" t="s">
        <v>2</v>
      </c>
    </row>
    <row r="16" spans="1:27">
      <c r="A16" s="36"/>
      <c r="C16" s="25"/>
      <c r="D16" s="41" t="str">
        <f t="shared" si="1"/>
        <v xml:space="preserve">{"id": </v>
      </c>
      <c r="E16" s="26">
        <f t="shared" si="2"/>
        <v>13</v>
      </c>
      <c r="F16" s="41" t="str">
        <f t="shared" si="10"/>
        <v>, "group":</v>
      </c>
      <c r="G16" s="111" t="str">
        <f ca="1">CHAR(34)&amp;INDIRECT("Dashboard!A"&amp;(ROW()-1)/3+3)&amp;CHAR(34)</f>
        <v>"2"</v>
      </c>
      <c r="H16" s="41" t="str">
        <f t="shared" si="11"/>
        <v>, "subgroup": "</v>
      </c>
      <c r="I16" s="41" t="s">
        <v>396</v>
      </c>
      <c r="J16" s="41" t="str">
        <f t="shared" si="4"/>
        <v>", "subgroupOrder":</v>
      </c>
      <c r="K16" s="41">
        <v>1</v>
      </c>
      <c r="L16" s="41" t="str">
        <f t="shared" si="5"/>
        <v>, "className": "</v>
      </c>
      <c r="M16" s="26" t="str">
        <f t="shared" si="12"/>
        <v>gray</v>
      </c>
      <c r="N16" s="41" t="str">
        <f t="shared" si="6"/>
        <v>", "content": "</v>
      </c>
      <c r="O16" s="40" t="s">
        <v>388</v>
      </c>
      <c r="P16" s="41" t="str">
        <f t="shared" si="7"/>
        <v>", "start": "</v>
      </c>
      <c r="Q16" s="42">
        <f ca="1">IF(INDIRECT("Dashboard!I"&amp;(ROW()-1)/3+3)="","",INDIRECT("Dashboard!I"&amp;(ROW()-1)/3+3))</f>
        <v>44560</v>
      </c>
      <c r="R16" s="41" t="str">
        <f t="shared" si="8"/>
        <v>", "end": "</v>
      </c>
      <c r="S16" s="42">
        <f ca="1">IF(INDIRECT("Dashboard!J"&amp;(ROW()-1)/3+3)="","",INDIRECT("Dashboard!J"&amp;(ROW()-1)/3+3))</f>
        <v>45014</v>
      </c>
      <c r="T16" s="118" t="str">
        <f ca="1">IF(C20="]);",LEFT(T15,2),T15)</f>
        <v>"},</v>
      </c>
      <c r="V16" s="32" t="str">
        <f t="shared" ca="1" si="9"/>
        <v>{"id": 13, "group":"2", "subgroup": "plan", "subgroupOrder":1, "className": "gray", "content": "Planned", "start": "2021-12-30", "end": "2023-03-29"},</v>
      </c>
      <c r="W16" s="37" t="s">
        <v>2</v>
      </c>
    </row>
    <row r="17" spans="1:24">
      <c r="A17" s="36"/>
      <c r="C17" s="31" t="str">
        <f ca="1">IF(AND(Q17="", S17=""),"//","")</f>
        <v/>
      </c>
      <c r="D17" s="37" t="str">
        <f t="shared" si="1"/>
        <v xml:space="preserve">{"id": </v>
      </c>
      <c r="E17" s="32">
        <f t="shared" si="2"/>
        <v>14</v>
      </c>
      <c r="F17" s="37" t="str">
        <f t="shared" si="10"/>
        <v>, "group":</v>
      </c>
      <c r="G17" s="37" t="str">
        <f ca="1">G16</f>
        <v>"2"</v>
      </c>
      <c r="H17" s="37" t="str">
        <f t="shared" si="11"/>
        <v>, "subgroup": "</v>
      </c>
      <c r="I17" s="37" t="s">
        <v>397</v>
      </c>
      <c r="J17" s="37" t="str">
        <f t="shared" si="4"/>
        <v>", "subgroupOrder":</v>
      </c>
      <c r="K17" s="37">
        <v>0</v>
      </c>
      <c r="L17" s="37" t="str">
        <f t="shared" si="5"/>
        <v>, "className": "</v>
      </c>
      <c r="M17" s="32" t="str">
        <f t="shared" ca="1" si="12"/>
        <v>green</v>
      </c>
      <c r="N17" s="37" t="str">
        <f t="shared" si="6"/>
        <v>", "content": "</v>
      </c>
      <c r="O17" s="34" t="str">
        <f ca="1">IF(INDIRECT("Dashboard!P"&amp;((ROW()+1)/3+2))=1,"Completed",IF(INDIRECT("Dashboard!P"&amp;((ROW()+1)/3+2))="","","Pending"))</f>
        <v>Completed</v>
      </c>
      <c r="P17" s="37" t="str">
        <f t="shared" si="7"/>
        <v>", "start": "</v>
      </c>
      <c r="Q17" s="38">
        <f ca="1">IF(INDIRECT("Dashboard!K"&amp;((ROW()+1)/3+2))="","",INDIRECT("Dashboard!K"&amp;((ROW()+1)/3+2)))</f>
        <v>44560</v>
      </c>
      <c r="R17" s="37" t="str">
        <f t="shared" si="8"/>
        <v>", "end": "</v>
      </c>
      <c r="S17" s="38">
        <f ca="1">IF(INDIRECT("Dashboard!L"&amp;((ROW()+1)/3+2))="","",INDIRECT("Dashboard!L"&amp;((ROW()+1)/3+2)))</f>
        <v>44601</v>
      </c>
      <c r="T17" s="116" t="str">
        <f ca="1">IF(C20="]);",LEFT(T16,2),T16)</f>
        <v>"},</v>
      </c>
      <c r="V17" s="32" t="str">
        <f t="shared" ca="1" si="9"/>
        <v>{"id": 14, "group":"2", "subgroup": "actual", "subgroupOrder":0, "className": "green", "content": "Completed", "start": "2021-12-30", "end": "2022-02-09"},</v>
      </c>
      <c r="W17" s="37" t="s">
        <v>2</v>
      </c>
      <c r="X17" s="32" t="str">
        <f ca="1">G17&amp;" : "&amp;INDIRECT("Dashboard!G"&amp;((ROW()+1)/3+2))</f>
        <v>"2" : M1. Functional Requirement Specification (Project Requirement Document)</v>
      </c>
    </row>
    <row r="18" spans="1:24" ht="15" thickBot="1">
      <c r="A18" s="36"/>
      <c r="C18" s="28" t="str">
        <f ca="1">IF(OR(INDIRECT("Dashboard!B"&amp;(ROW()/3+2))&lt;&gt;"&gt;",AND(Q18="",S18="")),"//","")</f>
        <v>//</v>
      </c>
      <c r="D18" s="43" t="str">
        <f t="shared" si="1"/>
        <v xml:space="preserve">{"id": </v>
      </c>
      <c r="E18" s="29">
        <f t="shared" si="2"/>
        <v>15</v>
      </c>
      <c r="F18" s="43" t="str">
        <f t="shared" si="10"/>
        <v>, "group":</v>
      </c>
      <c r="G18" s="43" t="str">
        <f ca="1">G17</f>
        <v>"2"</v>
      </c>
      <c r="H18" s="43" t="str">
        <f t="shared" si="11"/>
        <v>, "subgroup": "</v>
      </c>
      <c r="I18" s="43" t="s">
        <v>397</v>
      </c>
      <c r="J18" s="43" t="str">
        <f t="shared" si="4"/>
        <v>", "subgroupOrder":</v>
      </c>
      <c r="K18" s="43">
        <v>0</v>
      </c>
      <c r="L18" s="43" t="str">
        <f t="shared" si="5"/>
        <v>, "className": "</v>
      </c>
      <c r="M18" s="29" t="str">
        <f t="shared" si="12"/>
        <v>orange</v>
      </c>
      <c r="N18" s="43" t="str">
        <f t="shared" si="6"/>
        <v>", "content": "</v>
      </c>
      <c r="O18" s="49" t="s">
        <v>392</v>
      </c>
      <c r="P18" s="43" t="str">
        <f t="shared" si="7"/>
        <v>", "start": "</v>
      </c>
      <c r="Q18" s="44">
        <f ca="1">S17</f>
        <v>44601</v>
      </c>
      <c r="R18" s="43" t="str">
        <f t="shared" si="8"/>
        <v>", "end": "</v>
      </c>
      <c r="S18" s="113">
        <f ca="1">IF(INDIRECT("Dashboard!M"&amp;(ROW()/3+2))="","",INDIRECT("Dashboard!M"&amp;(ROW()/3+2)))</f>
        <v>44973</v>
      </c>
      <c r="T18" s="117" t="str">
        <f ca="1">IF(C20="]);",LEFT(T17,2),T17)</f>
        <v>"},</v>
      </c>
      <c r="V18" s="32" t="str">
        <f t="shared" ca="1" si="9"/>
        <v/>
      </c>
      <c r="W18" s="37" t="s">
        <v>2</v>
      </c>
    </row>
    <row r="19" spans="1:24">
      <c r="A19" s="36"/>
      <c r="C19" s="25"/>
      <c r="D19" s="41" t="str">
        <f t="shared" si="1"/>
        <v xml:space="preserve">{"id": </v>
      </c>
      <c r="E19" s="26">
        <f t="shared" si="2"/>
        <v>16</v>
      </c>
      <c r="F19" s="41" t="str">
        <f t="shared" si="10"/>
        <v>, "group":</v>
      </c>
      <c r="G19" s="111" t="str">
        <f ca="1">CHAR(34)&amp;INDIRECT("Dashboard!A"&amp;(ROW()-1)/3+3)&amp;CHAR(34)</f>
        <v>"2.1"</v>
      </c>
      <c r="H19" s="41" t="str">
        <f t="shared" si="11"/>
        <v>, "subgroup": "</v>
      </c>
      <c r="I19" s="41" t="s">
        <v>396</v>
      </c>
      <c r="J19" s="41" t="str">
        <f t="shared" si="4"/>
        <v>", "subgroupOrder":</v>
      </c>
      <c r="K19" s="41">
        <v>1</v>
      </c>
      <c r="L19" s="41" t="str">
        <f t="shared" si="5"/>
        <v>, "className": "</v>
      </c>
      <c r="M19" s="26" t="str">
        <f t="shared" ref="M19:M82" si="13">IF(ISNA(VLOOKUP(O19,$X$1:$Y$4,2,FALSE)),"",VLOOKUP(O19,$X$1:$Y$4,2,FALSE))</f>
        <v>gray</v>
      </c>
      <c r="N19" s="41" t="str">
        <f t="shared" si="6"/>
        <v>", "content": "</v>
      </c>
      <c r="O19" s="40" t="s">
        <v>388</v>
      </c>
      <c r="P19" s="41" t="str">
        <f t="shared" si="7"/>
        <v>", "start": "</v>
      </c>
      <c r="Q19" s="42" t="str">
        <f ca="1">IF(INDIRECT("Dashboard!I"&amp;(ROW()-1)/3+3)="","",INDIRECT("Dashboard!I"&amp;(ROW()-1)/3+3))</f>
        <v/>
      </c>
      <c r="R19" s="41" t="str">
        <f t="shared" si="8"/>
        <v>", "end": "</v>
      </c>
      <c r="S19" s="42" t="str">
        <f ca="1">IF(INDIRECT("Dashboard!J"&amp;(ROW()-1)/3+3)="","",INDIRECT("Dashboard!J"&amp;(ROW()-1)/3+3))</f>
        <v/>
      </c>
      <c r="T19" s="118" t="str">
        <f ca="1">IF(C23="]);",LEFT(T18,2),T18)</f>
        <v>"},</v>
      </c>
      <c r="V19" s="32" t="str">
        <f t="shared" ca="1" si="9"/>
        <v>{"id": 16, "group":"2.1", "subgroup": "plan", "subgroupOrder":1, "className": "gray", "content": "Planned", "start": "", "end": ""},</v>
      </c>
      <c r="W19" s="37" t="s">
        <v>2</v>
      </c>
    </row>
    <row r="20" spans="1:24">
      <c r="A20" s="36"/>
      <c r="C20" s="31" t="str">
        <f ca="1">IF(AND(Q20="", S20=""),"//","")</f>
        <v>//</v>
      </c>
      <c r="D20" s="37" t="str">
        <f t="shared" si="1"/>
        <v xml:space="preserve">{"id": </v>
      </c>
      <c r="E20" s="32">
        <f t="shared" si="2"/>
        <v>17</v>
      </c>
      <c r="F20" s="37" t="str">
        <f t="shared" si="10"/>
        <v>, "group":</v>
      </c>
      <c r="G20" s="37" t="str">
        <f ca="1">G19</f>
        <v>"2.1"</v>
      </c>
      <c r="H20" s="37" t="str">
        <f t="shared" si="11"/>
        <v>, "subgroup": "</v>
      </c>
      <c r="I20" s="37" t="s">
        <v>397</v>
      </c>
      <c r="J20" s="37" t="str">
        <f t="shared" si="4"/>
        <v>", "subgroupOrder":</v>
      </c>
      <c r="K20" s="37">
        <v>0</v>
      </c>
      <c r="L20" s="37" t="str">
        <f t="shared" si="5"/>
        <v>, "className": "</v>
      </c>
      <c r="M20" s="32" t="str">
        <f t="shared" ca="1" si="13"/>
        <v/>
      </c>
      <c r="N20" s="37" t="str">
        <f t="shared" si="6"/>
        <v>", "content": "</v>
      </c>
      <c r="O20" s="34" t="str">
        <f ca="1">IF(INDIRECT("Dashboard!P"&amp;((ROW()+1)/3+2))=1,"Completed",IF(INDIRECT("Dashboard!P"&amp;((ROW()+1)/3+2))="","","Pending"))</f>
        <v/>
      </c>
      <c r="P20" s="37" t="str">
        <f t="shared" si="7"/>
        <v>", "start": "</v>
      </c>
      <c r="Q20" s="38" t="str">
        <f ca="1">IF(INDIRECT("Dashboard!K"&amp;((ROW()+1)/3+2))="","",INDIRECT("Dashboard!K"&amp;((ROW()+1)/3+2)))</f>
        <v/>
      </c>
      <c r="R20" s="37" t="str">
        <f t="shared" si="8"/>
        <v>", "end": "</v>
      </c>
      <c r="S20" s="38" t="str">
        <f ca="1">IF(INDIRECT("Dashboard!L"&amp;((ROW()+1)/3+2))="","",INDIRECT("Dashboard!L"&amp;((ROW()+1)/3+2)))</f>
        <v/>
      </c>
      <c r="T20" s="116" t="str">
        <f ca="1">IF(C23="]);",LEFT(T19,2),T19)</f>
        <v>"},</v>
      </c>
      <c r="V20" s="32" t="str">
        <f t="shared" ca="1" si="9"/>
        <v/>
      </c>
      <c r="W20" s="37" t="s">
        <v>2</v>
      </c>
      <c r="X20" s="32" t="str">
        <f ca="1">G20&amp;" : "&amp;INDIRECT("Dashboard!G"&amp;((ROW()+1)/3+2))</f>
        <v>"2.1" : Note : A PRD document stating the contents agreeable by both parties to cover all the functional aspects of Data fusion core platform and its architecture, smart home fusion use case, smart grid fusion use cases, supported protocols, UI requirements, deliverables in detail.</v>
      </c>
    </row>
    <row r="21" spans="1:24" ht="15" thickBot="1">
      <c r="A21" s="36"/>
      <c r="C21" s="28" t="str">
        <f ca="1">IF(OR(INDIRECT("Dashboard!B"&amp;(ROW()/3+2))&lt;&gt;"&gt;",AND(Q21="",S21="")),"//","")</f>
        <v>//</v>
      </c>
      <c r="D21" s="43" t="str">
        <f t="shared" si="1"/>
        <v xml:space="preserve">{"id": </v>
      </c>
      <c r="E21" s="29">
        <f t="shared" si="2"/>
        <v>18</v>
      </c>
      <c r="F21" s="43" t="str">
        <f t="shared" si="10"/>
        <v>, "group":</v>
      </c>
      <c r="G21" s="43" t="str">
        <f ca="1">G20</f>
        <v>"2.1"</v>
      </c>
      <c r="H21" s="43" t="str">
        <f t="shared" si="11"/>
        <v>, "subgroup": "</v>
      </c>
      <c r="I21" s="43" t="s">
        <v>397</v>
      </c>
      <c r="J21" s="43" t="str">
        <f t="shared" si="4"/>
        <v>", "subgroupOrder":</v>
      </c>
      <c r="K21" s="43">
        <v>0</v>
      </c>
      <c r="L21" s="43" t="str">
        <f t="shared" si="5"/>
        <v>, "className": "</v>
      </c>
      <c r="M21" s="29" t="str">
        <f t="shared" si="13"/>
        <v>orange</v>
      </c>
      <c r="N21" s="43" t="str">
        <f t="shared" si="6"/>
        <v>", "content": "</v>
      </c>
      <c r="O21" s="49" t="s">
        <v>392</v>
      </c>
      <c r="P21" s="43" t="str">
        <f t="shared" si="7"/>
        <v>", "start": "</v>
      </c>
      <c r="Q21" s="44" t="str">
        <f ca="1">S20</f>
        <v/>
      </c>
      <c r="R21" s="43" t="str">
        <f t="shared" si="8"/>
        <v>", "end": "</v>
      </c>
      <c r="S21" s="113" t="str">
        <f ca="1">IF(INDIRECT("Dashboard!M"&amp;(ROW()/3+2))="","",INDIRECT("Dashboard!M"&amp;(ROW()/3+2)))</f>
        <v/>
      </c>
      <c r="T21" s="117" t="str">
        <f ca="1">IF(C23="]);",LEFT(T20,2),T20)</f>
        <v>"},</v>
      </c>
      <c r="V21" s="32" t="str">
        <f t="shared" ca="1" si="9"/>
        <v/>
      </c>
      <c r="W21" s="37" t="s">
        <v>2</v>
      </c>
    </row>
    <row r="22" spans="1:24">
      <c r="A22" s="36"/>
      <c r="C22" s="25"/>
      <c r="D22" s="41" t="str">
        <f t="shared" si="1"/>
        <v xml:space="preserve">{"id": </v>
      </c>
      <c r="E22" s="26">
        <f t="shared" si="2"/>
        <v>19</v>
      </c>
      <c r="F22" s="41" t="str">
        <f t="shared" si="10"/>
        <v>, "group":</v>
      </c>
      <c r="G22" s="111" t="str">
        <f ca="1">CHAR(34)&amp;INDIRECT("Dashboard!A"&amp;(ROW()-1)/3+3)&amp;CHAR(34)</f>
        <v>"2.2"</v>
      </c>
      <c r="H22" s="41" t="str">
        <f t="shared" si="11"/>
        <v>, "subgroup": "</v>
      </c>
      <c r="I22" s="41" t="s">
        <v>396</v>
      </c>
      <c r="J22" s="41" t="str">
        <f t="shared" si="4"/>
        <v>", "subgroupOrder":</v>
      </c>
      <c r="K22" s="41">
        <v>1</v>
      </c>
      <c r="L22" s="41" t="str">
        <f t="shared" si="5"/>
        <v>, "className": "</v>
      </c>
      <c r="M22" s="26" t="str">
        <f t="shared" si="13"/>
        <v>gray</v>
      </c>
      <c r="N22" s="41" t="str">
        <f t="shared" si="6"/>
        <v>", "content": "</v>
      </c>
      <c r="O22" s="40" t="s">
        <v>388</v>
      </c>
      <c r="P22" s="41" t="str">
        <f t="shared" si="7"/>
        <v>", "start": "</v>
      </c>
      <c r="Q22" s="42">
        <f ca="1">IF(INDIRECT("Dashboard!I"&amp;(ROW()-1)/3+3)="","",INDIRECT("Dashboard!I"&amp;(ROW()-1)/3+3))</f>
        <v>44560</v>
      </c>
      <c r="R22" s="41" t="str">
        <f t="shared" si="8"/>
        <v>", "end": "</v>
      </c>
      <c r="S22" s="42">
        <f ca="1">IF(INDIRECT("Dashboard!J"&amp;(ROW()-1)/3+3)="","",INDIRECT("Dashboard!J"&amp;(ROW()-1)/3+3))</f>
        <v>44708</v>
      </c>
      <c r="T22" s="118" t="str">
        <f ca="1">IF(C26="]);",LEFT(T21,2),T21)</f>
        <v>"},</v>
      </c>
      <c r="V22" s="32" t="str">
        <f t="shared" ca="1" si="9"/>
        <v>{"id": 19, "group":"2.2", "subgroup": "plan", "subgroupOrder":1, "className": "gray", "content": "Planned", "start": "2021-12-30", "end": "2022-05-27"},</v>
      </c>
      <c r="W22" s="37" t="s">
        <v>2</v>
      </c>
    </row>
    <row r="23" spans="1:24">
      <c r="A23" s="36"/>
      <c r="C23" s="31" t="str">
        <f ca="1">IF(AND(Q23="", S23=""),"//","")</f>
        <v/>
      </c>
      <c r="D23" s="37" t="str">
        <f t="shared" si="1"/>
        <v xml:space="preserve">{"id": </v>
      </c>
      <c r="E23" s="32">
        <f t="shared" si="2"/>
        <v>20</v>
      </c>
      <c r="F23" s="37" t="str">
        <f t="shared" si="10"/>
        <v>, "group":</v>
      </c>
      <c r="G23" s="37" t="str">
        <f ca="1">G22</f>
        <v>"2.2"</v>
      </c>
      <c r="H23" s="37" t="str">
        <f t="shared" si="11"/>
        <v>, "subgroup": "</v>
      </c>
      <c r="I23" s="37" t="s">
        <v>397</v>
      </c>
      <c r="J23" s="37" t="str">
        <f t="shared" si="4"/>
        <v>", "subgroupOrder":</v>
      </c>
      <c r="K23" s="37">
        <v>0</v>
      </c>
      <c r="L23" s="37" t="str">
        <f t="shared" si="5"/>
        <v>, "className": "</v>
      </c>
      <c r="M23" s="32" t="str">
        <f t="shared" ca="1" si="13"/>
        <v>green</v>
      </c>
      <c r="N23" s="37" t="str">
        <f t="shared" si="6"/>
        <v>", "content": "</v>
      </c>
      <c r="O23" s="34" t="str">
        <f ca="1">IF(INDIRECT("Dashboard!P"&amp;((ROW()+1)/3+2))=1,"Completed",IF(INDIRECT("Dashboard!P"&amp;((ROW()+1)/3+2))="","","Pending"))</f>
        <v>Completed</v>
      </c>
      <c r="P23" s="37" t="str">
        <f t="shared" si="7"/>
        <v>", "start": "</v>
      </c>
      <c r="Q23" s="38">
        <f ca="1">IF(INDIRECT("Dashboard!K"&amp;((ROW()+1)/3+2))="","",INDIRECT("Dashboard!K"&amp;((ROW()+1)/3+2)))</f>
        <v>44560</v>
      </c>
      <c r="R23" s="37" t="str">
        <f t="shared" si="8"/>
        <v>", "end": "</v>
      </c>
      <c r="S23" s="38">
        <f ca="1">IF(INDIRECT("Dashboard!L"&amp;((ROW()+1)/3+2))="","",INDIRECT("Dashboard!L"&amp;((ROW()+1)/3+2)))</f>
        <v>44601</v>
      </c>
      <c r="T23" s="116" t="str">
        <f ca="1">IF(C26="]);",LEFT(T22,2),T22)</f>
        <v>"},</v>
      </c>
      <c r="V23" s="32" t="str">
        <f t="shared" ca="1" si="9"/>
        <v>{"id": 20, "group":"2.2", "subgroup": "actual", "subgroupOrder":0, "className": "green", "content": "Completed", "start": "2021-12-30", "end": "2022-02-09"},</v>
      </c>
      <c r="W23" s="37" t="s">
        <v>2</v>
      </c>
      <c r="X23" s="32" t="str">
        <f ca="1">G23&amp;" : "&amp;INDIRECT("Dashboard!G"&amp;((ROW()+1)/3+2))</f>
        <v>"2.2" : PRD V1.0, covers : M5, M8, M9, M10, M11, M12, M13</v>
      </c>
    </row>
    <row r="24" spans="1:24" ht="15" thickBot="1">
      <c r="A24" s="36"/>
      <c r="C24" s="28" t="str">
        <f ca="1">IF(OR(INDIRECT("Dashboard!B"&amp;(ROW()/3+2))&lt;&gt;"&gt;",AND(Q24="",S24="")),"//","")</f>
        <v/>
      </c>
      <c r="D24" s="43" t="str">
        <f t="shared" si="1"/>
        <v xml:space="preserve">{"id": </v>
      </c>
      <c r="E24" s="29">
        <f t="shared" si="2"/>
        <v>21</v>
      </c>
      <c r="F24" s="43" t="str">
        <f t="shared" si="10"/>
        <v>, "group":</v>
      </c>
      <c r="G24" s="43" t="str">
        <f ca="1">G23</f>
        <v>"2.2"</v>
      </c>
      <c r="H24" s="43" t="str">
        <f t="shared" si="11"/>
        <v>, "subgroup": "</v>
      </c>
      <c r="I24" s="43" t="s">
        <v>397</v>
      </c>
      <c r="J24" s="43" t="str">
        <f t="shared" si="4"/>
        <v>", "subgroupOrder":</v>
      </c>
      <c r="K24" s="43">
        <v>0</v>
      </c>
      <c r="L24" s="43" t="str">
        <f t="shared" si="5"/>
        <v>, "className": "</v>
      </c>
      <c r="M24" s="29" t="str">
        <f t="shared" si="13"/>
        <v>orange</v>
      </c>
      <c r="N24" s="43" t="str">
        <f t="shared" si="6"/>
        <v>", "content": "</v>
      </c>
      <c r="O24" s="49" t="s">
        <v>392</v>
      </c>
      <c r="P24" s="43" t="str">
        <f t="shared" si="7"/>
        <v>", "start": "</v>
      </c>
      <c r="Q24" s="44">
        <f ca="1">S23</f>
        <v>44601</v>
      </c>
      <c r="R24" s="43" t="str">
        <f t="shared" si="8"/>
        <v>", "end": "</v>
      </c>
      <c r="S24" s="113">
        <f ca="1">IF(INDIRECT("Dashboard!M"&amp;(ROW()/3+2))="","",INDIRECT("Dashboard!M"&amp;(ROW()/3+2)))</f>
        <v>44973</v>
      </c>
      <c r="T24" s="117" t="str">
        <f ca="1">IF(C26="]);",LEFT(T23,2),T23)</f>
        <v>"},</v>
      </c>
      <c r="V24" s="32" t="str">
        <f t="shared" ca="1" si="9"/>
        <v>{"id": 21, "group":"2.2", "subgroup": "actual", "subgroupOrder":0, "className": "orange", "content": "Validation", "start": "2022-02-09", "end": "2023-02-16"},</v>
      </c>
      <c r="W24" s="37" t="s">
        <v>2</v>
      </c>
    </row>
    <row r="25" spans="1:24">
      <c r="A25" s="36"/>
      <c r="C25" s="25"/>
      <c r="D25" s="41" t="str">
        <f t="shared" si="1"/>
        <v xml:space="preserve">{"id": </v>
      </c>
      <c r="E25" s="26">
        <f t="shared" si="2"/>
        <v>22</v>
      </c>
      <c r="F25" s="41" t="str">
        <f t="shared" si="10"/>
        <v>, "group":</v>
      </c>
      <c r="G25" s="111" t="str">
        <f ca="1">CHAR(34)&amp;INDIRECT("Dashboard!A"&amp;(ROW()-1)/3+3)&amp;CHAR(34)</f>
        <v>"2.3"</v>
      </c>
      <c r="H25" s="41" t="str">
        <f t="shared" si="11"/>
        <v>, "subgroup": "</v>
      </c>
      <c r="I25" s="41" t="s">
        <v>396</v>
      </c>
      <c r="J25" s="41" t="str">
        <f t="shared" si="4"/>
        <v>", "subgroupOrder":</v>
      </c>
      <c r="K25" s="41">
        <v>1</v>
      </c>
      <c r="L25" s="41" t="str">
        <f t="shared" si="5"/>
        <v>, "className": "</v>
      </c>
      <c r="M25" s="26" t="str">
        <f t="shared" si="13"/>
        <v>gray</v>
      </c>
      <c r="N25" s="41" t="str">
        <f t="shared" si="6"/>
        <v>", "content": "</v>
      </c>
      <c r="O25" s="40" t="s">
        <v>388</v>
      </c>
      <c r="P25" s="41" t="str">
        <f t="shared" si="7"/>
        <v>", "start": "</v>
      </c>
      <c r="Q25" s="42">
        <f ca="1">IF(INDIRECT("Dashboard!I"&amp;(ROW()-1)/3+3)="","",INDIRECT("Dashboard!I"&amp;(ROW()-1)/3+3))</f>
        <v>44711</v>
      </c>
      <c r="R25" s="41" t="str">
        <f t="shared" si="8"/>
        <v>", "end": "</v>
      </c>
      <c r="S25" s="42">
        <f ca="1">IF(INDIRECT("Dashboard!J"&amp;(ROW()-1)/3+3)="","",INDIRECT("Dashboard!J"&amp;(ROW()-1)/3+3))</f>
        <v>45014</v>
      </c>
      <c r="T25" s="118" t="str">
        <f ca="1">IF(C29="]);",LEFT(T24,2),T24)</f>
        <v>"},</v>
      </c>
      <c r="V25" s="32" t="str">
        <f t="shared" ca="1" si="9"/>
        <v>{"id": 22, "group":"2.3", "subgroup": "plan", "subgroupOrder":1, "className": "gray", "content": "Planned", "start": "2022-05-30", "end": "2023-03-29"},</v>
      </c>
      <c r="W25" s="37" t="s">
        <v>2</v>
      </c>
    </row>
    <row r="26" spans="1:24">
      <c r="A26" s="36"/>
      <c r="C26" s="31" t="str">
        <f ca="1">IF(AND(Q26="", S26=""),"//","")</f>
        <v/>
      </c>
      <c r="D26" s="37" t="str">
        <f t="shared" si="1"/>
        <v xml:space="preserve">{"id": </v>
      </c>
      <c r="E26" s="32">
        <f t="shared" si="2"/>
        <v>23</v>
      </c>
      <c r="F26" s="37" t="str">
        <f t="shared" si="10"/>
        <v>, "group":</v>
      </c>
      <c r="G26" s="37" t="str">
        <f ca="1">G25</f>
        <v>"2.3"</v>
      </c>
      <c r="H26" s="37" t="str">
        <f t="shared" si="11"/>
        <v>, "subgroup": "</v>
      </c>
      <c r="I26" s="37" t="s">
        <v>397</v>
      </c>
      <c r="J26" s="37" t="str">
        <f t="shared" si="4"/>
        <v>", "subgroupOrder":</v>
      </c>
      <c r="K26" s="37">
        <v>0</v>
      </c>
      <c r="L26" s="37" t="str">
        <f t="shared" si="5"/>
        <v>, "className": "</v>
      </c>
      <c r="M26" s="32" t="str">
        <f t="shared" ca="1" si="13"/>
        <v>green</v>
      </c>
      <c r="N26" s="37" t="str">
        <f t="shared" si="6"/>
        <v>", "content": "</v>
      </c>
      <c r="O26" s="34" t="str">
        <f ca="1">IF(INDIRECT("Dashboard!P"&amp;((ROW()+1)/3+2))=1,"Completed",IF(INDIRECT("Dashboard!P"&amp;((ROW()+1)/3+2))="","","Pending"))</f>
        <v>Completed</v>
      </c>
      <c r="P26" s="37" t="str">
        <f t="shared" si="7"/>
        <v>", "start": "</v>
      </c>
      <c r="Q26" s="38">
        <f ca="1">IF(INDIRECT("Dashboard!K"&amp;((ROW()+1)/3+2))="","",INDIRECT("Dashboard!K"&amp;((ROW()+1)/3+2)))</f>
        <v>44711</v>
      </c>
      <c r="R26" s="37" t="str">
        <f t="shared" si="8"/>
        <v>", "end": "</v>
      </c>
      <c r="S26" s="38">
        <f ca="1">IF(INDIRECT("Dashboard!L"&amp;((ROW()+1)/3+2))="","",INDIRECT("Dashboard!L"&amp;((ROW()+1)/3+2)))</f>
        <v>44601</v>
      </c>
      <c r="T26" s="116" t="str">
        <f ca="1">IF(C29="]);",LEFT(T25,2),T25)</f>
        <v>"},</v>
      </c>
      <c r="V26" s="32" t="str">
        <f t="shared" ca="1" si="9"/>
        <v>{"id": 23, "group":"2.3", "subgroup": "actual", "subgroupOrder":0, "className": "green", "content": "Completed", "start": "2022-05-30", "end": "2022-02-09"},</v>
      </c>
      <c r="W26" s="37" t="s">
        <v>2</v>
      </c>
      <c r="X26" s="32" t="str">
        <f ca="1">G26&amp;" : "&amp;INDIRECT("Dashboard!G"&amp;((ROW()+1)/3+2))</f>
        <v>"2.3" : PRD V2.0, covers : M14, M15, M16</v>
      </c>
    </row>
    <row r="27" spans="1:24" ht="15" thickBot="1">
      <c r="A27" s="36"/>
      <c r="C27" s="28" t="str">
        <f ca="1">IF(OR(INDIRECT("Dashboard!B"&amp;(ROW()/3+2))&lt;&gt;"&gt;",AND(Q27="",S27="")),"//","")</f>
        <v/>
      </c>
      <c r="D27" s="43" t="str">
        <f t="shared" si="1"/>
        <v xml:space="preserve">{"id": </v>
      </c>
      <c r="E27" s="29">
        <f t="shared" si="2"/>
        <v>24</v>
      </c>
      <c r="F27" s="43" t="str">
        <f t="shared" si="10"/>
        <v>, "group":</v>
      </c>
      <c r="G27" s="43" t="str">
        <f ca="1">G26</f>
        <v>"2.3"</v>
      </c>
      <c r="H27" s="43" t="str">
        <f t="shared" si="11"/>
        <v>, "subgroup": "</v>
      </c>
      <c r="I27" s="43" t="s">
        <v>397</v>
      </c>
      <c r="J27" s="43" t="str">
        <f t="shared" si="4"/>
        <v>", "subgroupOrder":</v>
      </c>
      <c r="K27" s="43">
        <v>0</v>
      </c>
      <c r="L27" s="43" t="str">
        <f t="shared" si="5"/>
        <v>, "className": "</v>
      </c>
      <c r="M27" s="29" t="str">
        <f t="shared" si="13"/>
        <v>orange</v>
      </c>
      <c r="N27" s="43" t="str">
        <f t="shared" si="6"/>
        <v>", "content": "</v>
      </c>
      <c r="O27" s="49" t="s">
        <v>392</v>
      </c>
      <c r="P27" s="43" t="str">
        <f t="shared" si="7"/>
        <v>", "start": "</v>
      </c>
      <c r="Q27" s="44">
        <f ca="1">S26</f>
        <v>44601</v>
      </c>
      <c r="R27" s="43" t="str">
        <f t="shared" si="8"/>
        <v>", "end": "</v>
      </c>
      <c r="S27" s="113">
        <f ca="1">IF(INDIRECT("Dashboard!M"&amp;(ROW()/3+2))="","",INDIRECT("Dashboard!M"&amp;(ROW()/3+2)))</f>
        <v>44973</v>
      </c>
      <c r="T27" s="117" t="str">
        <f ca="1">IF(C29="]);",LEFT(T26,2),T26)</f>
        <v>"},</v>
      </c>
      <c r="V27" s="32" t="str">
        <f t="shared" ca="1" si="9"/>
        <v>{"id": 24, "group":"2.3", "subgroup": "actual", "subgroupOrder":0, "className": "orange", "content": "Validation", "start": "2022-02-09", "end": "2023-02-16"},</v>
      </c>
      <c r="W27" s="37" t="s">
        <v>2</v>
      </c>
    </row>
    <row r="28" spans="1:24">
      <c r="A28" s="36"/>
      <c r="C28" s="25"/>
      <c r="D28" s="41" t="str">
        <f t="shared" si="1"/>
        <v xml:space="preserve">{"id": </v>
      </c>
      <c r="E28" s="26">
        <f t="shared" si="2"/>
        <v>25</v>
      </c>
      <c r="F28" s="41" t="str">
        <f t="shared" si="10"/>
        <v>, "group":</v>
      </c>
      <c r="G28" s="111" t="str">
        <f ca="1">CHAR(34)&amp;INDIRECT("Dashboard!A"&amp;(ROW()-1)/3+3)&amp;CHAR(34)</f>
        <v>"3"</v>
      </c>
      <c r="H28" s="41" t="str">
        <f t="shared" si="11"/>
        <v>, "subgroup": "</v>
      </c>
      <c r="I28" s="41" t="s">
        <v>396</v>
      </c>
      <c r="J28" s="41" t="str">
        <f t="shared" si="4"/>
        <v>", "subgroupOrder":</v>
      </c>
      <c r="K28" s="41">
        <v>1</v>
      </c>
      <c r="L28" s="41" t="str">
        <f t="shared" si="5"/>
        <v>, "className": "</v>
      </c>
      <c r="M28" s="26" t="str">
        <f t="shared" si="13"/>
        <v>gray</v>
      </c>
      <c r="N28" s="41" t="str">
        <f t="shared" si="6"/>
        <v>", "content": "</v>
      </c>
      <c r="O28" s="40" t="s">
        <v>388</v>
      </c>
      <c r="P28" s="41" t="str">
        <f t="shared" si="7"/>
        <v>", "start": "</v>
      </c>
      <c r="Q28" s="42">
        <f ca="1">IF(INDIRECT("Dashboard!I"&amp;(ROW()-1)/3+3)="","",INDIRECT("Dashboard!I"&amp;(ROW()-1)/3+3))</f>
        <v>44652</v>
      </c>
      <c r="R28" s="41" t="str">
        <f t="shared" si="8"/>
        <v>", "end": "</v>
      </c>
      <c r="S28" s="42">
        <f ca="1">IF(INDIRECT("Dashboard!J"&amp;(ROW()-1)/3+3)="","",INDIRECT("Dashboard!J"&amp;(ROW()-1)/3+3))</f>
        <v>45107</v>
      </c>
      <c r="T28" s="118" t="str">
        <f ca="1">IF(C32="]);",LEFT(T27,2),T27)</f>
        <v>"},</v>
      </c>
      <c r="V28" s="32" t="str">
        <f t="shared" ca="1" si="9"/>
        <v>{"id": 25, "group":"3", "subgroup": "plan", "subgroupOrder":1, "className": "gray", "content": "Planned", "start": "2022-04-01", "end": "2023-06-30"},</v>
      </c>
      <c r="W28" s="37" t="s">
        <v>2</v>
      </c>
    </row>
    <row r="29" spans="1:24">
      <c r="A29" s="36"/>
      <c r="C29" s="31" t="str">
        <f ca="1">IF(AND(Q29="", S29=""),"//","")</f>
        <v/>
      </c>
      <c r="D29" s="37" t="str">
        <f t="shared" si="1"/>
        <v xml:space="preserve">{"id": </v>
      </c>
      <c r="E29" s="32">
        <f t="shared" si="2"/>
        <v>26</v>
      </c>
      <c r="F29" s="37" t="str">
        <f t="shared" si="10"/>
        <v>, "group":</v>
      </c>
      <c r="G29" s="37" t="str">
        <f ca="1">G28</f>
        <v>"3"</v>
      </c>
      <c r="H29" s="37" t="str">
        <f t="shared" si="11"/>
        <v>, "subgroup": "</v>
      </c>
      <c r="I29" s="37" t="s">
        <v>397</v>
      </c>
      <c r="J29" s="37" t="str">
        <f t="shared" si="4"/>
        <v>", "subgroupOrder":</v>
      </c>
      <c r="K29" s="37">
        <v>0</v>
      </c>
      <c r="L29" s="37" t="str">
        <f t="shared" si="5"/>
        <v>, "className": "</v>
      </c>
      <c r="M29" s="32" t="str">
        <f t="shared" ca="1" si="13"/>
        <v>green</v>
      </c>
      <c r="N29" s="37" t="str">
        <f t="shared" si="6"/>
        <v>", "content": "</v>
      </c>
      <c r="O29" s="34" t="str">
        <f ca="1">IF(INDIRECT("Dashboard!P"&amp;((ROW()+1)/3+2))=1,"Completed",IF(INDIRECT("Dashboard!P"&amp;((ROW()+1)/3+2))="","","Pending"))</f>
        <v>Completed</v>
      </c>
      <c r="P29" s="37" t="str">
        <f t="shared" si="7"/>
        <v>", "start": "</v>
      </c>
      <c r="Q29" s="38">
        <f ca="1">IF(INDIRECT("Dashboard!K"&amp;((ROW()+1)/3+2))="","",INDIRECT("Dashboard!K"&amp;((ROW()+1)/3+2)))</f>
        <v>44652</v>
      </c>
      <c r="R29" s="37" t="str">
        <f t="shared" si="8"/>
        <v>", "end": "</v>
      </c>
      <c r="S29" s="38">
        <f ca="1">IF(INDIRECT("Dashboard!L"&amp;((ROW()+1)/3+2))="","",INDIRECT("Dashboard!L"&amp;((ROW()+1)/3+2)))</f>
        <v>45042</v>
      </c>
      <c r="T29" s="116" t="str">
        <f ca="1">IF(C32="]);",LEFT(T28,2),T28)</f>
        <v>"},</v>
      </c>
      <c r="V29" s="32" t="str">
        <f t="shared" ca="1" si="9"/>
        <v>{"id": 26, "group":"3", "subgroup": "actual", "subgroupOrder":0, "className": "green", "content": "Completed", "start": "2022-04-01", "end": "2023-04-26"},</v>
      </c>
      <c r="W29" s="37" t="s">
        <v>2</v>
      </c>
      <c r="X29" s="32" t="str">
        <f ca="1">G29&amp;" : "&amp;INDIRECT("Dashboard!G"&amp;((ROW()+1)/3+2))</f>
        <v>"3" : M2. Data Fusion Web &amp; Mobile UX wireframe</v>
      </c>
    </row>
    <row r="30" spans="1:24" ht="15" thickBot="1">
      <c r="A30" s="36"/>
      <c r="C30" s="28" t="str">
        <f ca="1">IF(OR(INDIRECT("Dashboard!B"&amp;(ROW()/3+2))&lt;&gt;"&gt;",AND(Q30="",S30="")),"//","")</f>
        <v>//</v>
      </c>
      <c r="D30" s="43" t="str">
        <f t="shared" si="1"/>
        <v xml:space="preserve">{"id": </v>
      </c>
      <c r="E30" s="29">
        <f t="shared" si="2"/>
        <v>27</v>
      </c>
      <c r="F30" s="43" t="str">
        <f t="shared" si="10"/>
        <v>, "group":</v>
      </c>
      <c r="G30" s="43" t="str">
        <f ca="1">G29</f>
        <v>"3"</v>
      </c>
      <c r="H30" s="43" t="str">
        <f t="shared" si="11"/>
        <v>, "subgroup": "</v>
      </c>
      <c r="I30" s="43" t="s">
        <v>397</v>
      </c>
      <c r="J30" s="43" t="str">
        <f t="shared" si="4"/>
        <v>", "subgroupOrder":</v>
      </c>
      <c r="K30" s="43">
        <v>0</v>
      </c>
      <c r="L30" s="43" t="str">
        <f t="shared" si="5"/>
        <v>, "className": "</v>
      </c>
      <c r="M30" s="29" t="str">
        <f t="shared" si="13"/>
        <v>orange</v>
      </c>
      <c r="N30" s="43" t="str">
        <f t="shared" si="6"/>
        <v>", "content": "</v>
      </c>
      <c r="O30" s="49" t="s">
        <v>392</v>
      </c>
      <c r="P30" s="43" t="str">
        <f t="shared" si="7"/>
        <v>", "start": "</v>
      </c>
      <c r="Q30" s="44">
        <f ca="1">S29</f>
        <v>45042</v>
      </c>
      <c r="R30" s="43" t="str">
        <f t="shared" si="8"/>
        <v>", "end": "</v>
      </c>
      <c r="S30" s="113">
        <f ca="1">IF(INDIRECT("Dashboard!M"&amp;(ROW()/3+2))="","",INDIRECT("Dashboard!M"&amp;(ROW()/3+2)))</f>
        <v>45057</v>
      </c>
      <c r="T30" s="117" t="str">
        <f ca="1">IF(C32="]);",LEFT(T29,2),T29)</f>
        <v>"},</v>
      </c>
      <c r="V30" s="32" t="str">
        <f t="shared" ca="1" si="9"/>
        <v/>
      </c>
      <c r="W30" s="37" t="s">
        <v>2</v>
      </c>
    </row>
    <row r="31" spans="1:24">
      <c r="A31" s="36"/>
      <c r="C31" s="25"/>
      <c r="D31" s="41" t="str">
        <f t="shared" si="1"/>
        <v xml:space="preserve">{"id": </v>
      </c>
      <c r="E31" s="26">
        <f t="shared" si="2"/>
        <v>28</v>
      </c>
      <c r="F31" s="41" t="str">
        <f t="shared" si="10"/>
        <v>, "group":</v>
      </c>
      <c r="G31" s="111" t="str">
        <f ca="1">CHAR(34)&amp;INDIRECT("Dashboard!A"&amp;(ROW()-1)/3+3)&amp;CHAR(34)</f>
        <v>"3.1"</v>
      </c>
      <c r="H31" s="41" t="str">
        <f t="shared" si="11"/>
        <v>, "subgroup": "</v>
      </c>
      <c r="I31" s="41" t="s">
        <v>396</v>
      </c>
      <c r="J31" s="41" t="str">
        <f t="shared" si="4"/>
        <v>", "subgroupOrder":</v>
      </c>
      <c r="K31" s="41">
        <v>1</v>
      </c>
      <c r="L31" s="41" t="str">
        <f t="shared" si="5"/>
        <v>, "className": "</v>
      </c>
      <c r="M31" s="26" t="str">
        <f t="shared" si="13"/>
        <v>gray</v>
      </c>
      <c r="N31" s="41" t="str">
        <f t="shared" si="6"/>
        <v>", "content": "</v>
      </c>
      <c r="O31" s="40" t="s">
        <v>388</v>
      </c>
      <c r="P31" s="41" t="str">
        <f t="shared" si="7"/>
        <v>", "start": "</v>
      </c>
      <c r="Q31" s="42" t="str">
        <f ca="1">IF(INDIRECT("Dashboard!I"&amp;(ROW()-1)/3+3)="","",INDIRECT("Dashboard!I"&amp;(ROW()-1)/3+3))</f>
        <v/>
      </c>
      <c r="R31" s="41" t="str">
        <f t="shared" si="8"/>
        <v>", "end": "</v>
      </c>
      <c r="S31" s="42" t="str">
        <f ca="1">IF(INDIRECT("Dashboard!J"&amp;(ROW()-1)/3+3)="","",INDIRECT("Dashboard!J"&amp;(ROW()-1)/3+3))</f>
        <v/>
      </c>
      <c r="T31" s="118" t="str">
        <f ca="1">IF(C35="]);",LEFT(T30,2),T30)</f>
        <v>"},</v>
      </c>
      <c r="V31" s="32" t="str">
        <f t="shared" ca="1" si="9"/>
        <v>{"id": 28, "group":"3.1", "subgroup": "plan", "subgroupOrder":1, "className": "gray", "content": "Planned", "start": "", "end": ""},</v>
      </c>
      <c r="W31" s="37" t="s">
        <v>2</v>
      </c>
    </row>
    <row r="32" spans="1:24">
      <c r="A32" s="36"/>
      <c r="C32" s="31" t="str">
        <f ca="1">IF(AND(Q32="", S32=""),"//","")</f>
        <v>//</v>
      </c>
      <c r="D32" s="37" t="str">
        <f t="shared" si="1"/>
        <v xml:space="preserve">{"id": </v>
      </c>
      <c r="E32" s="32">
        <f t="shared" si="2"/>
        <v>29</v>
      </c>
      <c r="F32" s="37" t="str">
        <f t="shared" si="10"/>
        <v>, "group":</v>
      </c>
      <c r="G32" s="37" t="str">
        <f ca="1">G31</f>
        <v>"3.1"</v>
      </c>
      <c r="H32" s="37" t="str">
        <f t="shared" si="11"/>
        <v>, "subgroup": "</v>
      </c>
      <c r="I32" s="37" t="s">
        <v>397</v>
      </c>
      <c r="J32" s="37" t="str">
        <f t="shared" si="4"/>
        <v>", "subgroupOrder":</v>
      </c>
      <c r="K32" s="37">
        <v>0</v>
      </c>
      <c r="L32" s="37" t="str">
        <f t="shared" si="5"/>
        <v>, "className": "</v>
      </c>
      <c r="M32" s="32" t="str">
        <f t="shared" ca="1" si="13"/>
        <v/>
      </c>
      <c r="N32" s="37" t="str">
        <f t="shared" si="6"/>
        <v>", "content": "</v>
      </c>
      <c r="O32" s="34" t="str">
        <f ca="1">IF(INDIRECT("Dashboard!P"&amp;((ROW()+1)/3+2))=1,"Completed",IF(INDIRECT("Dashboard!P"&amp;((ROW()+1)/3+2))="","","Pending"))</f>
        <v/>
      </c>
      <c r="P32" s="37" t="str">
        <f t="shared" si="7"/>
        <v>", "start": "</v>
      </c>
      <c r="Q32" s="38" t="str">
        <f ca="1">IF(INDIRECT("Dashboard!K"&amp;((ROW()+1)/3+2))="","",INDIRECT("Dashboard!K"&amp;((ROW()+1)/3+2)))</f>
        <v/>
      </c>
      <c r="R32" s="37" t="str">
        <f t="shared" si="8"/>
        <v>", "end": "</v>
      </c>
      <c r="S32" s="38" t="str">
        <f ca="1">IF(INDIRECT("Dashboard!L"&amp;((ROW()+1)/3+2))="","",INDIRECT("Dashboard!L"&amp;((ROW()+1)/3+2)))</f>
        <v/>
      </c>
      <c r="T32" s="116" t="str">
        <f ca="1">IF(C35="]);",LEFT(T31,2),T31)</f>
        <v>"},</v>
      </c>
      <c r="V32" s="32" t="str">
        <f t="shared" ca="1" si="9"/>
        <v/>
      </c>
      <c r="W32" s="37" t="s">
        <v>2</v>
      </c>
      <c r="X32" s="32" t="str">
        <f ca="1">G32&amp;" : "&amp;INDIRECT("Dashboard!G"&amp;((ROW()+1)/3+2))</f>
        <v>"3.1" : Note : NTU team to work on the stories, identify suitable usecases as well with the provided usecases to design the layout</v>
      </c>
    </row>
    <row r="33" spans="1:24" ht="15" thickBot="1">
      <c r="A33" s="36"/>
      <c r="C33" s="28" t="str">
        <f ca="1">IF(OR(INDIRECT("Dashboard!B"&amp;(ROW()/3+2))&lt;&gt;"&gt;",AND(Q33="",S33="")),"//","")</f>
        <v>//</v>
      </c>
      <c r="D33" s="43" t="str">
        <f t="shared" si="1"/>
        <v xml:space="preserve">{"id": </v>
      </c>
      <c r="E33" s="29">
        <f t="shared" si="2"/>
        <v>30</v>
      </c>
      <c r="F33" s="43" t="str">
        <f t="shared" si="10"/>
        <v>, "group":</v>
      </c>
      <c r="G33" s="43" t="str">
        <f ca="1">G32</f>
        <v>"3.1"</v>
      </c>
      <c r="H33" s="43" t="str">
        <f t="shared" si="11"/>
        <v>, "subgroup": "</v>
      </c>
      <c r="I33" s="43" t="s">
        <v>397</v>
      </c>
      <c r="J33" s="43" t="str">
        <f t="shared" si="4"/>
        <v>", "subgroupOrder":</v>
      </c>
      <c r="K33" s="43">
        <v>0</v>
      </c>
      <c r="L33" s="43" t="str">
        <f t="shared" si="5"/>
        <v>, "className": "</v>
      </c>
      <c r="M33" s="29" t="str">
        <f t="shared" si="13"/>
        <v>orange</v>
      </c>
      <c r="N33" s="43" t="str">
        <f t="shared" si="6"/>
        <v>", "content": "</v>
      </c>
      <c r="O33" s="49" t="s">
        <v>392</v>
      </c>
      <c r="P33" s="43" t="str">
        <f t="shared" si="7"/>
        <v>", "start": "</v>
      </c>
      <c r="Q33" s="44" t="str">
        <f ca="1">S32</f>
        <v/>
      </c>
      <c r="R33" s="43" t="str">
        <f t="shared" si="8"/>
        <v>", "end": "</v>
      </c>
      <c r="S33" s="113" t="str">
        <f ca="1">IF(INDIRECT("Dashboard!M"&amp;(ROW()/3+2))="","",INDIRECT("Dashboard!M"&amp;(ROW()/3+2)))</f>
        <v/>
      </c>
      <c r="T33" s="117" t="str">
        <f ca="1">IF(C35="]);",LEFT(T32,2),T32)</f>
        <v>"},</v>
      </c>
      <c r="V33" s="32" t="str">
        <f t="shared" ca="1" si="9"/>
        <v/>
      </c>
      <c r="W33" s="37" t="s">
        <v>2</v>
      </c>
    </row>
    <row r="34" spans="1:24">
      <c r="A34" s="36"/>
      <c r="C34" s="25"/>
      <c r="D34" s="41" t="str">
        <f t="shared" si="1"/>
        <v xml:space="preserve">{"id": </v>
      </c>
      <c r="E34" s="26">
        <f t="shared" si="2"/>
        <v>31</v>
      </c>
      <c r="F34" s="41" t="str">
        <f t="shared" si="10"/>
        <v>, "group":</v>
      </c>
      <c r="G34" s="111" t="str">
        <f ca="1">CHAR(34)&amp;INDIRECT("Dashboard!A"&amp;(ROW()-1)/3+3)&amp;CHAR(34)</f>
        <v>"3.2"</v>
      </c>
      <c r="H34" s="41" t="str">
        <f t="shared" si="11"/>
        <v>, "subgroup": "</v>
      </c>
      <c r="I34" s="41" t="s">
        <v>396</v>
      </c>
      <c r="J34" s="41" t="str">
        <f t="shared" si="4"/>
        <v>", "subgroupOrder":</v>
      </c>
      <c r="K34" s="41">
        <v>1</v>
      </c>
      <c r="L34" s="41" t="str">
        <f t="shared" si="5"/>
        <v>, "className": "</v>
      </c>
      <c r="M34" s="26" t="str">
        <f t="shared" si="13"/>
        <v>gray</v>
      </c>
      <c r="N34" s="41" t="str">
        <f t="shared" si="6"/>
        <v>", "content": "</v>
      </c>
      <c r="O34" s="40" t="s">
        <v>388</v>
      </c>
      <c r="P34" s="41" t="str">
        <f t="shared" si="7"/>
        <v>", "start": "</v>
      </c>
      <c r="Q34" s="42">
        <f ca="1">IF(INDIRECT("Dashboard!I"&amp;(ROW()-1)/3+3)="","",INDIRECT("Dashboard!I"&amp;(ROW()-1)/3+3))</f>
        <v>44652</v>
      </c>
      <c r="R34" s="41" t="str">
        <f t="shared" si="8"/>
        <v>", "end": "</v>
      </c>
      <c r="S34" s="42">
        <f ca="1">IF(INDIRECT("Dashboard!J"&amp;(ROW()-1)/3+3)="","",INDIRECT("Dashboard!J"&amp;(ROW()-1)/3+3))</f>
        <v>44742</v>
      </c>
      <c r="T34" s="118" t="str">
        <f ca="1">IF(C38="]);",LEFT(T33,2),T33)</f>
        <v>"},</v>
      </c>
      <c r="V34" s="32" t="str">
        <f t="shared" ca="1" si="9"/>
        <v>{"id": 31, "group":"3.2", "subgroup": "plan", "subgroupOrder":1, "className": "gray", "content": "Planned", "start": "2022-04-01", "end": "2022-06-30"},</v>
      </c>
      <c r="W34" s="37" t="s">
        <v>2</v>
      </c>
    </row>
    <row r="35" spans="1:24">
      <c r="A35" s="36"/>
      <c r="C35" s="31" t="str">
        <f ca="1">IF(AND(Q35="", S35=""),"//","")</f>
        <v/>
      </c>
      <c r="D35" s="37" t="str">
        <f t="shared" si="1"/>
        <v xml:space="preserve">{"id": </v>
      </c>
      <c r="E35" s="32">
        <f t="shared" si="2"/>
        <v>32</v>
      </c>
      <c r="F35" s="37" t="str">
        <f t="shared" si="10"/>
        <v>, "group":</v>
      </c>
      <c r="G35" s="37" t="str">
        <f ca="1">G34</f>
        <v>"3.2"</v>
      </c>
      <c r="H35" s="37" t="str">
        <f t="shared" si="11"/>
        <v>, "subgroup": "</v>
      </c>
      <c r="I35" s="37" t="s">
        <v>397</v>
      </c>
      <c r="J35" s="37" t="str">
        <f t="shared" si="4"/>
        <v>", "subgroupOrder":</v>
      </c>
      <c r="K35" s="37">
        <v>0</v>
      </c>
      <c r="L35" s="37" t="str">
        <f t="shared" si="5"/>
        <v>, "className": "</v>
      </c>
      <c r="M35" s="32" t="str">
        <f t="shared" ca="1" si="13"/>
        <v>green</v>
      </c>
      <c r="N35" s="37" t="str">
        <f t="shared" si="6"/>
        <v>", "content": "</v>
      </c>
      <c r="O35" s="34" t="str">
        <f ca="1">IF(INDIRECT("Dashboard!P"&amp;((ROW()+1)/3+2))=1,"Completed",IF(INDIRECT("Dashboard!P"&amp;((ROW()+1)/3+2))="","","Pending"))</f>
        <v>Completed</v>
      </c>
      <c r="P35" s="37" t="str">
        <f t="shared" si="7"/>
        <v>", "start": "</v>
      </c>
      <c r="Q35" s="38">
        <f ca="1">IF(INDIRECT("Dashboard!K"&amp;((ROW()+1)/3+2))="","",INDIRECT("Dashboard!K"&amp;((ROW()+1)/3+2)))</f>
        <v>44652</v>
      </c>
      <c r="R35" s="37" t="str">
        <f t="shared" si="8"/>
        <v>", "end": "</v>
      </c>
      <c r="S35" s="38">
        <f ca="1">IF(INDIRECT("Dashboard!L"&amp;((ROW()+1)/3+2))="","",INDIRECT("Dashboard!L"&amp;((ROW()+1)/3+2)))</f>
        <v>44965</v>
      </c>
      <c r="T35" s="116" t="str">
        <f ca="1">IF(C38="]);",LEFT(T34,2),T34)</f>
        <v>"},</v>
      </c>
      <c r="V35" s="32" t="str">
        <f t="shared" ca="1" si="9"/>
        <v>{"id": 32, "group":"3.2", "subgroup": "actual", "subgroupOrder":0, "className": "green", "content": "Completed", "start": "2022-04-01", "end": "2023-02-08"},</v>
      </c>
      <c r="W35" s="37" t="s">
        <v>2</v>
      </c>
      <c r="X35" s="32" t="str">
        <f ca="1">G35&amp;" : "&amp;INDIRECT("Dashboard!G"&amp;((ROW()+1)/3+2))</f>
        <v>"3.2" : (V1.0) Technical design document of the UI interface for both Web and Mobile (Android) agreeable layout design</v>
      </c>
    </row>
    <row r="36" spans="1:24" ht="15" thickBot="1">
      <c r="A36" s="36"/>
      <c r="C36" s="28" t="str">
        <f ca="1">IF(OR(INDIRECT("Dashboard!B"&amp;(ROW()/3+2))&lt;&gt;"&gt;",AND(Q36="",S36="")),"//","")</f>
        <v/>
      </c>
      <c r="D36" s="43" t="str">
        <f t="shared" si="1"/>
        <v xml:space="preserve">{"id": </v>
      </c>
      <c r="E36" s="29">
        <f t="shared" si="2"/>
        <v>33</v>
      </c>
      <c r="F36" s="43" t="str">
        <f t="shared" si="10"/>
        <v>, "group":</v>
      </c>
      <c r="G36" s="43" t="str">
        <f ca="1">G35</f>
        <v>"3.2"</v>
      </c>
      <c r="H36" s="43" t="str">
        <f t="shared" si="11"/>
        <v>, "subgroup": "</v>
      </c>
      <c r="I36" s="43" t="s">
        <v>397</v>
      </c>
      <c r="J36" s="43" t="str">
        <f t="shared" si="4"/>
        <v>", "subgroupOrder":</v>
      </c>
      <c r="K36" s="43">
        <v>0</v>
      </c>
      <c r="L36" s="43" t="str">
        <f t="shared" si="5"/>
        <v>, "className": "</v>
      </c>
      <c r="M36" s="29" t="str">
        <f t="shared" si="13"/>
        <v>orange</v>
      </c>
      <c r="N36" s="43" t="str">
        <f t="shared" si="6"/>
        <v>", "content": "</v>
      </c>
      <c r="O36" s="49" t="s">
        <v>392</v>
      </c>
      <c r="P36" s="43" t="str">
        <f t="shared" si="7"/>
        <v>", "start": "</v>
      </c>
      <c r="Q36" s="44">
        <f ca="1">S35</f>
        <v>44965</v>
      </c>
      <c r="R36" s="43" t="str">
        <f t="shared" si="8"/>
        <v>", "end": "</v>
      </c>
      <c r="S36" s="113">
        <f ca="1">IF(INDIRECT("Dashboard!M"&amp;(ROW()/3+2))="","",INDIRECT("Dashboard!M"&amp;(ROW()/3+2)))</f>
        <v>44966</v>
      </c>
      <c r="T36" s="117" t="str">
        <f ca="1">IF(C38="]);",LEFT(T35,2),T35)</f>
        <v>"},</v>
      </c>
      <c r="V36" s="32" t="str">
        <f t="shared" ca="1" si="9"/>
        <v>{"id": 33, "group":"3.2", "subgroup": "actual", "subgroupOrder":0, "className": "orange", "content": "Validation", "start": "2023-02-08", "end": "2023-02-09"},</v>
      </c>
      <c r="W36" s="37" t="s">
        <v>2</v>
      </c>
    </row>
    <row r="37" spans="1:24">
      <c r="A37" s="36"/>
      <c r="C37" s="25"/>
      <c r="D37" s="41" t="str">
        <f t="shared" si="1"/>
        <v xml:space="preserve">{"id": </v>
      </c>
      <c r="E37" s="26">
        <f t="shared" si="2"/>
        <v>34</v>
      </c>
      <c r="F37" s="41" t="str">
        <f t="shared" si="10"/>
        <v>, "group":</v>
      </c>
      <c r="G37" s="111" t="str">
        <f ca="1">CHAR(34)&amp;INDIRECT("Dashboard!A"&amp;(ROW()-1)/3+3)&amp;CHAR(34)</f>
        <v>"3.3"</v>
      </c>
      <c r="H37" s="41" t="str">
        <f t="shared" si="11"/>
        <v>, "subgroup": "</v>
      </c>
      <c r="I37" s="41" t="s">
        <v>396</v>
      </c>
      <c r="J37" s="41" t="str">
        <f t="shared" si="4"/>
        <v>", "subgroupOrder":</v>
      </c>
      <c r="K37" s="41">
        <v>1</v>
      </c>
      <c r="L37" s="41" t="str">
        <f t="shared" si="5"/>
        <v>, "className": "</v>
      </c>
      <c r="M37" s="26" t="str">
        <f t="shared" si="13"/>
        <v>gray</v>
      </c>
      <c r="N37" s="41" t="str">
        <f t="shared" si="6"/>
        <v>", "content": "</v>
      </c>
      <c r="O37" s="40" t="s">
        <v>388</v>
      </c>
      <c r="P37" s="41" t="str">
        <f t="shared" si="7"/>
        <v>", "start": "</v>
      </c>
      <c r="Q37" s="42">
        <f ca="1">IF(INDIRECT("Dashboard!I"&amp;(ROW()-1)/3+3)="","",INDIRECT("Dashboard!I"&amp;(ROW()-1)/3+3))</f>
        <v>44743</v>
      </c>
      <c r="R37" s="41" t="str">
        <f t="shared" si="8"/>
        <v>", "end": "</v>
      </c>
      <c r="S37" s="42">
        <f ca="1">IF(INDIRECT("Dashboard!J"&amp;(ROW()-1)/3+3)="","",INDIRECT("Dashboard!J"&amp;(ROW()-1)/3+3))</f>
        <v>45107</v>
      </c>
      <c r="T37" s="118" t="str">
        <f ca="1">IF(C41="]);",LEFT(T36,2),T36)</f>
        <v>"},</v>
      </c>
      <c r="V37" s="32" t="str">
        <f t="shared" ca="1" si="9"/>
        <v>{"id": 34, "group":"3.3", "subgroup": "plan", "subgroupOrder":1, "className": "gray", "content": "Planned", "start": "2022-07-01", "end": "2023-06-30"},</v>
      </c>
      <c r="W37" s="37" t="s">
        <v>2</v>
      </c>
    </row>
    <row r="38" spans="1:24">
      <c r="A38" s="36"/>
      <c r="C38" s="31" t="str">
        <f ca="1">IF(AND(Q38="", S38=""),"//","")</f>
        <v/>
      </c>
      <c r="D38" s="37" t="str">
        <f t="shared" si="1"/>
        <v xml:space="preserve">{"id": </v>
      </c>
      <c r="E38" s="32">
        <f t="shared" si="2"/>
        <v>35</v>
      </c>
      <c r="F38" s="37" t="str">
        <f t="shared" si="10"/>
        <v>, "group":</v>
      </c>
      <c r="G38" s="37" t="str">
        <f ca="1">G37</f>
        <v>"3.3"</v>
      </c>
      <c r="H38" s="37" t="str">
        <f t="shared" si="11"/>
        <v>, "subgroup": "</v>
      </c>
      <c r="I38" s="37" t="s">
        <v>397</v>
      </c>
      <c r="J38" s="37" t="str">
        <f t="shared" si="4"/>
        <v>", "subgroupOrder":</v>
      </c>
      <c r="K38" s="37">
        <v>0</v>
      </c>
      <c r="L38" s="37" t="str">
        <f t="shared" si="5"/>
        <v>, "className": "</v>
      </c>
      <c r="M38" s="32" t="str">
        <f t="shared" ca="1" si="13"/>
        <v>green</v>
      </c>
      <c r="N38" s="37" t="str">
        <f t="shared" si="6"/>
        <v>", "content": "</v>
      </c>
      <c r="O38" s="34" t="str">
        <f ca="1">IF(INDIRECT("Dashboard!P"&amp;((ROW()+1)/3+2))=1,"Completed",IF(INDIRECT("Dashboard!P"&amp;((ROW()+1)/3+2))="","","Pending"))</f>
        <v>Completed</v>
      </c>
      <c r="P38" s="37" t="str">
        <f t="shared" si="7"/>
        <v>", "start": "</v>
      </c>
      <c r="Q38" s="38">
        <f ca="1">IF(INDIRECT("Dashboard!K"&amp;((ROW()+1)/3+2))="","",INDIRECT("Dashboard!K"&amp;((ROW()+1)/3+2)))</f>
        <v>44743</v>
      </c>
      <c r="R38" s="37" t="str">
        <f t="shared" si="8"/>
        <v>", "end": "</v>
      </c>
      <c r="S38" s="38">
        <f ca="1">IF(INDIRECT("Dashboard!L"&amp;((ROW()+1)/3+2))="","",INDIRECT("Dashboard!L"&amp;((ROW()+1)/3+2)))</f>
        <v>45042</v>
      </c>
      <c r="T38" s="116" t="str">
        <f ca="1">IF(C41="]);",LEFT(T37,2),T37)</f>
        <v>"},</v>
      </c>
      <c r="V38" s="32" t="str">
        <f t="shared" ca="1" si="9"/>
        <v>{"id": 35, "group":"3.3", "subgroup": "actual", "subgroupOrder":0, "className": "green", "content": "Completed", "start": "2022-07-01", "end": "2023-04-26"},</v>
      </c>
      <c r="W38" s="37" t="s">
        <v>2</v>
      </c>
      <c r="X38" s="32" t="str">
        <f ca="1">G38&amp;" : "&amp;INDIRECT("Dashboard!G"&amp;((ROW()+1)/3+2))</f>
        <v>"3.3" : (V2.0) Technical design document of the UI interface for both Web and Mobile (Android) agreeable layout design</v>
      </c>
    </row>
    <row r="39" spans="1:24" ht="15" thickBot="1">
      <c r="A39" s="36"/>
      <c r="C39" s="28" t="str">
        <f ca="1">IF(OR(INDIRECT("Dashboard!B"&amp;(ROW()/3+2))&lt;&gt;"&gt;",AND(Q39="",S39="")),"//","")</f>
        <v/>
      </c>
      <c r="D39" s="43" t="str">
        <f t="shared" si="1"/>
        <v xml:space="preserve">{"id": </v>
      </c>
      <c r="E39" s="29">
        <f t="shared" si="2"/>
        <v>36</v>
      </c>
      <c r="F39" s="43" t="str">
        <f t="shared" si="10"/>
        <v>, "group":</v>
      </c>
      <c r="G39" s="43" t="str">
        <f ca="1">G38</f>
        <v>"3.3"</v>
      </c>
      <c r="H39" s="43" t="str">
        <f t="shared" si="11"/>
        <v>, "subgroup": "</v>
      </c>
      <c r="I39" s="43" t="s">
        <v>397</v>
      </c>
      <c r="J39" s="43" t="str">
        <f t="shared" si="4"/>
        <v>", "subgroupOrder":</v>
      </c>
      <c r="K39" s="43">
        <v>0</v>
      </c>
      <c r="L39" s="43" t="str">
        <f t="shared" si="5"/>
        <v>, "className": "</v>
      </c>
      <c r="M39" s="29" t="str">
        <f t="shared" si="13"/>
        <v>orange</v>
      </c>
      <c r="N39" s="43" t="str">
        <f t="shared" si="6"/>
        <v>", "content": "</v>
      </c>
      <c r="O39" s="49" t="s">
        <v>392</v>
      </c>
      <c r="P39" s="43" t="str">
        <f t="shared" si="7"/>
        <v>", "start": "</v>
      </c>
      <c r="Q39" s="44">
        <f ca="1">S38</f>
        <v>45042</v>
      </c>
      <c r="R39" s="43" t="str">
        <f t="shared" si="8"/>
        <v>", "end": "</v>
      </c>
      <c r="S39" s="113">
        <f ca="1">IF(INDIRECT("Dashboard!M"&amp;(ROW()/3+2))="","",INDIRECT("Dashboard!M"&amp;(ROW()/3+2)))</f>
        <v>45057</v>
      </c>
      <c r="T39" s="117" t="str">
        <f ca="1">IF(C41="]);",LEFT(T38,2),T38)</f>
        <v>"},</v>
      </c>
      <c r="V39" s="32" t="str">
        <f t="shared" ca="1" si="9"/>
        <v>{"id": 36, "group":"3.3", "subgroup": "actual", "subgroupOrder":0, "className": "orange", "content": "Validation", "start": "2023-04-26", "end": "2023-05-11"},</v>
      </c>
      <c r="W39" s="37" t="s">
        <v>2</v>
      </c>
    </row>
    <row r="40" spans="1:24">
      <c r="A40" s="36"/>
      <c r="C40" s="25"/>
      <c r="D40" s="41" t="str">
        <f t="shared" si="1"/>
        <v xml:space="preserve">{"id": </v>
      </c>
      <c r="E40" s="26">
        <f t="shared" si="2"/>
        <v>37</v>
      </c>
      <c r="F40" s="41" t="str">
        <f t="shared" si="10"/>
        <v>, "group":</v>
      </c>
      <c r="G40" s="111" t="str">
        <f ca="1">CHAR(34)&amp;INDIRECT("Dashboard!A"&amp;(ROW()-1)/3+3)&amp;CHAR(34)</f>
        <v>"4"</v>
      </c>
      <c r="H40" s="41" t="str">
        <f t="shared" si="11"/>
        <v>, "subgroup": "</v>
      </c>
      <c r="I40" s="41" t="s">
        <v>396</v>
      </c>
      <c r="J40" s="41" t="str">
        <f t="shared" si="4"/>
        <v>", "subgroupOrder":</v>
      </c>
      <c r="K40" s="41">
        <v>1</v>
      </c>
      <c r="L40" s="41" t="str">
        <f t="shared" si="5"/>
        <v>, "className": "</v>
      </c>
      <c r="M40" s="26" t="str">
        <f t="shared" si="13"/>
        <v>gray</v>
      </c>
      <c r="N40" s="41" t="str">
        <f t="shared" si="6"/>
        <v>", "content": "</v>
      </c>
      <c r="O40" s="40" t="s">
        <v>388</v>
      </c>
      <c r="P40" s="41" t="str">
        <f t="shared" si="7"/>
        <v>", "start": "</v>
      </c>
      <c r="Q40" s="42">
        <f ca="1">IF(INDIRECT("Dashboard!I"&amp;(ROW()-1)/3+3)="","",INDIRECT("Dashboard!I"&amp;(ROW()-1)/3+3))</f>
        <v>44652</v>
      </c>
      <c r="R40" s="41" t="str">
        <f t="shared" si="8"/>
        <v>", "end": "</v>
      </c>
      <c r="S40" s="42">
        <f ca="1">IF(INDIRECT("Dashboard!J"&amp;(ROW()-1)/3+3)="","",INDIRECT("Dashboard!J"&amp;(ROW()-1)/3+3))</f>
        <v>44773</v>
      </c>
      <c r="T40" s="118" t="str">
        <f ca="1">IF(C44="]);",LEFT(T39,2),T39)</f>
        <v>"},</v>
      </c>
      <c r="V40" s="32" t="str">
        <f t="shared" ca="1" si="9"/>
        <v>{"id": 37, "group":"4", "subgroup": "plan", "subgroupOrder":1, "className": "gray", "content": "Planned", "start": "2022-04-01", "end": "2022-07-31"},</v>
      </c>
      <c r="W40" s="37" t="s">
        <v>2</v>
      </c>
    </row>
    <row r="41" spans="1:24">
      <c r="A41" s="36"/>
      <c r="C41" s="31" t="str">
        <f ca="1">IF(AND(Q41="", S41=""),"//","")</f>
        <v/>
      </c>
      <c r="D41" s="37" t="str">
        <f t="shared" si="1"/>
        <v xml:space="preserve">{"id": </v>
      </c>
      <c r="E41" s="32">
        <f t="shared" si="2"/>
        <v>38</v>
      </c>
      <c r="F41" s="37" t="str">
        <f t="shared" si="10"/>
        <v>, "group":</v>
      </c>
      <c r="G41" s="37" t="str">
        <f ca="1">G40</f>
        <v>"4"</v>
      </c>
      <c r="H41" s="37" t="str">
        <f t="shared" si="11"/>
        <v>, "subgroup": "</v>
      </c>
      <c r="I41" s="37" t="s">
        <v>397</v>
      </c>
      <c r="J41" s="37" t="str">
        <f t="shared" si="4"/>
        <v>", "subgroupOrder":</v>
      </c>
      <c r="K41" s="37">
        <v>0</v>
      </c>
      <c r="L41" s="37" t="str">
        <f t="shared" si="5"/>
        <v>, "className": "</v>
      </c>
      <c r="M41" s="32" t="str">
        <f t="shared" ca="1" si="13"/>
        <v>pink-white</v>
      </c>
      <c r="N41" s="37" t="str">
        <f t="shared" si="6"/>
        <v>", "content": "</v>
      </c>
      <c r="O41" s="34" t="str">
        <f ca="1">IF(INDIRECT("Dashboard!P"&amp;((ROW()+1)/3+2))=1,"Completed",IF(INDIRECT("Dashboard!P"&amp;((ROW()+1)/3+2))="","","Pending"))</f>
        <v>Pending</v>
      </c>
      <c r="P41" s="37" t="str">
        <f t="shared" si="7"/>
        <v>", "start": "</v>
      </c>
      <c r="Q41" s="38">
        <f ca="1">IF(INDIRECT("Dashboard!K"&amp;((ROW()+1)/3+2))="","",INDIRECT("Dashboard!K"&amp;((ROW()+1)/3+2)))</f>
        <v>44652</v>
      </c>
      <c r="R41" s="37" t="str">
        <f t="shared" si="8"/>
        <v>", "end": "</v>
      </c>
      <c r="S41" s="38">
        <f ca="1">IF(INDIRECT("Dashboard!L"&amp;((ROW()+1)/3+2))="","",INDIRECT("Dashboard!L"&amp;((ROW()+1)/3+2)))</f>
        <v>45077</v>
      </c>
      <c r="T41" s="116" t="str">
        <f ca="1">IF(C44="]);",LEFT(T40,2),T40)</f>
        <v>"},</v>
      </c>
      <c r="V41" s="32" t="str">
        <f t="shared" ca="1" si="9"/>
        <v>{"id": 38, "group":"4", "subgroup": "actual", "subgroupOrder":0, "className": "pink-white", "content": "Pending", "start": "2022-04-01", "end": "2023-05-31"},</v>
      </c>
      <c r="W41" s="37" t="s">
        <v>2</v>
      </c>
      <c r="X41" s="32" t="str">
        <f ca="1">G41&amp;" : "&amp;INDIRECT("Dashboard!G"&amp;((ROW()+1)/3+2))</f>
        <v>"4" : M3. Data Acquisition, Ingestion and Data Lake Framework</v>
      </c>
    </row>
    <row r="42" spans="1:24" ht="15" thickBot="1">
      <c r="A42" s="36"/>
      <c r="C42" s="28" t="str">
        <f ca="1">IF(OR(INDIRECT("Dashboard!B"&amp;(ROW()/3+2))&lt;&gt;"&gt;",AND(Q42="",S42="")),"//","")</f>
        <v>//</v>
      </c>
      <c r="D42" s="43" t="str">
        <f t="shared" si="1"/>
        <v xml:space="preserve">{"id": </v>
      </c>
      <c r="E42" s="29">
        <f t="shared" si="2"/>
        <v>39</v>
      </c>
      <c r="F42" s="43" t="str">
        <f t="shared" si="10"/>
        <v>, "group":</v>
      </c>
      <c r="G42" s="43" t="str">
        <f ca="1">G41</f>
        <v>"4"</v>
      </c>
      <c r="H42" s="43" t="str">
        <f t="shared" si="11"/>
        <v>, "subgroup": "</v>
      </c>
      <c r="I42" s="43" t="s">
        <v>397</v>
      </c>
      <c r="J42" s="43" t="str">
        <f t="shared" si="4"/>
        <v>", "subgroupOrder":</v>
      </c>
      <c r="K42" s="43">
        <v>0</v>
      </c>
      <c r="L42" s="43" t="str">
        <f t="shared" si="5"/>
        <v>, "className": "</v>
      </c>
      <c r="M42" s="29" t="str">
        <f t="shared" si="13"/>
        <v>orange</v>
      </c>
      <c r="N42" s="43" t="str">
        <f t="shared" si="6"/>
        <v>", "content": "</v>
      </c>
      <c r="O42" s="49" t="s">
        <v>392</v>
      </c>
      <c r="P42" s="43" t="str">
        <f t="shared" si="7"/>
        <v>", "start": "</v>
      </c>
      <c r="Q42" s="44">
        <f ca="1">S41</f>
        <v>45077</v>
      </c>
      <c r="R42" s="43" t="str">
        <f t="shared" si="8"/>
        <v>", "end": "</v>
      </c>
      <c r="S42" s="113">
        <f ca="1">IF(INDIRECT("Dashboard!M"&amp;(ROW()/3+2))="","",INDIRECT("Dashboard!M"&amp;(ROW()/3+2)))</f>
        <v>45096</v>
      </c>
      <c r="T42" s="117" t="str">
        <f ca="1">IF(C44="]);",LEFT(T41,2),T41)</f>
        <v>"},</v>
      </c>
      <c r="V42" s="32" t="str">
        <f t="shared" ca="1" si="9"/>
        <v/>
      </c>
      <c r="W42" s="37" t="s">
        <v>2</v>
      </c>
    </row>
    <row r="43" spans="1:24">
      <c r="A43" s="36"/>
      <c r="C43" s="25"/>
      <c r="D43" s="41" t="str">
        <f t="shared" si="1"/>
        <v xml:space="preserve">{"id": </v>
      </c>
      <c r="E43" s="26">
        <f t="shared" si="2"/>
        <v>40</v>
      </c>
      <c r="F43" s="41" t="str">
        <f t="shared" si="10"/>
        <v>, "group":</v>
      </c>
      <c r="G43" s="111" t="str">
        <f ca="1">CHAR(34)&amp;INDIRECT("Dashboard!A"&amp;(ROW()-1)/3+3)&amp;CHAR(34)</f>
        <v>"4.1"</v>
      </c>
      <c r="H43" s="41" t="str">
        <f t="shared" si="11"/>
        <v>, "subgroup": "</v>
      </c>
      <c r="I43" s="41" t="s">
        <v>396</v>
      </c>
      <c r="J43" s="41" t="str">
        <f t="shared" si="4"/>
        <v>", "subgroupOrder":</v>
      </c>
      <c r="K43" s="41">
        <v>1</v>
      </c>
      <c r="L43" s="41" t="str">
        <f t="shared" si="5"/>
        <v>, "className": "</v>
      </c>
      <c r="M43" s="26" t="str">
        <f t="shared" si="13"/>
        <v>gray</v>
      </c>
      <c r="N43" s="41" t="str">
        <f t="shared" si="6"/>
        <v>", "content": "</v>
      </c>
      <c r="O43" s="40" t="s">
        <v>388</v>
      </c>
      <c r="P43" s="41" t="str">
        <f t="shared" si="7"/>
        <v>", "start": "</v>
      </c>
      <c r="Q43" s="42">
        <f ca="1">IF(INDIRECT("Dashboard!I"&amp;(ROW()-1)/3+3)="","",INDIRECT("Dashboard!I"&amp;(ROW()-1)/3+3))</f>
        <v>44652</v>
      </c>
      <c r="R43" s="41" t="str">
        <f t="shared" si="8"/>
        <v>", "end": "</v>
      </c>
      <c r="S43" s="42">
        <f ca="1">IF(INDIRECT("Dashboard!J"&amp;(ROW()-1)/3+3)="","",INDIRECT("Dashboard!J"&amp;(ROW()-1)/3+3))</f>
        <v>44773</v>
      </c>
      <c r="T43" s="118" t="str">
        <f ca="1">IF(C47="]);",LEFT(T42,2),T42)</f>
        <v>"},</v>
      </c>
      <c r="V43" s="32" t="str">
        <f t="shared" ca="1" si="9"/>
        <v>{"id": 40, "group":"4.1", "subgroup": "plan", "subgroupOrder":1, "className": "gray", "content": "Planned", "start": "2022-04-01", "end": "2022-07-31"},</v>
      </c>
      <c r="W43" s="37" t="s">
        <v>2</v>
      </c>
    </row>
    <row r="44" spans="1:24">
      <c r="A44" s="36"/>
      <c r="C44" s="31" t="str">
        <f ca="1">IF(AND(Q44="", S44=""),"//","")</f>
        <v/>
      </c>
      <c r="D44" s="37" t="str">
        <f t="shared" si="1"/>
        <v xml:space="preserve">{"id": </v>
      </c>
      <c r="E44" s="32">
        <f t="shared" si="2"/>
        <v>41</v>
      </c>
      <c r="F44" s="37" t="str">
        <f t="shared" si="10"/>
        <v>, "group":</v>
      </c>
      <c r="G44" s="37" t="str">
        <f ca="1">G43</f>
        <v>"4.1"</v>
      </c>
      <c r="H44" s="37" t="str">
        <f t="shared" si="11"/>
        <v>, "subgroup": "</v>
      </c>
      <c r="I44" s="37" t="s">
        <v>397</v>
      </c>
      <c r="J44" s="37" t="str">
        <f t="shared" si="4"/>
        <v>", "subgroupOrder":</v>
      </c>
      <c r="K44" s="37">
        <v>0</v>
      </c>
      <c r="L44" s="37" t="str">
        <f t="shared" si="5"/>
        <v>, "className": "</v>
      </c>
      <c r="M44" s="32" t="str">
        <f t="shared" ca="1" si="13"/>
        <v>green</v>
      </c>
      <c r="N44" s="37" t="str">
        <f t="shared" si="6"/>
        <v>", "content": "</v>
      </c>
      <c r="O44" s="34" t="str">
        <f ca="1">IF(INDIRECT("Dashboard!P"&amp;((ROW()+1)/3+2))=1,"Completed",IF(INDIRECT("Dashboard!P"&amp;((ROW()+1)/3+2))="","","Pending"))</f>
        <v>Completed</v>
      </c>
      <c r="P44" s="37" t="str">
        <f t="shared" si="7"/>
        <v>", "start": "</v>
      </c>
      <c r="Q44" s="38">
        <f ca="1">IF(INDIRECT("Dashboard!K"&amp;((ROW()+1)/3+2))="","",INDIRECT("Dashboard!K"&amp;((ROW()+1)/3+2)))</f>
        <v>44652</v>
      </c>
      <c r="R44" s="37" t="str">
        <f t="shared" si="8"/>
        <v>", "end": "</v>
      </c>
      <c r="S44" s="38">
        <f ca="1">IF(INDIRECT("Dashboard!L"&amp;((ROW()+1)/3+2))="","",INDIRECT("Dashboard!L"&amp;((ROW()+1)/3+2)))</f>
        <v>44764</v>
      </c>
      <c r="T44" s="116" t="str">
        <f ca="1">IF(C47="]);",LEFT(T43,2),T43)</f>
        <v>"},</v>
      </c>
      <c r="V44" s="32" t="str">
        <f t="shared" ca="1" si="9"/>
        <v>{"id": 41, "group":"4.1", "subgroup": "actual", "subgroupOrder":0, "className": "green", "content": "Completed", "start": "2022-04-01", "end": "2022-07-22"},</v>
      </c>
      <c r="W44" s="37" t="s">
        <v>2</v>
      </c>
      <c r="X44" s="32" t="str">
        <f ca="1">G44&amp;" : "&amp;INDIRECT("Dashboard!G"&amp;((ROW()+1)/3+2))</f>
        <v>"4.1" : Technical design document explaining the data schema and algorithm</v>
      </c>
    </row>
    <row r="45" spans="1:24" ht="15" thickBot="1">
      <c r="A45" s="36"/>
      <c r="C45" s="28" t="str">
        <f ca="1">IF(OR(INDIRECT("Dashboard!B"&amp;(ROW()/3+2))&lt;&gt;"&gt;",AND(Q45="",S45="")),"//","")</f>
        <v/>
      </c>
      <c r="D45" s="43" t="str">
        <f t="shared" si="1"/>
        <v xml:space="preserve">{"id": </v>
      </c>
      <c r="E45" s="29">
        <f t="shared" si="2"/>
        <v>42</v>
      </c>
      <c r="F45" s="43" t="str">
        <f t="shared" si="10"/>
        <v>, "group":</v>
      </c>
      <c r="G45" s="43" t="str">
        <f ca="1">G44</f>
        <v>"4.1"</v>
      </c>
      <c r="H45" s="43" t="str">
        <f t="shared" si="11"/>
        <v>, "subgroup": "</v>
      </c>
      <c r="I45" s="43" t="s">
        <v>397</v>
      </c>
      <c r="J45" s="43" t="str">
        <f t="shared" si="4"/>
        <v>", "subgroupOrder":</v>
      </c>
      <c r="K45" s="43">
        <v>0</v>
      </c>
      <c r="L45" s="43" t="str">
        <f t="shared" si="5"/>
        <v>, "className": "</v>
      </c>
      <c r="M45" s="29" t="str">
        <f t="shared" si="13"/>
        <v>orange</v>
      </c>
      <c r="N45" s="43" t="str">
        <f t="shared" si="6"/>
        <v>", "content": "</v>
      </c>
      <c r="O45" s="49" t="s">
        <v>392</v>
      </c>
      <c r="P45" s="43" t="str">
        <f t="shared" si="7"/>
        <v>", "start": "</v>
      </c>
      <c r="Q45" s="44">
        <f ca="1">S44</f>
        <v>44764</v>
      </c>
      <c r="R45" s="43" t="str">
        <f t="shared" si="8"/>
        <v>", "end": "</v>
      </c>
      <c r="S45" s="113">
        <f ca="1">IF(INDIRECT("Dashboard!M"&amp;(ROW()/3+2))="","",INDIRECT("Dashboard!M"&amp;(ROW()/3+2)))</f>
        <v>44823</v>
      </c>
      <c r="T45" s="117" t="str">
        <f ca="1">IF(C47="]);",LEFT(T44,2),T44)</f>
        <v>"},</v>
      </c>
      <c r="V45" s="32" t="str">
        <f t="shared" ca="1" si="9"/>
        <v>{"id": 42, "group":"4.1", "subgroup": "actual", "subgroupOrder":0, "className": "orange", "content": "Validation", "start": "2022-07-22", "end": "2022-09-19"},</v>
      </c>
      <c r="W45" s="37" t="s">
        <v>2</v>
      </c>
    </row>
    <row r="46" spans="1:24">
      <c r="A46" s="36"/>
      <c r="C46" s="25"/>
      <c r="D46" s="41" t="str">
        <f t="shared" si="1"/>
        <v xml:space="preserve">{"id": </v>
      </c>
      <c r="E46" s="26">
        <f t="shared" si="2"/>
        <v>43</v>
      </c>
      <c r="F46" s="41" t="str">
        <f t="shared" si="10"/>
        <v>, "group":</v>
      </c>
      <c r="G46" s="111" t="str">
        <f ca="1">CHAR(34)&amp;INDIRECT("Dashboard!A"&amp;(ROW()-1)/3+3)&amp;CHAR(34)</f>
        <v>"4.2"</v>
      </c>
      <c r="H46" s="41" t="str">
        <f t="shared" si="11"/>
        <v>, "subgroup": "</v>
      </c>
      <c r="I46" s="41" t="s">
        <v>396</v>
      </c>
      <c r="J46" s="41" t="str">
        <f t="shared" si="4"/>
        <v>", "subgroupOrder":</v>
      </c>
      <c r="K46" s="41">
        <v>1</v>
      </c>
      <c r="L46" s="41" t="str">
        <f t="shared" si="5"/>
        <v>, "className": "</v>
      </c>
      <c r="M46" s="26" t="str">
        <f t="shared" si="13"/>
        <v>gray</v>
      </c>
      <c r="N46" s="41" t="str">
        <f t="shared" si="6"/>
        <v>", "content": "</v>
      </c>
      <c r="O46" s="40" t="s">
        <v>388</v>
      </c>
      <c r="P46" s="41" t="str">
        <f t="shared" si="7"/>
        <v>", "start": "</v>
      </c>
      <c r="Q46" s="42">
        <f ca="1">IF(INDIRECT("Dashboard!I"&amp;(ROW()-1)/3+3)="","",INDIRECT("Dashboard!I"&amp;(ROW()-1)/3+3))</f>
        <v>44652</v>
      </c>
      <c r="R46" s="41" t="str">
        <f t="shared" si="8"/>
        <v>", "end": "</v>
      </c>
      <c r="S46" s="42">
        <f ca="1">IF(INDIRECT("Dashboard!J"&amp;(ROW()-1)/3+3)="","",INDIRECT("Dashboard!J"&amp;(ROW()-1)/3+3))</f>
        <v>44773</v>
      </c>
      <c r="T46" s="118" t="str">
        <f ca="1">IF(C50="]);",LEFT(T45,2),T45)</f>
        <v>"},</v>
      </c>
      <c r="V46" s="32" t="str">
        <f t="shared" ca="1" si="9"/>
        <v>{"id": 43, "group":"4.2", "subgroup": "plan", "subgroupOrder":1, "className": "gray", "content": "Planned", "start": "2022-04-01", "end": "2022-07-31"},</v>
      </c>
      <c r="W46" s="37" t="s">
        <v>2</v>
      </c>
    </row>
    <row r="47" spans="1:24">
      <c r="A47" s="36"/>
      <c r="C47" s="31" t="str">
        <f ca="1">IF(AND(Q47="", S47=""),"//","")</f>
        <v/>
      </c>
      <c r="D47" s="37" t="str">
        <f t="shared" si="1"/>
        <v xml:space="preserve">{"id": </v>
      </c>
      <c r="E47" s="32">
        <f t="shared" si="2"/>
        <v>44</v>
      </c>
      <c r="F47" s="37" t="str">
        <f t="shared" si="10"/>
        <v>, "group":</v>
      </c>
      <c r="G47" s="37" t="str">
        <f ca="1">G46</f>
        <v>"4.2"</v>
      </c>
      <c r="H47" s="37" t="str">
        <f t="shared" si="11"/>
        <v>, "subgroup": "</v>
      </c>
      <c r="I47" s="37" t="s">
        <v>397</v>
      </c>
      <c r="J47" s="37" t="str">
        <f t="shared" si="4"/>
        <v>", "subgroupOrder":</v>
      </c>
      <c r="K47" s="37">
        <v>0</v>
      </c>
      <c r="L47" s="37" t="str">
        <f t="shared" si="5"/>
        <v>, "className": "</v>
      </c>
      <c r="M47" s="32" t="str">
        <f t="shared" ca="1" si="13"/>
        <v>green</v>
      </c>
      <c r="N47" s="37" t="str">
        <f t="shared" si="6"/>
        <v>", "content": "</v>
      </c>
      <c r="O47" s="34" t="str">
        <f ca="1">IF(INDIRECT("Dashboard!P"&amp;((ROW()+1)/3+2))=1,"Completed",IF(INDIRECT("Dashboard!P"&amp;((ROW()+1)/3+2))="","","Pending"))</f>
        <v>Completed</v>
      </c>
      <c r="P47" s="37" t="str">
        <f t="shared" si="7"/>
        <v>", "start": "</v>
      </c>
      <c r="Q47" s="38">
        <f ca="1">IF(INDIRECT("Dashboard!K"&amp;((ROW()+1)/3+2))="","",INDIRECT("Dashboard!K"&amp;((ROW()+1)/3+2)))</f>
        <v>44652</v>
      </c>
      <c r="R47" s="37" t="str">
        <f t="shared" si="8"/>
        <v>", "end": "</v>
      </c>
      <c r="S47" s="38">
        <f ca="1">IF(INDIRECT("Dashboard!L"&amp;((ROW()+1)/3+2))="","",INDIRECT("Dashboard!L"&amp;((ROW()+1)/3+2)))</f>
        <v>44764</v>
      </c>
      <c r="T47" s="116" t="str">
        <f ca="1">IF(C50="]);",LEFT(T46,2),T46)</f>
        <v>"},</v>
      </c>
      <c r="V47" s="32" t="str">
        <f t="shared" ca="1" si="9"/>
        <v>{"id": 44, "group":"4.2", "subgroup": "actual", "subgroupOrder":0, "className": "green", "content": "Completed", "start": "2022-04-01", "end": "2022-07-22"},</v>
      </c>
      <c r="W47" s="37" t="s">
        <v>2</v>
      </c>
      <c r="X47" s="32" t="str">
        <f ca="1">G47&amp;" : "&amp;INDIRECT("Dashboard!G"&amp;((ROW()+1)/3+2))</f>
        <v>"4.2" : Software Code</v>
      </c>
    </row>
    <row r="48" spans="1:24" ht="15" thickBot="1">
      <c r="A48" s="36"/>
      <c r="C48" s="28" t="str">
        <f ca="1">IF(OR(INDIRECT("Dashboard!B"&amp;(ROW()/3+2))&lt;&gt;"&gt;",AND(Q48="",S48="")),"//","")</f>
        <v/>
      </c>
      <c r="D48" s="43" t="str">
        <f t="shared" si="1"/>
        <v xml:space="preserve">{"id": </v>
      </c>
      <c r="E48" s="29">
        <f t="shared" si="2"/>
        <v>45</v>
      </c>
      <c r="F48" s="43" t="str">
        <f t="shared" si="10"/>
        <v>, "group":</v>
      </c>
      <c r="G48" s="43" t="str">
        <f ca="1">G47</f>
        <v>"4.2"</v>
      </c>
      <c r="H48" s="43" t="str">
        <f t="shared" si="11"/>
        <v>, "subgroup": "</v>
      </c>
      <c r="I48" s="43" t="s">
        <v>397</v>
      </c>
      <c r="J48" s="43" t="str">
        <f t="shared" si="4"/>
        <v>", "subgroupOrder":</v>
      </c>
      <c r="K48" s="43">
        <v>0</v>
      </c>
      <c r="L48" s="43" t="str">
        <f t="shared" si="5"/>
        <v>, "className": "</v>
      </c>
      <c r="M48" s="29" t="str">
        <f t="shared" si="13"/>
        <v>orange</v>
      </c>
      <c r="N48" s="43" t="str">
        <f t="shared" si="6"/>
        <v>", "content": "</v>
      </c>
      <c r="O48" s="49" t="s">
        <v>392</v>
      </c>
      <c r="P48" s="43" t="str">
        <f t="shared" si="7"/>
        <v>", "start": "</v>
      </c>
      <c r="Q48" s="44">
        <f ca="1">S47</f>
        <v>44764</v>
      </c>
      <c r="R48" s="43" t="str">
        <f t="shared" si="8"/>
        <v>", "end": "</v>
      </c>
      <c r="S48" s="113">
        <f ca="1">IF(INDIRECT("Dashboard!M"&amp;(ROW()/3+2))="","",INDIRECT("Dashboard!M"&amp;(ROW()/3+2)))</f>
        <v>44823</v>
      </c>
      <c r="T48" s="117" t="str">
        <f ca="1">IF(C50="]);",LEFT(T47,2),T47)</f>
        <v>"},</v>
      </c>
      <c r="V48" s="32" t="str">
        <f t="shared" ca="1" si="9"/>
        <v>{"id": 45, "group":"4.2", "subgroup": "actual", "subgroupOrder":0, "className": "orange", "content": "Validation", "start": "2022-07-22", "end": "2022-09-19"},</v>
      </c>
      <c r="W48" s="37" t="s">
        <v>2</v>
      </c>
    </row>
    <row r="49" spans="1:24">
      <c r="A49" s="36"/>
      <c r="C49" s="25"/>
      <c r="D49" s="41" t="str">
        <f t="shared" si="1"/>
        <v xml:space="preserve">{"id": </v>
      </c>
      <c r="E49" s="26">
        <f t="shared" si="2"/>
        <v>46</v>
      </c>
      <c r="F49" s="41" t="str">
        <f t="shared" si="10"/>
        <v>, "group":</v>
      </c>
      <c r="G49" s="111" t="str">
        <f ca="1">CHAR(34)&amp;INDIRECT("Dashboard!A"&amp;(ROW()-1)/3+3)&amp;CHAR(34)</f>
        <v>"4.3"</v>
      </c>
      <c r="H49" s="41" t="str">
        <f t="shared" si="11"/>
        <v>, "subgroup": "</v>
      </c>
      <c r="I49" s="41" t="s">
        <v>396</v>
      </c>
      <c r="J49" s="41" t="str">
        <f t="shared" si="4"/>
        <v>", "subgroupOrder":</v>
      </c>
      <c r="K49" s="41">
        <v>1</v>
      </c>
      <c r="L49" s="41" t="str">
        <f t="shared" si="5"/>
        <v>, "className": "</v>
      </c>
      <c r="M49" s="26" t="str">
        <f t="shared" si="13"/>
        <v>gray</v>
      </c>
      <c r="N49" s="41" t="str">
        <f t="shared" si="6"/>
        <v>", "content": "</v>
      </c>
      <c r="O49" s="40" t="s">
        <v>388</v>
      </c>
      <c r="P49" s="41" t="str">
        <f t="shared" si="7"/>
        <v>", "start": "</v>
      </c>
      <c r="Q49" s="42">
        <f ca="1">IF(INDIRECT("Dashboard!I"&amp;(ROW()-1)/3+3)="","",INDIRECT("Dashboard!I"&amp;(ROW()-1)/3+3))</f>
        <v>44652</v>
      </c>
      <c r="R49" s="41" t="str">
        <f t="shared" si="8"/>
        <v>", "end": "</v>
      </c>
      <c r="S49" s="42">
        <f ca="1">IF(INDIRECT("Dashboard!J"&amp;(ROW()-1)/3+3)="","",INDIRECT("Dashboard!J"&amp;(ROW()-1)/3+3))</f>
        <v>44773</v>
      </c>
      <c r="T49" s="118" t="str">
        <f ca="1">IF(C53="]);",LEFT(T48,2),T48)</f>
        <v>"},</v>
      </c>
      <c r="V49" s="32" t="str">
        <f t="shared" ca="1" si="9"/>
        <v>{"id": 46, "group":"4.3", "subgroup": "plan", "subgroupOrder":1, "className": "gray", "content": "Planned", "start": "2022-04-01", "end": "2022-07-31"},</v>
      </c>
      <c r="W49" s="37" t="s">
        <v>2</v>
      </c>
    </row>
    <row r="50" spans="1:24">
      <c r="A50" s="36"/>
      <c r="C50" s="31" t="str">
        <f ca="1">IF(AND(Q50="", S50=""),"//","")</f>
        <v/>
      </c>
      <c r="D50" s="37" t="str">
        <f t="shared" si="1"/>
        <v xml:space="preserve">{"id": </v>
      </c>
      <c r="E50" s="32">
        <f t="shared" si="2"/>
        <v>47</v>
      </c>
      <c r="F50" s="37" t="str">
        <f t="shared" si="10"/>
        <v>, "group":</v>
      </c>
      <c r="G50" s="37" t="str">
        <f ca="1">G49</f>
        <v>"4.3"</v>
      </c>
      <c r="H50" s="37" t="str">
        <f t="shared" si="11"/>
        <v>, "subgroup": "</v>
      </c>
      <c r="I50" s="37" t="s">
        <v>397</v>
      </c>
      <c r="J50" s="37" t="str">
        <f t="shared" si="4"/>
        <v>", "subgroupOrder":</v>
      </c>
      <c r="K50" s="37">
        <v>0</v>
      </c>
      <c r="L50" s="37" t="str">
        <f t="shared" si="5"/>
        <v>, "className": "</v>
      </c>
      <c r="M50" s="32" t="str">
        <f t="shared" ca="1" si="13"/>
        <v>pink-white</v>
      </c>
      <c r="N50" s="37" t="str">
        <f t="shared" si="6"/>
        <v>", "content": "</v>
      </c>
      <c r="O50" s="34" t="str">
        <f ca="1">IF(INDIRECT("Dashboard!P"&amp;((ROW()+1)/3+2))=1,"Completed",IF(INDIRECT("Dashboard!P"&amp;((ROW()+1)/3+2))="","","Pending"))</f>
        <v>Pending</v>
      </c>
      <c r="P50" s="37" t="str">
        <f t="shared" si="7"/>
        <v>", "start": "</v>
      </c>
      <c r="Q50" s="38">
        <f ca="1">IF(INDIRECT("Dashboard!K"&amp;((ROW()+1)/3+2))="","",INDIRECT("Dashboard!K"&amp;((ROW()+1)/3+2)))</f>
        <v>44652</v>
      </c>
      <c r="R50" s="37" t="str">
        <f t="shared" si="8"/>
        <v>", "end": "</v>
      </c>
      <c r="S50" s="38">
        <f ca="1">IF(INDIRECT("Dashboard!L"&amp;((ROW()+1)/3+2))="","",INDIRECT("Dashboard!L"&amp;((ROW()+1)/3+2)))</f>
        <v>45077</v>
      </c>
      <c r="T50" s="116" t="str">
        <f ca="1">IF(C53="]);",LEFT(T49,2),T49)</f>
        <v>"},</v>
      </c>
      <c r="V50" s="32" t="str">
        <f t="shared" ca="1" si="9"/>
        <v>{"id": 47, "group":"4.3", "subgroup": "actual", "subgroupOrder":0, "className": "pink-white", "content": "Pending", "start": "2022-04-01", "end": "2023-05-31"},</v>
      </c>
      <c r="W50" s="37" t="s">
        <v>2</v>
      </c>
      <c r="X50" s="32" t="str">
        <f ca="1">G50&amp;" : "&amp;INDIRECT("Dashboard!G"&amp;((ROW()+1)/3+2))</f>
        <v>"4.3" : Deployment Procedure of the code</v>
      </c>
    </row>
    <row r="51" spans="1:24" ht="15" thickBot="1">
      <c r="A51" s="36"/>
      <c r="C51" s="28" t="str">
        <f ca="1">IF(OR(INDIRECT("Dashboard!B"&amp;(ROW()/3+2))&lt;&gt;"&gt;",AND(Q51="",S51="")),"//","")</f>
        <v/>
      </c>
      <c r="D51" s="43" t="str">
        <f t="shared" si="1"/>
        <v xml:space="preserve">{"id": </v>
      </c>
      <c r="E51" s="29">
        <f t="shared" si="2"/>
        <v>48</v>
      </c>
      <c r="F51" s="43" t="str">
        <f t="shared" si="10"/>
        <v>, "group":</v>
      </c>
      <c r="G51" s="43" t="str">
        <f ca="1">G50</f>
        <v>"4.3"</v>
      </c>
      <c r="H51" s="43" t="str">
        <f t="shared" si="11"/>
        <v>, "subgroup": "</v>
      </c>
      <c r="I51" s="43" t="s">
        <v>397</v>
      </c>
      <c r="J51" s="43" t="str">
        <f t="shared" si="4"/>
        <v>", "subgroupOrder":</v>
      </c>
      <c r="K51" s="43">
        <v>0</v>
      </c>
      <c r="L51" s="43" t="str">
        <f t="shared" si="5"/>
        <v>, "className": "</v>
      </c>
      <c r="M51" s="29" t="str">
        <f t="shared" si="13"/>
        <v>orange</v>
      </c>
      <c r="N51" s="43" t="str">
        <f t="shared" si="6"/>
        <v>", "content": "</v>
      </c>
      <c r="O51" s="49" t="s">
        <v>392</v>
      </c>
      <c r="P51" s="43" t="str">
        <f t="shared" si="7"/>
        <v>", "start": "</v>
      </c>
      <c r="Q51" s="44">
        <f ca="1">S50</f>
        <v>45077</v>
      </c>
      <c r="R51" s="43" t="str">
        <f t="shared" si="8"/>
        <v>", "end": "</v>
      </c>
      <c r="S51" s="113" t="str">
        <f ca="1">IF(INDIRECT("Dashboard!M"&amp;(ROW()/3+2))="","",INDIRECT("Dashboard!M"&amp;(ROW()/3+2)))</f>
        <v>Waiting for approval from LiteON</v>
      </c>
      <c r="T51" s="117" t="str">
        <f ca="1">IF(C53="]);",LEFT(T50,2),T50)</f>
        <v>"},</v>
      </c>
      <c r="V51" s="32" t="str">
        <f t="shared" ca="1" si="9"/>
        <v>{"id": 48, "group":"4.3", "subgroup": "actual", "subgroupOrder":0, "className": "orange", "content": "Validation", "start": "2023-05-31", "end": "Waiting for approval from LiteON"},</v>
      </c>
      <c r="W51" s="37" t="s">
        <v>2</v>
      </c>
    </row>
    <row r="52" spans="1:24">
      <c r="A52" s="36"/>
      <c r="C52" s="25"/>
      <c r="D52" s="41" t="str">
        <f t="shared" si="1"/>
        <v xml:space="preserve">{"id": </v>
      </c>
      <c r="E52" s="26">
        <f t="shared" si="2"/>
        <v>49</v>
      </c>
      <c r="F52" s="41" t="str">
        <f t="shared" si="10"/>
        <v>, "group":</v>
      </c>
      <c r="G52" s="111" t="str">
        <f ca="1">CHAR(34)&amp;INDIRECT("Dashboard!A"&amp;(ROW()-1)/3+3)&amp;CHAR(34)</f>
        <v>"4.4"</v>
      </c>
      <c r="H52" s="41" t="str">
        <f t="shared" si="11"/>
        <v>, "subgroup": "</v>
      </c>
      <c r="I52" s="41" t="s">
        <v>396</v>
      </c>
      <c r="J52" s="41" t="str">
        <f t="shared" si="4"/>
        <v>", "subgroupOrder":</v>
      </c>
      <c r="K52" s="41">
        <v>1</v>
      </c>
      <c r="L52" s="41" t="str">
        <f t="shared" si="5"/>
        <v>, "className": "</v>
      </c>
      <c r="M52" s="26" t="str">
        <f t="shared" si="13"/>
        <v>gray</v>
      </c>
      <c r="N52" s="41" t="str">
        <f t="shared" si="6"/>
        <v>", "content": "</v>
      </c>
      <c r="O52" s="40" t="s">
        <v>388</v>
      </c>
      <c r="P52" s="41" t="str">
        <f t="shared" si="7"/>
        <v>", "start": "</v>
      </c>
      <c r="Q52" s="42">
        <f ca="1">IF(INDIRECT("Dashboard!I"&amp;(ROW()-1)/3+3)="","",INDIRECT("Dashboard!I"&amp;(ROW()-1)/3+3))</f>
        <v>44652</v>
      </c>
      <c r="R52" s="41" t="str">
        <f t="shared" si="8"/>
        <v>", "end": "</v>
      </c>
      <c r="S52" s="42">
        <f ca="1">IF(INDIRECT("Dashboard!J"&amp;(ROW()-1)/3+3)="","",INDIRECT("Dashboard!J"&amp;(ROW()-1)/3+3))</f>
        <v>44773</v>
      </c>
      <c r="T52" s="118" t="str">
        <f ca="1">IF(C56="]);",LEFT(T51,2),T51)</f>
        <v>"},</v>
      </c>
      <c r="V52" s="32" t="str">
        <f t="shared" ca="1" si="9"/>
        <v>{"id": 49, "group":"4.4", "subgroup": "plan", "subgroupOrder":1, "className": "gray", "content": "Planned", "start": "2022-04-01", "end": "2022-07-31"},</v>
      </c>
      <c r="W52" s="37" t="s">
        <v>2</v>
      </c>
    </row>
    <row r="53" spans="1:24">
      <c r="A53" s="36"/>
      <c r="C53" s="31" t="str">
        <f ca="1">IF(AND(Q53="", S53=""),"//","")</f>
        <v/>
      </c>
      <c r="D53" s="37" t="str">
        <f t="shared" si="1"/>
        <v xml:space="preserve">{"id": </v>
      </c>
      <c r="E53" s="32">
        <f t="shared" si="2"/>
        <v>50</v>
      </c>
      <c r="F53" s="37" t="str">
        <f t="shared" si="10"/>
        <v>, "group":</v>
      </c>
      <c r="G53" s="37" t="str">
        <f ca="1">G52</f>
        <v>"4.4"</v>
      </c>
      <c r="H53" s="37" t="str">
        <f t="shared" si="11"/>
        <v>, "subgroup": "</v>
      </c>
      <c r="I53" s="37" t="s">
        <v>397</v>
      </c>
      <c r="J53" s="37" t="str">
        <f t="shared" si="4"/>
        <v>", "subgroupOrder":</v>
      </c>
      <c r="K53" s="37">
        <v>0</v>
      </c>
      <c r="L53" s="37" t="str">
        <f t="shared" si="5"/>
        <v>, "className": "</v>
      </c>
      <c r="M53" s="32" t="str">
        <f t="shared" ca="1" si="13"/>
        <v>pink-white</v>
      </c>
      <c r="N53" s="37" t="str">
        <f t="shared" si="6"/>
        <v>", "content": "</v>
      </c>
      <c r="O53" s="34" t="str">
        <f ca="1">IF(INDIRECT("Dashboard!P"&amp;((ROW()+1)/3+2))=1,"Completed",IF(INDIRECT("Dashboard!P"&amp;((ROW()+1)/3+2))="","","Pending"))</f>
        <v>Pending</v>
      </c>
      <c r="P53" s="37" t="str">
        <f t="shared" si="7"/>
        <v>", "start": "</v>
      </c>
      <c r="Q53" s="38">
        <f ca="1">IF(INDIRECT("Dashboard!K"&amp;((ROW()+1)/3+2))="","",INDIRECT("Dashboard!K"&amp;((ROW()+1)/3+2)))</f>
        <v>44652</v>
      </c>
      <c r="R53" s="37" t="str">
        <f t="shared" si="8"/>
        <v>", "end": "</v>
      </c>
      <c r="S53" s="38">
        <f ca="1">IF(INDIRECT("Dashboard!L"&amp;((ROW()+1)/3+2))="","",INDIRECT("Dashboard!L"&amp;((ROW()+1)/3+2)))</f>
        <v>45041</v>
      </c>
      <c r="T53" s="116" t="str">
        <f ca="1">IF(C56="]);",LEFT(T52,2),T52)</f>
        <v>"},</v>
      </c>
      <c r="V53" s="32" t="str">
        <f t="shared" ca="1" si="9"/>
        <v>{"id": 50, "group":"4.4", "subgroup": "actual", "subgroupOrder":0, "className": "pink-white", "content": "Pending", "start": "2022-04-01", "end": "2023-04-25"},</v>
      </c>
      <c r="W53" s="37" t="s">
        <v>2</v>
      </c>
      <c r="X53" s="32" t="str">
        <f ca="1">G53&amp;" : "&amp;INDIRECT("Dashboard!G"&amp;((ROW()+1)/3+2))</f>
        <v>"4.4" : Product usage guide with examples for all the functional usecases</v>
      </c>
    </row>
    <row r="54" spans="1:24" ht="15" thickBot="1">
      <c r="A54" s="36"/>
      <c r="C54" s="28" t="str">
        <f ca="1">IF(OR(INDIRECT("Dashboard!B"&amp;(ROW()/3+2))&lt;&gt;"&gt;",AND(Q54="",S54="")),"//","")</f>
        <v/>
      </c>
      <c r="D54" s="43" t="str">
        <f t="shared" si="1"/>
        <v xml:space="preserve">{"id": </v>
      </c>
      <c r="E54" s="29">
        <f t="shared" si="2"/>
        <v>51</v>
      </c>
      <c r="F54" s="43" t="str">
        <f t="shared" si="10"/>
        <v>, "group":</v>
      </c>
      <c r="G54" s="43" t="str">
        <f ca="1">G53</f>
        <v>"4.4"</v>
      </c>
      <c r="H54" s="43" t="str">
        <f t="shared" si="11"/>
        <v>, "subgroup": "</v>
      </c>
      <c r="I54" s="43" t="s">
        <v>397</v>
      </c>
      <c r="J54" s="43" t="str">
        <f t="shared" si="4"/>
        <v>", "subgroupOrder":</v>
      </c>
      <c r="K54" s="43">
        <v>0</v>
      </c>
      <c r="L54" s="43" t="str">
        <f t="shared" si="5"/>
        <v>, "className": "</v>
      </c>
      <c r="M54" s="29" t="str">
        <f t="shared" si="13"/>
        <v>orange</v>
      </c>
      <c r="N54" s="43" t="str">
        <f t="shared" si="6"/>
        <v>", "content": "</v>
      </c>
      <c r="O54" s="49" t="s">
        <v>392</v>
      </c>
      <c r="P54" s="43" t="str">
        <f t="shared" si="7"/>
        <v>", "start": "</v>
      </c>
      <c r="Q54" s="44">
        <f ca="1">S53</f>
        <v>45041</v>
      </c>
      <c r="R54" s="43" t="str">
        <f t="shared" si="8"/>
        <v>", "end": "</v>
      </c>
      <c r="S54" s="113" t="str">
        <f ca="1">IF(INDIRECT("Dashboard!M"&amp;(ROW()/3+2))="","",INDIRECT("Dashboard!M"&amp;(ROW()/3+2)))</f>
        <v>Waiting for approval from LiteON</v>
      </c>
      <c r="T54" s="117" t="str">
        <f ca="1">IF(C56="]);",LEFT(T53,2),T53)</f>
        <v>"},</v>
      </c>
      <c r="V54" s="32" t="str">
        <f t="shared" ca="1" si="9"/>
        <v>{"id": 51, "group":"4.4", "subgroup": "actual", "subgroupOrder":0, "className": "orange", "content": "Validation", "start": "2023-04-25", "end": "Waiting for approval from LiteON"},</v>
      </c>
      <c r="W54" s="37" t="s">
        <v>2</v>
      </c>
    </row>
    <row r="55" spans="1:24">
      <c r="A55" s="36"/>
      <c r="C55" s="25"/>
      <c r="D55" s="41" t="str">
        <f t="shared" si="1"/>
        <v xml:space="preserve">{"id": </v>
      </c>
      <c r="E55" s="26">
        <f t="shared" si="2"/>
        <v>52</v>
      </c>
      <c r="F55" s="41" t="str">
        <f t="shared" si="10"/>
        <v>, "group":</v>
      </c>
      <c r="G55" s="111" t="str">
        <f ca="1">CHAR(34)&amp;INDIRECT("Dashboard!A"&amp;(ROW()-1)/3+3)&amp;CHAR(34)</f>
        <v>"4.5"</v>
      </c>
      <c r="H55" s="41" t="str">
        <f t="shared" si="11"/>
        <v>, "subgroup": "</v>
      </c>
      <c r="I55" s="41" t="s">
        <v>396</v>
      </c>
      <c r="J55" s="41" t="str">
        <f t="shared" si="4"/>
        <v>", "subgroupOrder":</v>
      </c>
      <c r="K55" s="41">
        <v>1</v>
      </c>
      <c r="L55" s="41" t="str">
        <f t="shared" si="5"/>
        <v>, "className": "</v>
      </c>
      <c r="M55" s="26" t="str">
        <f t="shared" si="13"/>
        <v>gray</v>
      </c>
      <c r="N55" s="41" t="str">
        <f t="shared" si="6"/>
        <v>", "content": "</v>
      </c>
      <c r="O55" s="40" t="s">
        <v>388</v>
      </c>
      <c r="P55" s="41" t="str">
        <f t="shared" si="7"/>
        <v>", "start": "</v>
      </c>
      <c r="Q55" s="42">
        <f ca="1">IF(INDIRECT("Dashboard!I"&amp;(ROW()-1)/3+3)="","",INDIRECT("Dashboard!I"&amp;(ROW()-1)/3+3))</f>
        <v>44652</v>
      </c>
      <c r="R55" s="41" t="str">
        <f t="shared" si="8"/>
        <v>", "end": "</v>
      </c>
      <c r="S55" s="42">
        <f ca="1">IF(INDIRECT("Dashboard!J"&amp;(ROW()-1)/3+3)="","",INDIRECT("Dashboard!J"&amp;(ROW()-1)/3+3))</f>
        <v>44773</v>
      </c>
      <c r="T55" s="118" t="str">
        <f ca="1">IF(C59="]);",LEFT(T54,2),T54)</f>
        <v>"},</v>
      </c>
      <c r="V55" s="32" t="str">
        <f t="shared" ca="1" si="9"/>
        <v>{"id": 52, "group":"4.5", "subgroup": "plan", "subgroupOrder":1, "className": "gray", "content": "Planned", "start": "2022-04-01", "end": "2022-07-31"},</v>
      </c>
      <c r="W55" s="37" t="s">
        <v>2</v>
      </c>
    </row>
    <row r="56" spans="1:24">
      <c r="A56" s="36"/>
      <c r="C56" s="31" t="str">
        <f ca="1">IF(AND(Q56="", S56=""),"//","")</f>
        <v/>
      </c>
      <c r="D56" s="37" t="str">
        <f t="shared" si="1"/>
        <v xml:space="preserve">{"id": </v>
      </c>
      <c r="E56" s="32">
        <f t="shared" si="2"/>
        <v>53</v>
      </c>
      <c r="F56" s="37" t="str">
        <f t="shared" si="10"/>
        <v>, "group":</v>
      </c>
      <c r="G56" s="37" t="str">
        <f ca="1">G55</f>
        <v>"4.5"</v>
      </c>
      <c r="H56" s="37" t="str">
        <f t="shared" si="11"/>
        <v>, "subgroup": "</v>
      </c>
      <c r="I56" s="37" t="s">
        <v>397</v>
      </c>
      <c r="J56" s="37" t="str">
        <f t="shared" si="4"/>
        <v>", "subgroupOrder":</v>
      </c>
      <c r="K56" s="37">
        <v>0</v>
      </c>
      <c r="L56" s="37" t="str">
        <f t="shared" si="5"/>
        <v>, "className": "</v>
      </c>
      <c r="M56" s="32" t="str">
        <f t="shared" ca="1" si="13"/>
        <v>pink-white</v>
      </c>
      <c r="N56" s="37" t="str">
        <f t="shared" si="6"/>
        <v>", "content": "</v>
      </c>
      <c r="O56" s="34" t="str">
        <f ca="1">IF(INDIRECT("Dashboard!P"&amp;((ROW()+1)/3+2))=1,"Completed",IF(INDIRECT("Dashboard!P"&amp;((ROW()+1)/3+2))="","","Pending"))</f>
        <v>Pending</v>
      </c>
      <c r="P56" s="37" t="str">
        <f t="shared" si="7"/>
        <v>", "start": "</v>
      </c>
      <c r="Q56" s="38">
        <f ca="1">IF(INDIRECT("Dashboard!K"&amp;((ROW()+1)/3+2))="","",INDIRECT("Dashboard!K"&amp;((ROW()+1)/3+2)))</f>
        <v>44652</v>
      </c>
      <c r="R56" s="37" t="str">
        <f t="shared" si="8"/>
        <v>", "end": "</v>
      </c>
      <c r="S56" s="38">
        <f ca="1">IF(INDIRECT("Dashboard!L"&amp;((ROW()+1)/3+2))="","",INDIRECT("Dashboard!L"&amp;((ROW()+1)/3+2)))</f>
        <v>45061</v>
      </c>
      <c r="T56" s="116" t="str">
        <f ca="1">IF(C59="]);",LEFT(T55,2),T55)</f>
        <v>"},</v>
      </c>
      <c r="V56" s="32" t="str">
        <f t="shared" ca="1" si="9"/>
        <v>{"id": 53, "group":"4.5", "subgroup": "actual", "subgroupOrder":0, "className": "pink-white", "content": "Pending", "start": "2022-04-01", "end": "2023-05-15"},</v>
      </c>
      <c r="W56" s="37" t="s">
        <v>2</v>
      </c>
      <c r="X56" s="32" t="str">
        <f ca="1">G56&amp;" : "&amp;INDIRECT("Dashboard!G"&amp;((ROW()+1)/3+2))</f>
        <v xml:space="preserve">"4.5" : Test report </v>
      </c>
    </row>
    <row r="57" spans="1:24" ht="15" thickBot="1">
      <c r="A57" s="36"/>
      <c r="C57" s="28" t="str">
        <f ca="1">IF(OR(INDIRECT("Dashboard!B"&amp;(ROW()/3+2))&lt;&gt;"&gt;",AND(Q57="",S57="")),"//","")</f>
        <v/>
      </c>
      <c r="D57" s="43" t="str">
        <f t="shared" si="1"/>
        <v xml:space="preserve">{"id": </v>
      </c>
      <c r="E57" s="29">
        <f t="shared" si="2"/>
        <v>54</v>
      </c>
      <c r="F57" s="43" t="str">
        <f t="shared" si="10"/>
        <v>, "group":</v>
      </c>
      <c r="G57" s="43" t="str">
        <f ca="1">G56</f>
        <v>"4.5"</v>
      </c>
      <c r="H57" s="43" t="str">
        <f t="shared" si="11"/>
        <v>, "subgroup": "</v>
      </c>
      <c r="I57" s="43" t="s">
        <v>397</v>
      </c>
      <c r="J57" s="43" t="str">
        <f t="shared" si="4"/>
        <v>", "subgroupOrder":</v>
      </c>
      <c r="K57" s="43">
        <v>0</v>
      </c>
      <c r="L57" s="43" t="str">
        <f t="shared" si="5"/>
        <v>, "className": "</v>
      </c>
      <c r="M57" s="29" t="str">
        <f t="shared" si="13"/>
        <v>orange</v>
      </c>
      <c r="N57" s="43" t="str">
        <f t="shared" si="6"/>
        <v>", "content": "</v>
      </c>
      <c r="O57" s="49" t="s">
        <v>392</v>
      </c>
      <c r="P57" s="43" t="str">
        <f t="shared" si="7"/>
        <v>", "start": "</v>
      </c>
      <c r="Q57" s="44">
        <f ca="1">S56</f>
        <v>45061</v>
      </c>
      <c r="R57" s="43" t="str">
        <f t="shared" si="8"/>
        <v>", "end": "</v>
      </c>
      <c r="S57" s="113" t="str">
        <f ca="1">IF(INDIRECT("Dashboard!M"&amp;(ROW()/3+2))="","",INDIRECT("Dashboard!M"&amp;(ROW()/3+2)))</f>
        <v>Waiting for approval from LiteON</v>
      </c>
      <c r="T57" s="117" t="str">
        <f ca="1">IF(C59="]);",LEFT(T56,2),T56)</f>
        <v>"},</v>
      </c>
      <c r="V57" s="32" t="str">
        <f t="shared" ca="1" si="9"/>
        <v>{"id": 54, "group":"4.5", "subgroup": "actual", "subgroupOrder":0, "className": "orange", "content": "Validation", "start": "2023-05-15", "end": "Waiting for approval from LiteON"},</v>
      </c>
      <c r="W57" s="37" t="s">
        <v>2</v>
      </c>
    </row>
    <row r="58" spans="1:24">
      <c r="A58" s="36"/>
      <c r="C58" s="25"/>
      <c r="D58" s="41" t="str">
        <f t="shared" si="1"/>
        <v xml:space="preserve">{"id": </v>
      </c>
      <c r="E58" s="26">
        <f t="shared" si="2"/>
        <v>55</v>
      </c>
      <c r="F58" s="41" t="str">
        <f t="shared" si="10"/>
        <v>, "group":</v>
      </c>
      <c r="G58" s="111" t="str">
        <f ca="1">CHAR(34)&amp;INDIRECT("Dashboard!A"&amp;(ROW()-1)/3+3)&amp;CHAR(34)</f>
        <v>"5"</v>
      </c>
      <c r="H58" s="41" t="str">
        <f t="shared" si="11"/>
        <v>, "subgroup": "</v>
      </c>
      <c r="I58" s="41" t="s">
        <v>396</v>
      </c>
      <c r="J58" s="41" t="str">
        <f t="shared" si="4"/>
        <v>", "subgroupOrder":</v>
      </c>
      <c r="K58" s="41">
        <v>1</v>
      </c>
      <c r="L58" s="41" t="str">
        <f t="shared" si="5"/>
        <v>, "className": "</v>
      </c>
      <c r="M58" s="26" t="str">
        <f t="shared" si="13"/>
        <v>gray</v>
      </c>
      <c r="N58" s="41" t="str">
        <f t="shared" si="6"/>
        <v>", "content": "</v>
      </c>
      <c r="O58" s="40" t="s">
        <v>388</v>
      </c>
      <c r="P58" s="41" t="str">
        <f t="shared" si="7"/>
        <v>", "start": "</v>
      </c>
      <c r="Q58" s="42">
        <f ca="1">IF(INDIRECT("Dashboard!I"&amp;(ROW()-1)/3+3)="","",INDIRECT("Dashboard!I"&amp;(ROW()-1)/3+3))</f>
        <v>44652</v>
      </c>
      <c r="R58" s="41" t="str">
        <f t="shared" si="8"/>
        <v>", "end": "</v>
      </c>
      <c r="S58" s="42">
        <f ca="1">IF(INDIRECT("Dashboard!J"&amp;(ROW()-1)/3+3)="","",INDIRECT("Dashboard!J"&amp;(ROW()-1)/3+3))</f>
        <v>44924</v>
      </c>
      <c r="T58" s="118" t="str">
        <f ca="1">IF(C62="]);",LEFT(T57,2),T57)</f>
        <v>"},</v>
      </c>
      <c r="V58" s="32" t="str">
        <f t="shared" ca="1" si="9"/>
        <v>{"id": 55, "group":"5", "subgroup": "plan", "subgroupOrder":1, "className": "gray", "content": "Planned", "start": "2022-04-01", "end": "2022-12-29"},</v>
      </c>
      <c r="W58" s="37" t="s">
        <v>2</v>
      </c>
    </row>
    <row r="59" spans="1:24">
      <c r="A59" s="36"/>
      <c r="C59" s="31" t="str">
        <f ca="1">IF(AND(Q59="", S59=""),"//","")</f>
        <v/>
      </c>
      <c r="D59" s="37" t="str">
        <f t="shared" si="1"/>
        <v xml:space="preserve">{"id": </v>
      </c>
      <c r="E59" s="32">
        <f t="shared" si="2"/>
        <v>56</v>
      </c>
      <c r="F59" s="37" t="str">
        <f t="shared" si="10"/>
        <v>, "group":</v>
      </c>
      <c r="G59" s="37" t="str">
        <f ca="1">G58</f>
        <v>"5"</v>
      </c>
      <c r="H59" s="37" t="str">
        <f t="shared" si="11"/>
        <v>, "subgroup": "</v>
      </c>
      <c r="I59" s="37" t="s">
        <v>397</v>
      </c>
      <c r="J59" s="37" t="str">
        <f t="shared" si="4"/>
        <v>", "subgroupOrder":</v>
      </c>
      <c r="K59" s="37">
        <v>0</v>
      </c>
      <c r="L59" s="37" t="str">
        <f t="shared" si="5"/>
        <v>, "className": "</v>
      </c>
      <c r="M59" s="32" t="str">
        <f t="shared" ca="1" si="13"/>
        <v>pink-white</v>
      </c>
      <c r="N59" s="37" t="str">
        <f t="shared" si="6"/>
        <v>", "content": "</v>
      </c>
      <c r="O59" s="34" t="str">
        <f ca="1">IF(INDIRECT("Dashboard!P"&amp;((ROW()+1)/3+2))=1,"Completed",IF(INDIRECT("Dashboard!P"&amp;((ROW()+1)/3+2))="","","Pending"))</f>
        <v>Pending</v>
      </c>
      <c r="P59" s="37" t="str">
        <f t="shared" si="7"/>
        <v>", "start": "</v>
      </c>
      <c r="Q59" s="38">
        <f ca="1">IF(INDIRECT("Dashboard!K"&amp;((ROW()+1)/3+2))="","",INDIRECT("Dashboard!K"&amp;((ROW()+1)/3+2)))</f>
        <v>44652</v>
      </c>
      <c r="R59" s="37" t="str">
        <f t="shared" si="8"/>
        <v>", "end": "</v>
      </c>
      <c r="S59" s="38">
        <f ca="1">IF(INDIRECT("Dashboard!L"&amp;((ROW()+1)/3+2))="","",INDIRECT("Dashboard!L"&amp;((ROW()+1)/3+2)))</f>
        <v>45077</v>
      </c>
      <c r="T59" s="116" t="str">
        <f ca="1">IF(C62="]);",LEFT(T58,2),T58)</f>
        <v>"},</v>
      </c>
      <c r="V59" s="32" t="str">
        <f t="shared" ca="1" si="9"/>
        <v>{"id": 56, "group":"5", "subgroup": "actual", "subgroupOrder":0, "className": "pink-white", "content": "Pending", "start": "2022-04-01", "end": "2023-05-31"},</v>
      </c>
      <c r="W59" s="37" t="s">
        <v>2</v>
      </c>
      <c r="X59" s="32" t="str">
        <f ca="1">G59&amp;" : "&amp;INDIRECT("Dashboard!G"&amp;((ROW()+1)/3+2))</f>
        <v>"5" : M4. Data Fusion Engine Framework and integration</v>
      </c>
    </row>
    <row r="60" spans="1:24" ht="15" thickBot="1">
      <c r="A60" s="36"/>
      <c r="C60" s="28" t="str">
        <f ca="1">IF(OR(INDIRECT("Dashboard!B"&amp;(ROW()/3+2))&lt;&gt;"&gt;",AND(Q60="",S60="")),"//","")</f>
        <v>//</v>
      </c>
      <c r="D60" s="43" t="str">
        <f t="shared" si="1"/>
        <v xml:space="preserve">{"id": </v>
      </c>
      <c r="E60" s="29">
        <f t="shared" si="2"/>
        <v>57</v>
      </c>
      <c r="F60" s="43" t="str">
        <f t="shared" si="10"/>
        <v>, "group":</v>
      </c>
      <c r="G60" s="43" t="str">
        <f ca="1">G59</f>
        <v>"5"</v>
      </c>
      <c r="H60" s="43" t="str">
        <f t="shared" si="11"/>
        <v>, "subgroup": "</v>
      </c>
      <c r="I60" s="43" t="s">
        <v>397</v>
      </c>
      <c r="J60" s="43" t="str">
        <f t="shared" si="4"/>
        <v>", "subgroupOrder":</v>
      </c>
      <c r="K60" s="43">
        <v>0</v>
      </c>
      <c r="L60" s="43" t="str">
        <f t="shared" si="5"/>
        <v>, "className": "</v>
      </c>
      <c r="M60" s="29" t="str">
        <f t="shared" si="13"/>
        <v>orange</v>
      </c>
      <c r="N60" s="43" t="str">
        <f t="shared" si="6"/>
        <v>", "content": "</v>
      </c>
      <c r="O60" s="49" t="s">
        <v>392</v>
      </c>
      <c r="P60" s="43" t="str">
        <f t="shared" si="7"/>
        <v>", "start": "</v>
      </c>
      <c r="Q60" s="44">
        <f ca="1">S59</f>
        <v>45077</v>
      </c>
      <c r="R60" s="43" t="str">
        <f t="shared" si="8"/>
        <v>", "end": "</v>
      </c>
      <c r="S60" s="113">
        <f ca="1">IF(INDIRECT("Dashboard!M"&amp;(ROW()/3+2))="","",INDIRECT("Dashboard!M"&amp;(ROW()/3+2)))</f>
        <v>45096</v>
      </c>
      <c r="T60" s="117" t="str">
        <f ca="1">IF(C62="]);",LEFT(T59,2),T59)</f>
        <v>"},</v>
      </c>
      <c r="V60" s="32" t="str">
        <f t="shared" ca="1" si="9"/>
        <v/>
      </c>
      <c r="W60" s="37" t="s">
        <v>2</v>
      </c>
    </row>
    <row r="61" spans="1:24">
      <c r="A61" s="36"/>
      <c r="C61" s="25"/>
      <c r="D61" s="41" t="str">
        <f t="shared" si="1"/>
        <v xml:space="preserve">{"id": </v>
      </c>
      <c r="E61" s="26">
        <f t="shared" si="2"/>
        <v>58</v>
      </c>
      <c r="F61" s="41" t="str">
        <f t="shared" si="10"/>
        <v>, "group":</v>
      </c>
      <c r="G61" s="111" t="str">
        <f ca="1">CHAR(34)&amp;INDIRECT("Dashboard!A"&amp;(ROW()-1)/3+3)&amp;CHAR(34)</f>
        <v>"5.1"</v>
      </c>
      <c r="H61" s="41" t="str">
        <f t="shared" si="11"/>
        <v>, "subgroup": "</v>
      </c>
      <c r="I61" s="41" t="s">
        <v>396</v>
      </c>
      <c r="J61" s="41" t="str">
        <f t="shared" si="4"/>
        <v>", "subgroupOrder":</v>
      </c>
      <c r="K61" s="41">
        <v>1</v>
      </c>
      <c r="L61" s="41" t="str">
        <f t="shared" si="5"/>
        <v>, "className": "</v>
      </c>
      <c r="M61" s="26" t="str">
        <f t="shared" si="13"/>
        <v>gray</v>
      </c>
      <c r="N61" s="41" t="str">
        <f t="shared" si="6"/>
        <v>", "content": "</v>
      </c>
      <c r="O61" s="40" t="s">
        <v>388</v>
      </c>
      <c r="P61" s="41" t="str">
        <f t="shared" si="7"/>
        <v>", "start": "</v>
      </c>
      <c r="Q61" s="42">
        <f ca="1">IF(INDIRECT("Dashboard!I"&amp;(ROW()-1)/3+3)="","",INDIRECT("Dashboard!I"&amp;(ROW()-1)/3+3))</f>
        <v>44652</v>
      </c>
      <c r="R61" s="41" t="str">
        <f t="shared" si="8"/>
        <v>", "end": "</v>
      </c>
      <c r="S61" s="42">
        <f ca="1">IF(INDIRECT("Dashboard!J"&amp;(ROW()-1)/3+3)="","",INDIRECT("Dashboard!J"&amp;(ROW()-1)/3+3))</f>
        <v>44924</v>
      </c>
      <c r="T61" s="118" t="str">
        <f ca="1">IF(C65="]);",LEFT(T60,2),T60)</f>
        <v>"},</v>
      </c>
      <c r="V61" s="32" t="str">
        <f t="shared" ca="1" si="9"/>
        <v>{"id": 58, "group":"5.1", "subgroup": "plan", "subgroupOrder":1, "className": "gray", "content": "Planned", "start": "2022-04-01", "end": "2022-12-29"},</v>
      </c>
      <c r="W61" s="37" t="s">
        <v>2</v>
      </c>
    </row>
    <row r="62" spans="1:24">
      <c r="A62" s="36"/>
      <c r="C62" s="31" t="str">
        <f ca="1">IF(AND(Q62="", S62=""),"//","")</f>
        <v/>
      </c>
      <c r="D62" s="37" t="str">
        <f t="shared" si="1"/>
        <v xml:space="preserve">{"id": </v>
      </c>
      <c r="E62" s="32">
        <f t="shared" si="2"/>
        <v>59</v>
      </c>
      <c r="F62" s="37" t="str">
        <f t="shared" si="10"/>
        <v>, "group":</v>
      </c>
      <c r="G62" s="37" t="str">
        <f ca="1">G61</f>
        <v>"5.1"</v>
      </c>
      <c r="H62" s="37" t="str">
        <f t="shared" si="11"/>
        <v>, "subgroup": "</v>
      </c>
      <c r="I62" s="37" t="s">
        <v>397</v>
      </c>
      <c r="J62" s="37" t="str">
        <f t="shared" si="4"/>
        <v>", "subgroupOrder":</v>
      </c>
      <c r="K62" s="37">
        <v>0</v>
      </c>
      <c r="L62" s="37" t="str">
        <f t="shared" si="5"/>
        <v>, "className": "</v>
      </c>
      <c r="M62" s="32" t="str">
        <f t="shared" ca="1" si="13"/>
        <v>green</v>
      </c>
      <c r="N62" s="37" t="str">
        <f t="shared" si="6"/>
        <v>", "content": "</v>
      </c>
      <c r="O62" s="34" t="str">
        <f ca="1">IF(INDIRECT("Dashboard!P"&amp;((ROW()+1)/3+2))=1,"Completed",IF(INDIRECT("Dashboard!P"&amp;((ROW()+1)/3+2))="","","Pending"))</f>
        <v>Completed</v>
      </c>
      <c r="P62" s="37" t="str">
        <f t="shared" si="7"/>
        <v>", "start": "</v>
      </c>
      <c r="Q62" s="38">
        <f ca="1">IF(INDIRECT("Dashboard!K"&amp;((ROW()+1)/3+2))="","",INDIRECT("Dashboard!K"&amp;((ROW()+1)/3+2)))</f>
        <v>44652</v>
      </c>
      <c r="R62" s="37" t="str">
        <f t="shared" si="8"/>
        <v>", "end": "</v>
      </c>
      <c r="S62" s="38">
        <f ca="1">IF(INDIRECT("Dashboard!L"&amp;((ROW()+1)/3+2))="","",INDIRECT("Dashboard!L"&amp;((ROW()+1)/3+2)))</f>
        <v>44958</v>
      </c>
      <c r="T62" s="116" t="str">
        <f ca="1">IF(C65="]);",LEFT(T61,2),T61)</f>
        <v>"},</v>
      </c>
      <c r="V62" s="32" t="str">
        <f t="shared" ca="1" si="9"/>
        <v>{"id": 59, "group":"5.1", "subgroup": "actual", "subgroupOrder":0, "className": "green", "content": "Completed", "start": "2022-04-01", "end": "2023-02-01"},</v>
      </c>
      <c r="W62" s="37" t="s">
        <v>2</v>
      </c>
      <c r="X62" s="32" t="str">
        <f ca="1">G62&amp;" : "&amp;INDIRECT("Dashboard!G"&amp;((ROW()+1)/3+2))</f>
        <v>"5.1" : (V1) Technical design document explaining the data schema and algorithm</v>
      </c>
    </row>
    <row r="63" spans="1:24" ht="15" thickBot="1">
      <c r="A63" s="36"/>
      <c r="C63" s="28" t="str">
        <f ca="1">IF(OR(INDIRECT("Dashboard!B"&amp;(ROW()/3+2))&lt;&gt;"&gt;",AND(Q63="",S63="")),"//","")</f>
        <v/>
      </c>
      <c r="D63" s="43" t="str">
        <f t="shared" si="1"/>
        <v xml:space="preserve">{"id": </v>
      </c>
      <c r="E63" s="29">
        <f t="shared" si="2"/>
        <v>60</v>
      </c>
      <c r="F63" s="43" t="str">
        <f t="shared" si="10"/>
        <v>, "group":</v>
      </c>
      <c r="G63" s="43" t="str">
        <f ca="1">G62</f>
        <v>"5.1"</v>
      </c>
      <c r="H63" s="43" t="str">
        <f t="shared" si="11"/>
        <v>, "subgroup": "</v>
      </c>
      <c r="I63" s="43" t="s">
        <v>397</v>
      </c>
      <c r="J63" s="43" t="str">
        <f t="shared" si="4"/>
        <v>", "subgroupOrder":</v>
      </c>
      <c r="K63" s="43">
        <v>0</v>
      </c>
      <c r="L63" s="43" t="str">
        <f t="shared" si="5"/>
        <v>, "className": "</v>
      </c>
      <c r="M63" s="29" t="str">
        <f t="shared" si="13"/>
        <v>orange</v>
      </c>
      <c r="N63" s="43" t="str">
        <f t="shared" si="6"/>
        <v>", "content": "</v>
      </c>
      <c r="O63" s="49" t="s">
        <v>392</v>
      </c>
      <c r="P63" s="43" t="str">
        <f t="shared" si="7"/>
        <v>", "start": "</v>
      </c>
      <c r="Q63" s="44">
        <f ca="1">S62</f>
        <v>44958</v>
      </c>
      <c r="R63" s="43" t="str">
        <f t="shared" si="8"/>
        <v>", "end": "</v>
      </c>
      <c r="S63" s="113">
        <f ca="1">IF(INDIRECT("Dashboard!M"&amp;(ROW()/3+2))="","",INDIRECT("Dashboard!M"&amp;(ROW()/3+2)))</f>
        <v>45041</v>
      </c>
      <c r="T63" s="117" t="str">
        <f ca="1">IF(C65="]);",LEFT(T62,2),T62)</f>
        <v>"},</v>
      </c>
      <c r="V63" s="32" t="str">
        <f t="shared" ca="1" si="9"/>
        <v>{"id": 60, "group":"5.1", "subgroup": "actual", "subgroupOrder":0, "className": "orange", "content": "Validation", "start": "2023-02-01", "end": "2023-04-25"},</v>
      </c>
      <c r="W63" s="37" t="s">
        <v>2</v>
      </c>
    </row>
    <row r="64" spans="1:24">
      <c r="A64" s="36"/>
      <c r="C64" s="25"/>
      <c r="D64" s="41" t="str">
        <f t="shared" si="1"/>
        <v xml:space="preserve">{"id": </v>
      </c>
      <c r="E64" s="26">
        <f t="shared" si="2"/>
        <v>61</v>
      </c>
      <c r="F64" s="41" t="str">
        <f t="shared" si="10"/>
        <v>, "group":</v>
      </c>
      <c r="G64" s="111" t="str">
        <f ca="1">CHAR(34)&amp;INDIRECT("Dashboard!A"&amp;(ROW()-1)/3+3)&amp;CHAR(34)</f>
        <v>"5.2"</v>
      </c>
      <c r="H64" s="41" t="str">
        <f t="shared" si="11"/>
        <v>, "subgroup": "</v>
      </c>
      <c r="I64" s="41" t="s">
        <v>396</v>
      </c>
      <c r="J64" s="41" t="str">
        <f t="shared" si="4"/>
        <v>", "subgroupOrder":</v>
      </c>
      <c r="K64" s="41">
        <v>1</v>
      </c>
      <c r="L64" s="41" t="str">
        <f t="shared" si="5"/>
        <v>, "className": "</v>
      </c>
      <c r="M64" s="26" t="str">
        <f t="shared" si="13"/>
        <v>gray</v>
      </c>
      <c r="N64" s="41" t="str">
        <f t="shared" si="6"/>
        <v>", "content": "</v>
      </c>
      <c r="O64" s="40" t="s">
        <v>388</v>
      </c>
      <c r="P64" s="41" t="str">
        <f t="shared" si="7"/>
        <v>", "start": "</v>
      </c>
      <c r="Q64" s="42">
        <f ca="1">IF(INDIRECT("Dashboard!I"&amp;(ROW()-1)/3+3)="","",INDIRECT("Dashboard!I"&amp;(ROW()-1)/3+3))</f>
        <v>44652</v>
      </c>
      <c r="R64" s="41" t="str">
        <f t="shared" si="8"/>
        <v>", "end": "</v>
      </c>
      <c r="S64" s="42">
        <f ca="1">IF(INDIRECT("Dashboard!J"&amp;(ROW()-1)/3+3)="","",INDIRECT("Dashboard!J"&amp;(ROW()-1)/3+3))</f>
        <v>44924</v>
      </c>
      <c r="T64" s="118" t="str">
        <f ca="1">IF(C68="]);",LEFT(T63,2),T63)</f>
        <v>"},</v>
      </c>
      <c r="V64" s="32" t="str">
        <f t="shared" ca="1" si="9"/>
        <v>{"id": 61, "group":"5.2", "subgroup": "plan", "subgroupOrder":1, "className": "gray", "content": "Planned", "start": "2022-04-01", "end": "2022-12-29"},</v>
      </c>
      <c r="W64" s="37" t="s">
        <v>2</v>
      </c>
    </row>
    <row r="65" spans="1:24">
      <c r="A65" s="36"/>
      <c r="C65" s="31" t="str">
        <f ca="1">IF(AND(Q65="", S65=""),"//","")</f>
        <v/>
      </c>
      <c r="D65" s="37" t="str">
        <f t="shared" si="1"/>
        <v xml:space="preserve">{"id": </v>
      </c>
      <c r="E65" s="32">
        <f t="shared" si="2"/>
        <v>62</v>
      </c>
      <c r="F65" s="37" t="str">
        <f t="shared" si="10"/>
        <v>, "group":</v>
      </c>
      <c r="G65" s="37" t="str">
        <f ca="1">G64</f>
        <v>"5.2"</v>
      </c>
      <c r="H65" s="37" t="str">
        <f t="shared" si="11"/>
        <v>, "subgroup": "</v>
      </c>
      <c r="I65" s="37" t="s">
        <v>397</v>
      </c>
      <c r="J65" s="37" t="str">
        <f t="shared" si="4"/>
        <v>", "subgroupOrder":</v>
      </c>
      <c r="K65" s="37">
        <v>0</v>
      </c>
      <c r="L65" s="37" t="str">
        <f t="shared" si="5"/>
        <v>, "className": "</v>
      </c>
      <c r="M65" s="32" t="str">
        <f t="shared" ca="1" si="13"/>
        <v>pink-white</v>
      </c>
      <c r="N65" s="37" t="str">
        <f t="shared" si="6"/>
        <v>", "content": "</v>
      </c>
      <c r="O65" s="34" t="str">
        <f ca="1">IF(INDIRECT("Dashboard!P"&amp;((ROW()+1)/3+2))=1,"Completed",IF(INDIRECT("Dashboard!P"&amp;((ROW()+1)/3+2))="","","Pending"))</f>
        <v>Pending</v>
      </c>
      <c r="P65" s="37" t="str">
        <f t="shared" si="7"/>
        <v>", "start": "</v>
      </c>
      <c r="Q65" s="38">
        <f ca="1">IF(INDIRECT("Dashboard!K"&amp;((ROW()+1)/3+2))="","",INDIRECT("Dashboard!K"&amp;((ROW()+1)/3+2)))</f>
        <v>44652</v>
      </c>
      <c r="R65" s="37" t="str">
        <f t="shared" si="8"/>
        <v>", "end": "</v>
      </c>
      <c r="S65" s="38">
        <f ca="1">IF(INDIRECT("Dashboard!L"&amp;((ROW()+1)/3+2))="","",INDIRECT("Dashboard!L"&amp;((ROW()+1)/3+2)))</f>
        <v>45041</v>
      </c>
      <c r="T65" s="116" t="str">
        <f ca="1">IF(C68="]);",LEFT(T64,2),T64)</f>
        <v>"},</v>
      </c>
      <c r="V65" s="32" t="str">
        <f t="shared" ca="1" si="9"/>
        <v>{"id": 62, "group":"5.2", "subgroup": "actual", "subgroupOrder":0, "className": "pink-white", "content": "Pending", "start": "2022-04-01", "end": "2023-04-25"},</v>
      </c>
      <c r="W65" s="37" t="s">
        <v>2</v>
      </c>
      <c r="X65" s="32" t="str">
        <f ca="1">G65&amp;" : "&amp;INDIRECT("Dashboard!G"&amp;((ROW()+1)/3+2))</f>
        <v>"5.2" : (V2) Technical design document explaining the data schema and algorithm</v>
      </c>
    </row>
    <row r="66" spans="1:24" ht="15" thickBot="1">
      <c r="A66" s="36"/>
      <c r="C66" s="28" t="str">
        <f ca="1">IF(OR(INDIRECT("Dashboard!B"&amp;(ROW()/3+2))&lt;&gt;"&gt;",AND(Q66="",S66="")),"//","")</f>
        <v/>
      </c>
      <c r="D66" s="43" t="str">
        <f t="shared" si="1"/>
        <v xml:space="preserve">{"id": </v>
      </c>
      <c r="E66" s="29">
        <f t="shared" si="2"/>
        <v>63</v>
      </c>
      <c r="F66" s="43" t="str">
        <f t="shared" si="10"/>
        <v>, "group":</v>
      </c>
      <c r="G66" s="43" t="str">
        <f ca="1">G65</f>
        <v>"5.2"</v>
      </c>
      <c r="H66" s="43" t="str">
        <f t="shared" si="11"/>
        <v>, "subgroup": "</v>
      </c>
      <c r="I66" s="43" t="s">
        <v>397</v>
      </c>
      <c r="J66" s="43" t="str">
        <f t="shared" si="4"/>
        <v>", "subgroupOrder":</v>
      </c>
      <c r="K66" s="43">
        <v>0</v>
      </c>
      <c r="L66" s="43" t="str">
        <f t="shared" si="5"/>
        <v>, "className": "</v>
      </c>
      <c r="M66" s="29" t="str">
        <f t="shared" si="13"/>
        <v>orange</v>
      </c>
      <c r="N66" s="43" t="str">
        <f t="shared" si="6"/>
        <v>", "content": "</v>
      </c>
      <c r="O66" s="49" t="s">
        <v>392</v>
      </c>
      <c r="P66" s="43" t="str">
        <f t="shared" si="7"/>
        <v>", "start": "</v>
      </c>
      <c r="Q66" s="44">
        <f ca="1">S65</f>
        <v>45041</v>
      </c>
      <c r="R66" s="43" t="str">
        <f t="shared" si="8"/>
        <v>", "end": "</v>
      </c>
      <c r="S66" s="113" t="str">
        <f ca="1">IF(INDIRECT("Dashboard!M"&amp;(ROW()/3+2))="","",INDIRECT("Dashboard!M"&amp;(ROW()/3+2)))</f>
        <v>v2: Waiting for approval from LiteON</v>
      </c>
      <c r="T66" s="117" t="str">
        <f ca="1">IF(C68="]);",LEFT(T65,2),T65)</f>
        <v>"},</v>
      </c>
      <c r="V66" s="32" t="str">
        <f t="shared" ca="1" si="9"/>
        <v>{"id": 63, "group":"5.2", "subgroup": "actual", "subgroupOrder":0, "className": "orange", "content": "Validation", "start": "2023-04-25", "end": "v2: Waiting for approval from LiteON"},</v>
      </c>
      <c r="W66" s="37" t="s">
        <v>2</v>
      </c>
    </row>
    <row r="67" spans="1:24">
      <c r="A67" s="36"/>
      <c r="C67" s="25"/>
      <c r="D67" s="41" t="str">
        <f t="shared" si="1"/>
        <v xml:space="preserve">{"id": </v>
      </c>
      <c r="E67" s="26">
        <f t="shared" si="2"/>
        <v>64</v>
      </c>
      <c r="F67" s="41" t="str">
        <f t="shared" si="10"/>
        <v>, "group":</v>
      </c>
      <c r="G67" s="111" t="str">
        <f ca="1">CHAR(34)&amp;INDIRECT("Dashboard!A"&amp;(ROW()-1)/3+3)&amp;CHAR(34)</f>
        <v>"5.3"</v>
      </c>
      <c r="H67" s="41" t="str">
        <f t="shared" si="11"/>
        <v>, "subgroup": "</v>
      </c>
      <c r="I67" s="41" t="s">
        <v>396</v>
      </c>
      <c r="J67" s="41" t="str">
        <f t="shared" si="4"/>
        <v>", "subgroupOrder":</v>
      </c>
      <c r="K67" s="41">
        <v>1</v>
      </c>
      <c r="L67" s="41" t="str">
        <f t="shared" si="5"/>
        <v>, "className": "</v>
      </c>
      <c r="M67" s="26" t="str">
        <f t="shared" si="13"/>
        <v>gray</v>
      </c>
      <c r="N67" s="41" t="str">
        <f t="shared" si="6"/>
        <v>", "content": "</v>
      </c>
      <c r="O67" s="40" t="s">
        <v>388</v>
      </c>
      <c r="P67" s="41" t="str">
        <f t="shared" si="7"/>
        <v>", "start": "</v>
      </c>
      <c r="Q67" s="42">
        <f ca="1">IF(INDIRECT("Dashboard!I"&amp;(ROW()-1)/3+3)="","",INDIRECT("Dashboard!I"&amp;(ROW()-1)/3+3))</f>
        <v>44652</v>
      </c>
      <c r="R67" s="41" t="str">
        <f t="shared" si="8"/>
        <v>", "end": "</v>
      </c>
      <c r="S67" s="42">
        <f ca="1">IF(INDIRECT("Dashboard!J"&amp;(ROW()-1)/3+3)="","",INDIRECT("Dashboard!J"&amp;(ROW()-1)/3+3))</f>
        <v>44924</v>
      </c>
      <c r="T67" s="118" t="str">
        <f ca="1">IF(C71="]);",LEFT(T66,2),T66)</f>
        <v>"},</v>
      </c>
      <c r="V67" s="32" t="str">
        <f t="shared" ca="1" si="9"/>
        <v>{"id": 64, "group":"5.3", "subgroup": "plan", "subgroupOrder":1, "className": "gray", "content": "Planned", "start": "2022-04-01", "end": "2022-12-29"},</v>
      </c>
      <c r="W67" s="37" t="s">
        <v>2</v>
      </c>
    </row>
    <row r="68" spans="1:24">
      <c r="A68" s="36"/>
      <c r="C68" s="31" t="str">
        <f ca="1">IF(AND(Q68="", S68=""),"//","")</f>
        <v/>
      </c>
      <c r="D68" s="37" t="str">
        <f t="shared" si="1"/>
        <v xml:space="preserve">{"id": </v>
      </c>
      <c r="E68" s="32">
        <f t="shared" si="2"/>
        <v>65</v>
      </c>
      <c r="F68" s="37" t="str">
        <f t="shared" si="10"/>
        <v>, "group":</v>
      </c>
      <c r="G68" s="37" t="str">
        <f ca="1">G67</f>
        <v>"5.3"</v>
      </c>
      <c r="H68" s="37" t="str">
        <f t="shared" si="11"/>
        <v>, "subgroup": "</v>
      </c>
      <c r="I68" s="37" t="s">
        <v>397</v>
      </c>
      <c r="J68" s="37" t="str">
        <f t="shared" si="4"/>
        <v>", "subgroupOrder":</v>
      </c>
      <c r="K68" s="37">
        <v>0</v>
      </c>
      <c r="L68" s="37" t="str">
        <f t="shared" si="5"/>
        <v>, "className": "</v>
      </c>
      <c r="M68" s="32" t="str">
        <f t="shared" ca="1" si="13"/>
        <v>green</v>
      </c>
      <c r="N68" s="37" t="str">
        <f t="shared" si="6"/>
        <v>", "content": "</v>
      </c>
      <c r="O68" s="34" t="str">
        <f ca="1">IF(INDIRECT("Dashboard!P"&amp;((ROW()+1)/3+2))=1,"Completed",IF(INDIRECT("Dashboard!P"&amp;((ROW()+1)/3+2))="","","Pending"))</f>
        <v>Completed</v>
      </c>
      <c r="P68" s="37" t="str">
        <f t="shared" si="7"/>
        <v>", "start": "</v>
      </c>
      <c r="Q68" s="38">
        <f ca="1">IF(INDIRECT("Dashboard!K"&amp;((ROW()+1)/3+2))="","",INDIRECT("Dashboard!K"&amp;((ROW()+1)/3+2)))</f>
        <v>44652</v>
      </c>
      <c r="R68" s="37" t="str">
        <f t="shared" si="8"/>
        <v>", "end": "</v>
      </c>
      <c r="S68" s="38">
        <f ca="1">IF(INDIRECT("Dashboard!L"&amp;((ROW()+1)/3+2))="","",INDIRECT("Dashboard!L"&amp;((ROW()+1)/3+2)))</f>
        <v>44958</v>
      </c>
      <c r="T68" s="116" t="str">
        <f ca="1">IF(C71="]);",LEFT(T67,2),T67)</f>
        <v>"},</v>
      </c>
      <c r="V68" s="32" t="str">
        <f t="shared" ca="1" si="9"/>
        <v>{"id": 65, "group":"5.3", "subgroup": "actual", "subgroupOrder":0, "className": "green", "content": "Completed", "start": "2022-04-01", "end": "2023-02-01"},</v>
      </c>
      <c r="W68" s="37" t="s">
        <v>2</v>
      </c>
      <c r="X68" s="32" t="str">
        <f ca="1">G68&amp;" : "&amp;INDIRECT("Dashboard!G"&amp;((ROW()+1)/3+2))</f>
        <v>"5.3" : (V1) Software Code</v>
      </c>
    </row>
    <row r="69" spans="1:24" ht="15" thickBot="1">
      <c r="A69" s="36"/>
      <c r="C69" s="28" t="str">
        <f ca="1">IF(OR(INDIRECT("Dashboard!B"&amp;(ROW()/3+2))&lt;&gt;"&gt;",AND(Q69="",S69="")),"//","")</f>
        <v/>
      </c>
      <c r="D69" s="43" t="str">
        <f t="shared" ref="D69:D132" si="14">D68</f>
        <v xml:space="preserve">{"id": </v>
      </c>
      <c r="E69" s="29">
        <f t="shared" ref="E69" si="15">E68+1</f>
        <v>66</v>
      </c>
      <c r="F69" s="43" t="str">
        <f t="shared" si="10"/>
        <v>, "group":</v>
      </c>
      <c r="G69" s="43" t="str">
        <f ca="1">G68</f>
        <v>"5.3"</v>
      </c>
      <c r="H69" s="43" t="str">
        <f t="shared" si="11"/>
        <v>, "subgroup": "</v>
      </c>
      <c r="I69" s="43" t="s">
        <v>397</v>
      </c>
      <c r="J69" s="43" t="str">
        <f t="shared" ref="J69:J132" si="16">J68</f>
        <v>", "subgroupOrder":</v>
      </c>
      <c r="K69" s="43">
        <v>0</v>
      </c>
      <c r="L69" s="43" t="str">
        <f t="shared" ref="L69:L132" si="17">L68</f>
        <v>, "className": "</v>
      </c>
      <c r="M69" s="29" t="str">
        <f t="shared" si="13"/>
        <v>orange</v>
      </c>
      <c r="N69" s="43" t="str">
        <f t="shared" ref="N69:N132" si="18">N68</f>
        <v>", "content": "</v>
      </c>
      <c r="O69" s="49" t="s">
        <v>392</v>
      </c>
      <c r="P69" s="43" t="str">
        <f t="shared" ref="P69:P132" si="19">P68</f>
        <v>", "start": "</v>
      </c>
      <c r="Q69" s="44">
        <f ca="1">S68</f>
        <v>44958</v>
      </c>
      <c r="R69" s="43" t="str">
        <f t="shared" ref="R69:R132" si="20">R68</f>
        <v>", "end": "</v>
      </c>
      <c r="S69" s="113">
        <f ca="1">IF(INDIRECT("Dashboard!M"&amp;(ROW()/3+2))="","",INDIRECT("Dashboard!M"&amp;(ROW()/3+2)))</f>
        <v>45041</v>
      </c>
      <c r="T69" s="117" t="str">
        <f ca="1">IF(C71="]);",LEFT(T68,2),T68)</f>
        <v>"},</v>
      </c>
      <c r="V69" s="32" t="str">
        <f t="shared" ref="V69:V132" ca="1" si="21">IF(C69&lt;&gt;"//",D69&amp;E69&amp;F69&amp;G69&amp;H69&amp;I69&amp;J69&amp;K69&amp;L69&amp;M69&amp;N69&amp;O69&amp;P69&amp;TEXT(Q69,"yyyy-mm-dd")&amp;R69&amp;TEXT(S69,"yyyy-mm-dd")&amp;T69,"")</f>
        <v>{"id": 66, "group":"5.3", "subgroup": "actual", "subgroupOrder":0, "className": "orange", "content": "Validation", "start": "2023-02-01", "end": "2023-04-25"},</v>
      </c>
      <c r="W69" s="37" t="s">
        <v>2</v>
      </c>
    </row>
    <row r="70" spans="1:24">
      <c r="A70" s="36"/>
      <c r="C70" s="25"/>
      <c r="D70" s="41" t="str">
        <f t="shared" si="14"/>
        <v xml:space="preserve">{"id": </v>
      </c>
      <c r="E70" s="26">
        <f t="shared" si="2"/>
        <v>67</v>
      </c>
      <c r="F70" s="41" t="str">
        <f t="shared" si="10"/>
        <v>, "group":</v>
      </c>
      <c r="G70" s="111" t="str">
        <f ca="1">CHAR(34)&amp;INDIRECT("Dashboard!A"&amp;(ROW()-1)/3+3)&amp;CHAR(34)</f>
        <v>"5.4"</v>
      </c>
      <c r="H70" s="41" t="str">
        <f t="shared" si="11"/>
        <v>, "subgroup": "</v>
      </c>
      <c r="I70" s="41" t="s">
        <v>396</v>
      </c>
      <c r="J70" s="41" t="str">
        <f t="shared" si="16"/>
        <v>", "subgroupOrder":</v>
      </c>
      <c r="K70" s="41">
        <v>1</v>
      </c>
      <c r="L70" s="41" t="str">
        <f t="shared" si="17"/>
        <v>, "className": "</v>
      </c>
      <c r="M70" s="26" t="str">
        <f t="shared" si="13"/>
        <v>gray</v>
      </c>
      <c r="N70" s="41" t="str">
        <f t="shared" si="18"/>
        <v>", "content": "</v>
      </c>
      <c r="O70" s="40" t="s">
        <v>388</v>
      </c>
      <c r="P70" s="41" t="str">
        <f t="shared" si="19"/>
        <v>", "start": "</v>
      </c>
      <c r="Q70" s="42">
        <f ca="1">IF(INDIRECT("Dashboard!I"&amp;(ROW()-1)/3+3)="","",INDIRECT("Dashboard!I"&amp;(ROW()-1)/3+3))</f>
        <v>44652</v>
      </c>
      <c r="R70" s="41" t="str">
        <f t="shared" si="20"/>
        <v>", "end": "</v>
      </c>
      <c r="S70" s="42">
        <f ca="1">IF(INDIRECT("Dashboard!J"&amp;(ROW()-1)/3+3)="","",INDIRECT("Dashboard!J"&amp;(ROW()-1)/3+3))</f>
        <v>44924</v>
      </c>
      <c r="T70" s="118" t="str">
        <f ca="1">IF(C74="]);",LEFT(T69,2),T69)</f>
        <v>"},</v>
      </c>
      <c r="V70" s="32" t="str">
        <f t="shared" ca="1" si="21"/>
        <v>{"id": 67, "group":"5.4", "subgroup": "plan", "subgroupOrder":1, "className": "gray", "content": "Planned", "start": "2022-04-01", "end": "2022-12-29"},</v>
      </c>
      <c r="W70" s="37" t="s">
        <v>2</v>
      </c>
    </row>
    <row r="71" spans="1:24">
      <c r="A71" s="36"/>
      <c r="C71" s="31" t="str">
        <f ca="1">IF(AND(Q71="", S71=""),"//","")</f>
        <v/>
      </c>
      <c r="D71" s="37" t="str">
        <f t="shared" si="14"/>
        <v xml:space="preserve">{"id": </v>
      </c>
      <c r="E71" s="32">
        <f t="shared" ref="E71:E134" si="22">E70+1</f>
        <v>68</v>
      </c>
      <c r="F71" s="37" t="str">
        <f t="shared" ref="F71:F134" si="23">F70</f>
        <v>, "group":</v>
      </c>
      <c r="G71" s="37" t="str">
        <f ca="1">G70</f>
        <v>"5.4"</v>
      </c>
      <c r="H71" s="37" t="str">
        <f t="shared" ref="H71:H134" si="24">H70</f>
        <v>, "subgroup": "</v>
      </c>
      <c r="I71" s="37" t="s">
        <v>397</v>
      </c>
      <c r="J71" s="37" t="str">
        <f t="shared" si="16"/>
        <v>", "subgroupOrder":</v>
      </c>
      <c r="K71" s="37">
        <v>0</v>
      </c>
      <c r="L71" s="37" t="str">
        <f t="shared" si="17"/>
        <v>, "className": "</v>
      </c>
      <c r="M71" s="32" t="str">
        <f t="shared" ca="1" si="13"/>
        <v>pink-white</v>
      </c>
      <c r="N71" s="37" t="str">
        <f t="shared" si="18"/>
        <v>", "content": "</v>
      </c>
      <c r="O71" s="34" t="str">
        <f ca="1">IF(INDIRECT("Dashboard!P"&amp;((ROW()+1)/3+2))=1,"Completed",IF(INDIRECT("Dashboard!P"&amp;((ROW()+1)/3+2))="","","Pending"))</f>
        <v>Pending</v>
      </c>
      <c r="P71" s="37" t="str">
        <f t="shared" si="19"/>
        <v>", "start": "</v>
      </c>
      <c r="Q71" s="38">
        <f ca="1">IF(INDIRECT("Dashboard!K"&amp;((ROW()+1)/3+2))="","",INDIRECT("Dashboard!K"&amp;((ROW()+1)/3+2)))</f>
        <v>44652</v>
      </c>
      <c r="R71" s="37" t="str">
        <f t="shared" si="20"/>
        <v>", "end": "</v>
      </c>
      <c r="S71" s="38">
        <f ca="1">IF(INDIRECT("Dashboard!L"&amp;((ROW()+1)/3+2))="","",INDIRECT("Dashboard!L"&amp;((ROW()+1)/3+2)))</f>
        <v>45041</v>
      </c>
      <c r="T71" s="116" t="str">
        <f ca="1">IF(C74="]);",LEFT(T70,2),T70)</f>
        <v>"},</v>
      </c>
      <c r="V71" s="32" t="str">
        <f t="shared" ca="1" si="21"/>
        <v>{"id": 68, "group":"5.4", "subgroup": "actual", "subgroupOrder":0, "className": "pink-white", "content": "Pending", "start": "2022-04-01", "end": "2023-04-25"},</v>
      </c>
      <c r="W71" s="37" t="s">
        <v>2</v>
      </c>
      <c r="X71" s="32" t="str">
        <f ca="1">G71&amp;" : "&amp;INDIRECT("Dashboard!G"&amp;((ROW()+1)/3+2))</f>
        <v>"5.4" : (V2) Software Code</v>
      </c>
    </row>
    <row r="72" spans="1:24" ht="15" thickBot="1">
      <c r="A72" s="36"/>
      <c r="C72" s="28" t="str">
        <f ca="1">IF(OR(INDIRECT("Dashboard!B"&amp;(ROW()/3+2))&lt;&gt;"&gt;",AND(Q72="",S72="")),"//","")</f>
        <v/>
      </c>
      <c r="D72" s="43" t="str">
        <f t="shared" si="14"/>
        <v xml:space="preserve">{"id": </v>
      </c>
      <c r="E72" s="29">
        <f t="shared" si="22"/>
        <v>69</v>
      </c>
      <c r="F72" s="43" t="str">
        <f t="shared" si="23"/>
        <v>, "group":</v>
      </c>
      <c r="G72" s="43" t="str">
        <f ca="1">G71</f>
        <v>"5.4"</v>
      </c>
      <c r="H72" s="43" t="str">
        <f t="shared" si="24"/>
        <v>, "subgroup": "</v>
      </c>
      <c r="I72" s="43" t="s">
        <v>397</v>
      </c>
      <c r="J72" s="43" t="str">
        <f t="shared" si="16"/>
        <v>", "subgroupOrder":</v>
      </c>
      <c r="K72" s="43">
        <v>0</v>
      </c>
      <c r="L72" s="43" t="str">
        <f t="shared" si="17"/>
        <v>, "className": "</v>
      </c>
      <c r="M72" s="29" t="str">
        <f t="shared" si="13"/>
        <v>orange</v>
      </c>
      <c r="N72" s="43" t="str">
        <f t="shared" si="18"/>
        <v>", "content": "</v>
      </c>
      <c r="O72" s="49" t="s">
        <v>392</v>
      </c>
      <c r="P72" s="43" t="str">
        <f t="shared" si="19"/>
        <v>", "start": "</v>
      </c>
      <c r="Q72" s="44">
        <f ca="1">S71</f>
        <v>45041</v>
      </c>
      <c r="R72" s="43" t="str">
        <f t="shared" si="20"/>
        <v>", "end": "</v>
      </c>
      <c r="S72" s="113" t="str">
        <f ca="1">IF(INDIRECT("Dashboard!M"&amp;(ROW()/3+2))="","",INDIRECT("Dashboard!M"&amp;(ROW()/3+2)))</f>
        <v>v2: Waiting for approval from LiteON</v>
      </c>
      <c r="T72" s="117" t="str">
        <f ca="1">IF(C74="]);",LEFT(T71,2),T71)</f>
        <v>"},</v>
      </c>
      <c r="V72" s="32" t="str">
        <f t="shared" ca="1" si="21"/>
        <v>{"id": 69, "group":"5.4", "subgroup": "actual", "subgroupOrder":0, "className": "orange", "content": "Validation", "start": "2023-04-25", "end": "v2: Waiting for approval from LiteON"},</v>
      </c>
      <c r="W72" s="37" t="s">
        <v>2</v>
      </c>
    </row>
    <row r="73" spans="1:24">
      <c r="A73" s="36"/>
      <c r="C73" s="25"/>
      <c r="D73" s="41" t="str">
        <f t="shared" si="14"/>
        <v xml:space="preserve">{"id": </v>
      </c>
      <c r="E73" s="26">
        <f t="shared" si="22"/>
        <v>70</v>
      </c>
      <c r="F73" s="41" t="str">
        <f t="shared" si="23"/>
        <v>, "group":</v>
      </c>
      <c r="G73" s="111" t="str">
        <f ca="1">CHAR(34)&amp;INDIRECT("Dashboard!A"&amp;(ROW()-1)/3+3)&amp;CHAR(34)</f>
        <v>"5.5"</v>
      </c>
      <c r="H73" s="41" t="str">
        <f t="shared" si="24"/>
        <v>, "subgroup": "</v>
      </c>
      <c r="I73" s="41" t="s">
        <v>396</v>
      </c>
      <c r="J73" s="41" t="str">
        <f t="shared" si="16"/>
        <v>", "subgroupOrder":</v>
      </c>
      <c r="K73" s="41">
        <v>1</v>
      </c>
      <c r="L73" s="41" t="str">
        <f t="shared" si="17"/>
        <v>, "className": "</v>
      </c>
      <c r="M73" s="26" t="str">
        <f t="shared" si="13"/>
        <v>gray</v>
      </c>
      <c r="N73" s="41" t="str">
        <f t="shared" si="18"/>
        <v>", "content": "</v>
      </c>
      <c r="O73" s="40" t="s">
        <v>388</v>
      </c>
      <c r="P73" s="41" t="str">
        <f t="shared" si="19"/>
        <v>", "start": "</v>
      </c>
      <c r="Q73" s="42">
        <f ca="1">IF(INDIRECT("Dashboard!I"&amp;(ROW()-1)/3+3)="","",INDIRECT("Dashboard!I"&amp;(ROW()-1)/3+3))</f>
        <v>44652</v>
      </c>
      <c r="R73" s="41" t="str">
        <f t="shared" si="20"/>
        <v>", "end": "</v>
      </c>
      <c r="S73" s="42">
        <f ca="1">IF(INDIRECT("Dashboard!J"&amp;(ROW()-1)/3+3)="","",INDIRECT("Dashboard!J"&amp;(ROW()-1)/3+3))</f>
        <v>44924</v>
      </c>
      <c r="T73" s="118" t="str">
        <f ca="1">IF(C77="]);",LEFT(T72,2),T72)</f>
        <v>"},</v>
      </c>
      <c r="V73" s="32" t="str">
        <f t="shared" ca="1" si="21"/>
        <v>{"id": 70, "group":"5.5", "subgroup": "plan", "subgroupOrder":1, "className": "gray", "content": "Planned", "start": "2022-04-01", "end": "2022-12-29"},</v>
      </c>
      <c r="W73" s="37" t="s">
        <v>2</v>
      </c>
    </row>
    <row r="74" spans="1:24">
      <c r="A74" s="36"/>
      <c r="C74" s="31" t="str">
        <f ca="1">IF(AND(Q74="", S74=""),"//","")</f>
        <v/>
      </c>
      <c r="D74" s="37" t="str">
        <f t="shared" si="14"/>
        <v xml:space="preserve">{"id": </v>
      </c>
      <c r="E74" s="32">
        <f t="shared" si="22"/>
        <v>71</v>
      </c>
      <c r="F74" s="37" t="str">
        <f t="shared" si="23"/>
        <v>, "group":</v>
      </c>
      <c r="G74" s="37" t="str">
        <f ca="1">G73</f>
        <v>"5.5"</v>
      </c>
      <c r="H74" s="37" t="str">
        <f t="shared" si="24"/>
        <v>, "subgroup": "</v>
      </c>
      <c r="I74" s="37" t="s">
        <v>397</v>
      </c>
      <c r="J74" s="37" t="str">
        <f t="shared" si="16"/>
        <v>", "subgroupOrder":</v>
      </c>
      <c r="K74" s="37">
        <v>0</v>
      </c>
      <c r="L74" s="37" t="str">
        <f t="shared" si="17"/>
        <v>, "className": "</v>
      </c>
      <c r="M74" s="32" t="str">
        <f t="shared" ca="1" si="13"/>
        <v>pink-white</v>
      </c>
      <c r="N74" s="37" t="str">
        <f t="shared" si="18"/>
        <v>", "content": "</v>
      </c>
      <c r="O74" s="34" t="str">
        <f ca="1">IF(INDIRECT("Dashboard!P"&amp;((ROW()+1)/3+2))=1,"Completed",IF(INDIRECT("Dashboard!P"&amp;((ROW()+1)/3+2))="","","Pending"))</f>
        <v>Pending</v>
      </c>
      <c r="P74" s="37" t="str">
        <f t="shared" si="19"/>
        <v>", "start": "</v>
      </c>
      <c r="Q74" s="38">
        <f ca="1">IF(INDIRECT("Dashboard!K"&amp;((ROW()+1)/3+2))="","",INDIRECT("Dashboard!K"&amp;((ROW()+1)/3+2)))</f>
        <v>44652</v>
      </c>
      <c r="R74" s="37" t="str">
        <f t="shared" si="20"/>
        <v>", "end": "</v>
      </c>
      <c r="S74" s="38">
        <f ca="1">IF(INDIRECT("Dashboard!L"&amp;((ROW()+1)/3+2))="","",INDIRECT("Dashboard!L"&amp;((ROW()+1)/3+2)))</f>
        <v>45077</v>
      </c>
      <c r="T74" s="116" t="str">
        <f ca="1">IF(C77="]);",LEFT(T73,2),T73)</f>
        <v>"},</v>
      </c>
      <c r="V74" s="32" t="str">
        <f t="shared" ca="1" si="21"/>
        <v>{"id": 71, "group":"5.5", "subgroup": "actual", "subgroupOrder":0, "className": "pink-white", "content": "Pending", "start": "2022-04-01", "end": "2023-05-31"},</v>
      </c>
      <c r="W74" s="37" t="s">
        <v>2</v>
      </c>
      <c r="X74" s="32" t="str">
        <f ca="1">G74&amp;" : "&amp;INDIRECT("Dashboard!G"&amp;((ROW()+1)/3+2))</f>
        <v>"5.5" : Deployment Procedure of the code</v>
      </c>
    </row>
    <row r="75" spans="1:24" ht="15" thickBot="1">
      <c r="A75" s="36"/>
      <c r="C75" s="28" t="str">
        <f ca="1">IF(OR(INDIRECT("Dashboard!B"&amp;(ROW()/3+2))&lt;&gt;"&gt;",AND(Q75="",S75="")),"//","")</f>
        <v/>
      </c>
      <c r="D75" s="43" t="str">
        <f t="shared" si="14"/>
        <v xml:space="preserve">{"id": </v>
      </c>
      <c r="E75" s="29">
        <f t="shared" si="22"/>
        <v>72</v>
      </c>
      <c r="F75" s="43" t="str">
        <f t="shared" si="23"/>
        <v>, "group":</v>
      </c>
      <c r="G75" s="43" t="str">
        <f ca="1">G74</f>
        <v>"5.5"</v>
      </c>
      <c r="H75" s="43" t="str">
        <f t="shared" si="24"/>
        <v>, "subgroup": "</v>
      </c>
      <c r="I75" s="43" t="s">
        <v>397</v>
      </c>
      <c r="J75" s="43" t="str">
        <f t="shared" si="16"/>
        <v>", "subgroupOrder":</v>
      </c>
      <c r="K75" s="43">
        <v>0</v>
      </c>
      <c r="L75" s="43" t="str">
        <f t="shared" si="17"/>
        <v>, "className": "</v>
      </c>
      <c r="M75" s="29" t="str">
        <f t="shared" si="13"/>
        <v>orange</v>
      </c>
      <c r="N75" s="43" t="str">
        <f t="shared" si="18"/>
        <v>", "content": "</v>
      </c>
      <c r="O75" s="49" t="s">
        <v>392</v>
      </c>
      <c r="P75" s="43" t="str">
        <f t="shared" si="19"/>
        <v>", "start": "</v>
      </c>
      <c r="Q75" s="44">
        <f ca="1">S74</f>
        <v>45077</v>
      </c>
      <c r="R75" s="43" t="str">
        <f t="shared" si="20"/>
        <v>", "end": "</v>
      </c>
      <c r="S75" s="113" t="str">
        <f ca="1">IF(INDIRECT("Dashboard!M"&amp;(ROW()/3+2))="","",INDIRECT("Dashboard!M"&amp;(ROW()/3+2)))</f>
        <v>Waiting for approval from LiteON</v>
      </c>
      <c r="T75" s="117" t="str">
        <f ca="1">IF(C77="]);",LEFT(T74,2),T74)</f>
        <v>"},</v>
      </c>
      <c r="V75" s="32" t="str">
        <f t="shared" ca="1" si="21"/>
        <v>{"id": 72, "group":"5.5", "subgroup": "actual", "subgroupOrder":0, "className": "orange", "content": "Validation", "start": "2023-05-31", "end": "Waiting for approval from LiteON"},</v>
      </c>
      <c r="W75" s="37" t="s">
        <v>2</v>
      </c>
    </row>
    <row r="76" spans="1:24">
      <c r="A76" s="36"/>
      <c r="C76" s="25"/>
      <c r="D76" s="41" t="str">
        <f t="shared" si="14"/>
        <v xml:space="preserve">{"id": </v>
      </c>
      <c r="E76" s="26">
        <f t="shared" si="22"/>
        <v>73</v>
      </c>
      <c r="F76" s="41" t="str">
        <f t="shared" si="23"/>
        <v>, "group":</v>
      </c>
      <c r="G76" s="111" t="str">
        <f ca="1">CHAR(34)&amp;INDIRECT("Dashboard!A"&amp;(ROW()-1)/3+3)&amp;CHAR(34)</f>
        <v>"5.6"</v>
      </c>
      <c r="H76" s="41" t="str">
        <f t="shared" si="24"/>
        <v>, "subgroup": "</v>
      </c>
      <c r="I76" s="41" t="s">
        <v>396</v>
      </c>
      <c r="J76" s="41" t="str">
        <f t="shared" si="16"/>
        <v>", "subgroupOrder":</v>
      </c>
      <c r="K76" s="41">
        <v>1</v>
      </c>
      <c r="L76" s="41" t="str">
        <f t="shared" si="17"/>
        <v>, "className": "</v>
      </c>
      <c r="M76" s="26" t="str">
        <f t="shared" si="13"/>
        <v>gray</v>
      </c>
      <c r="N76" s="41" t="str">
        <f t="shared" si="18"/>
        <v>", "content": "</v>
      </c>
      <c r="O76" s="40" t="s">
        <v>388</v>
      </c>
      <c r="P76" s="41" t="str">
        <f t="shared" si="19"/>
        <v>", "start": "</v>
      </c>
      <c r="Q76" s="42">
        <f ca="1">IF(INDIRECT("Dashboard!I"&amp;(ROW()-1)/3+3)="","",INDIRECT("Dashboard!I"&amp;(ROW()-1)/3+3))</f>
        <v>44652</v>
      </c>
      <c r="R76" s="41" t="str">
        <f t="shared" si="20"/>
        <v>", "end": "</v>
      </c>
      <c r="S76" s="42">
        <f ca="1">IF(INDIRECT("Dashboard!J"&amp;(ROW()-1)/3+3)="","",INDIRECT("Dashboard!J"&amp;(ROW()-1)/3+3))</f>
        <v>44924</v>
      </c>
      <c r="T76" s="118" t="str">
        <f ca="1">IF(C80="]);",LEFT(T75,2),T75)</f>
        <v>"},</v>
      </c>
      <c r="V76" s="32" t="str">
        <f t="shared" ca="1" si="21"/>
        <v>{"id": 73, "group":"5.6", "subgroup": "plan", "subgroupOrder":1, "className": "gray", "content": "Planned", "start": "2022-04-01", "end": "2022-12-29"},</v>
      </c>
      <c r="W76" s="37" t="s">
        <v>2</v>
      </c>
    </row>
    <row r="77" spans="1:24">
      <c r="A77" s="36"/>
      <c r="C77" s="31" t="str">
        <f ca="1">IF(AND(Q77="", S77=""),"//","")</f>
        <v/>
      </c>
      <c r="D77" s="37" t="str">
        <f t="shared" si="14"/>
        <v xml:space="preserve">{"id": </v>
      </c>
      <c r="E77" s="32">
        <f t="shared" si="22"/>
        <v>74</v>
      </c>
      <c r="F77" s="37" t="str">
        <f t="shared" si="23"/>
        <v>, "group":</v>
      </c>
      <c r="G77" s="37" t="str">
        <f ca="1">G76</f>
        <v>"5.6"</v>
      </c>
      <c r="H77" s="37" t="str">
        <f t="shared" si="24"/>
        <v>, "subgroup": "</v>
      </c>
      <c r="I77" s="37" t="s">
        <v>397</v>
      </c>
      <c r="J77" s="37" t="str">
        <f t="shared" si="16"/>
        <v>", "subgroupOrder":</v>
      </c>
      <c r="K77" s="37">
        <v>0</v>
      </c>
      <c r="L77" s="37" t="str">
        <f t="shared" si="17"/>
        <v>, "className": "</v>
      </c>
      <c r="M77" s="32" t="str">
        <f t="shared" ca="1" si="13"/>
        <v>pink-white</v>
      </c>
      <c r="N77" s="37" t="str">
        <f t="shared" si="18"/>
        <v>", "content": "</v>
      </c>
      <c r="O77" s="34" t="str">
        <f ca="1">IF(INDIRECT("Dashboard!P"&amp;((ROW()+1)/3+2))=1,"Completed",IF(INDIRECT("Dashboard!P"&amp;((ROW()+1)/3+2))="","","Pending"))</f>
        <v>Pending</v>
      </c>
      <c r="P77" s="37" t="str">
        <f t="shared" si="19"/>
        <v>", "start": "</v>
      </c>
      <c r="Q77" s="38">
        <f ca="1">IF(INDIRECT("Dashboard!K"&amp;((ROW()+1)/3+2))="","",INDIRECT("Dashboard!K"&amp;((ROW()+1)/3+2)))</f>
        <v>44652</v>
      </c>
      <c r="R77" s="37" t="str">
        <f t="shared" si="20"/>
        <v>", "end": "</v>
      </c>
      <c r="S77" s="38">
        <f ca="1">IF(INDIRECT("Dashboard!L"&amp;((ROW()+1)/3+2))="","",INDIRECT("Dashboard!L"&amp;((ROW()+1)/3+2)))</f>
        <v>45041</v>
      </c>
      <c r="T77" s="116" t="str">
        <f ca="1">IF(C80="]);",LEFT(T76,2),T76)</f>
        <v>"},</v>
      </c>
      <c r="V77" s="32" t="str">
        <f t="shared" ca="1" si="21"/>
        <v>{"id": 74, "group":"5.6", "subgroup": "actual", "subgroupOrder":0, "className": "pink-white", "content": "Pending", "start": "2022-04-01", "end": "2023-04-25"},</v>
      </c>
      <c r="W77" s="37" t="s">
        <v>2</v>
      </c>
      <c r="X77" s="32" t="str">
        <f ca="1">G77&amp;" : "&amp;INDIRECT("Dashboard!G"&amp;((ROW()+1)/3+2))</f>
        <v>"5.6" : Product usage guide with examples for all the functional usecases</v>
      </c>
    </row>
    <row r="78" spans="1:24" ht="15" thickBot="1">
      <c r="A78" s="36"/>
      <c r="C78" s="28" t="str">
        <f ca="1">IF(OR(INDIRECT("Dashboard!B"&amp;(ROW()/3+2))&lt;&gt;"&gt;",AND(Q78="",S78="")),"//","")</f>
        <v/>
      </c>
      <c r="D78" s="43" t="str">
        <f t="shared" si="14"/>
        <v xml:space="preserve">{"id": </v>
      </c>
      <c r="E78" s="29">
        <f t="shared" si="22"/>
        <v>75</v>
      </c>
      <c r="F78" s="43" t="str">
        <f t="shared" si="23"/>
        <v>, "group":</v>
      </c>
      <c r="G78" s="43" t="str">
        <f ca="1">G77</f>
        <v>"5.6"</v>
      </c>
      <c r="H78" s="43" t="str">
        <f t="shared" si="24"/>
        <v>, "subgroup": "</v>
      </c>
      <c r="I78" s="43" t="s">
        <v>397</v>
      </c>
      <c r="J78" s="43" t="str">
        <f t="shared" si="16"/>
        <v>", "subgroupOrder":</v>
      </c>
      <c r="K78" s="43">
        <v>0</v>
      </c>
      <c r="L78" s="43" t="str">
        <f t="shared" si="17"/>
        <v>, "className": "</v>
      </c>
      <c r="M78" s="29" t="str">
        <f t="shared" si="13"/>
        <v>orange</v>
      </c>
      <c r="N78" s="43" t="str">
        <f t="shared" si="18"/>
        <v>", "content": "</v>
      </c>
      <c r="O78" s="49" t="s">
        <v>392</v>
      </c>
      <c r="P78" s="43" t="str">
        <f t="shared" si="19"/>
        <v>", "start": "</v>
      </c>
      <c r="Q78" s="44">
        <f ca="1">S77</f>
        <v>45041</v>
      </c>
      <c r="R78" s="43" t="str">
        <f t="shared" si="20"/>
        <v>", "end": "</v>
      </c>
      <c r="S78" s="113" t="str">
        <f ca="1">IF(INDIRECT("Dashboard!M"&amp;(ROW()/3+2))="","",INDIRECT("Dashboard!M"&amp;(ROW()/3+2)))</f>
        <v>Waiting for approval from LiteON</v>
      </c>
      <c r="T78" s="117" t="str">
        <f ca="1">IF(C80="]);",LEFT(T77,2),T77)</f>
        <v>"},</v>
      </c>
      <c r="V78" s="32" t="str">
        <f t="shared" ca="1" si="21"/>
        <v>{"id": 75, "group":"5.6", "subgroup": "actual", "subgroupOrder":0, "className": "orange", "content": "Validation", "start": "2023-04-25", "end": "Waiting for approval from LiteON"},</v>
      </c>
      <c r="W78" s="37" t="s">
        <v>2</v>
      </c>
    </row>
    <row r="79" spans="1:24">
      <c r="A79" s="36"/>
      <c r="C79" s="25"/>
      <c r="D79" s="41" t="str">
        <f t="shared" si="14"/>
        <v xml:space="preserve">{"id": </v>
      </c>
      <c r="E79" s="26">
        <f t="shared" si="22"/>
        <v>76</v>
      </c>
      <c r="F79" s="41" t="str">
        <f t="shared" si="23"/>
        <v>, "group":</v>
      </c>
      <c r="G79" s="111" t="str">
        <f ca="1">CHAR(34)&amp;INDIRECT("Dashboard!A"&amp;(ROW()-1)/3+3)&amp;CHAR(34)</f>
        <v>"5.7"</v>
      </c>
      <c r="H79" s="41" t="str">
        <f t="shared" si="24"/>
        <v>, "subgroup": "</v>
      </c>
      <c r="I79" s="41" t="s">
        <v>396</v>
      </c>
      <c r="J79" s="41" t="str">
        <f t="shared" si="16"/>
        <v>", "subgroupOrder":</v>
      </c>
      <c r="K79" s="41">
        <v>1</v>
      </c>
      <c r="L79" s="41" t="str">
        <f t="shared" si="17"/>
        <v>, "className": "</v>
      </c>
      <c r="M79" s="26" t="str">
        <f t="shared" si="13"/>
        <v>gray</v>
      </c>
      <c r="N79" s="41" t="str">
        <f t="shared" si="18"/>
        <v>", "content": "</v>
      </c>
      <c r="O79" s="40" t="s">
        <v>388</v>
      </c>
      <c r="P79" s="41" t="str">
        <f t="shared" si="19"/>
        <v>", "start": "</v>
      </c>
      <c r="Q79" s="42">
        <f ca="1">IF(INDIRECT("Dashboard!I"&amp;(ROW()-1)/3+3)="","",INDIRECT("Dashboard!I"&amp;(ROW()-1)/3+3))</f>
        <v>44652</v>
      </c>
      <c r="R79" s="41" t="str">
        <f t="shared" si="20"/>
        <v>", "end": "</v>
      </c>
      <c r="S79" s="42">
        <f ca="1">IF(INDIRECT("Dashboard!J"&amp;(ROW()-1)/3+3)="","",INDIRECT("Dashboard!J"&amp;(ROW()-1)/3+3))</f>
        <v>44924</v>
      </c>
      <c r="T79" s="118" t="str">
        <f ca="1">IF(C83="]);",LEFT(T78,2),T78)</f>
        <v>"},</v>
      </c>
      <c r="V79" s="32" t="str">
        <f t="shared" ca="1" si="21"/>
        <v>{"id": 76, "group":"5.7", "subgroup": "plan", "subgroupOrder":1, "className": "gray", "content": "Planned", "start": "2022-04-01", "end": "2022-12-29"},</v>
      </c>
      <c r="W79" s="37" t="s">
        <v>2</v>
      </c>
    </row>
    <row r="80" spans="1:24">
      <c r="A80" s="36"/>
      <c r="C80" s="31" t="str">
        <f ca="1">IF(AND(Q80="", S80=""),"//","")</f>
        <v/>
      </c>
      <c r="D80" s="37" t="str">
        <f t="shared" si="14"/>
        <v xml:space="preserve">{"id": </v>
      </c>
      <c r="E80" s="32">
        <f t="shared" si="22"/>
        <v>77</v>
      </c>
      <c r="F80" s="37" t="str">
        <f t="shared" si="23"/>
        <v>, "group":</v>
      </c>
      <c r="G80" s="37" t="str">
        <f ca="1">G79</f>
        <v>"5.7"</v>
      </c>
      <c r="H80" s="37" t="str">
        <f t="shared" si="24"/>
        <v>, "subgroup": "</v>
      </c>
      <c r="I80" s="37" t="s">
        <v>397</v>
      </c>
      <c r="J80" s="37" t="str">
        <f t="shared" si="16"/>
        <v>", "subgroupOrder":</v>
      </c>
      <c r="K80" s="37">
        <v>0</v>
      </c>
      <c r="L80" s="37" t="str">
        <f t="shared" si="17"/>
        <v>, "className": "</v>
      </c>
      <c r="M80" s="32" t="str">
        <f t="shared" ca="1" si="13"/>
        <v>pink-white</v>
      </c>
      <c r="N80" s="37" t="str">
        <f t="shared" si="18"/>
        <v>", "content": "</v>
      </c>
      <c r="O80" s="34" t="str">
        <f ca="1">IF(INDIRECT("Dashboard!P"&amp;((ROW()+1)/3+2))=1,"Completed",IF(INDIRECT("Dashboard!P"&amp;((ROW()+1)/3+2))="","","Pending"))</f>
        <v>Pending</v>
      </c>
      <c r="P80" s="37" t="str">
        <f t="shared" si="19"/>
        <v>", "start": "</v>
      </c>
      <c r="Q80" s="38">
        <f ca="1">IF(INDIRECT("Dashboard!K"&amp;((ROW()+1)/3+2))="","",INDIRECT("Dashboard!K"&amp;((ROW()+1)/3+2)))</f>
        <v>44652</v>
      </c>
      <c r="R80" s="37" t="str">
        <f t="shared" si="20"/>
        <v>", "end": "</v>
      </c>
      <c r="S80" s="38">
        <f ca="1">IF(INDIRECT("Dashboard!L"&amp;((ROW()+1)/3+2))="","",INDIRECT("Dashboard!L"&amp;((ROW()+1)/3+2)))</f>
        <v>45061</v>
      </c>
      <c r="T80" s="116" t="str">
        <f ca="1">IF(C83="]);",LEFT(T79,2),T79)</f>
        <v>"},</v>
      </c>
      <c r="V80" s="32" t="str">
        <f t="shared" ca="1" si="21"/>
        <v>{"id": 77, "group":"5.7", "subgroup": "actual", "subgroupOrder":0, "className": "pink-white", "content": "Pending", "start": "2022-04-01", "end": "2023-05-15"},</v>
      </c>
      <c r="W80" s="37" t="s">
        <v>2</v>
      </c>
      <c r="X80" s="32" t="str">
        <f ca="1">G80&amp;" : "&amp;INDIRECT("Dashboard!G"&amp;((ROW()+1)/3+2))</f>
        <v xml:space="preserve">"5.7" : Test report </v>
      </c>
    </row>
    <row r="81" spans="1:24" ht="15" thickBot="1">
      <c r="A81" s="36"/>
      <c r="C81" s="28" t="str">
        <f ca="1">IF(OR(INDIRECT("Dashboard!B"&amp;(ROW()/3+2))&lt;&gt;"&gt;",AND(Q81="",S81="")),"//","")</f>
        <v/>
      </c>
      <c r="D81" s="43" t="str">
        <f t="shared" si="14"/>
        <v xml:space="preserve">{"id": </v>
      </c>
      <c r="E81" s="29">
        <f t="shared" si="22"/>
        <v>78</v>
      </c>
      <c r="F81" s="43" t="str">
        <f t="shared" si="23"/>
        <v>, "group":</v>
      </c>
      <c r="G81" s="43" t="str">
        <f ca="1">G80</f>
        <v>"5.7"</v>
      </c>
      <c r="H81" s="43" t="str">
        <f t="shared" si="24"/>
        <v>, "subgroup": "</v>
      </c>
      <c r="I81" s="43" t="s">
        <v>397</v>
      </c>
      <c r="J81" s="43" t="str">
        <f t="shared" si="16"/>
        <v>", "subgroupOrder":</v>
      </c>
      <c r="K81" s="43">
        <v>0</v>
      </c>
      <c r="L81" s="43" t="str">
        <f t="shared" si="17"/>
        <v>, "className": "</v>
      </c>
      <c r="M81" s="29" t="str">
        <f t="shared" si="13"/>
        <v>orange</v>
      </c>
      <c r="N81" s="43" t="str">
        <f t="shared" si="18"/>
        <v>", "content": "</v>
      </c>
      <c r="O81" s="49" t="s">
        <v>392</v>
      </c>
      <c r="P81" s="43" t="str">
        <f t="shared" si="19"/>
        <v>", "start": "</v>
      </c>
      <c r="Q81" s="44">
        <f ca="1">S80</f>
        <v>45061</v>
      </c>
      <c r="R81" s="43" t="str">
        <f t="shared" si="20"/>
        <v>", "end": "</v>
      </c>
      <c r="S81" s="113" t="str">
        <f ca="1">IF(INDIRECT("Dashboard!M"&amp;(ROW()/3+2))="","",INDIRECT("Dashboard!M"&amp;(ROW()/3+2)))</f>
        <v>Waiting for approval from LiteON</v>
      </c>
      <c r="T81" s="117" t="str">
        <f ca="1">IF(C83="]);",LEFT(T80,2),T80)</f>
        <v>"},</v>
      </c>
      <c r="V81" s="32" t="str">
        <f t="shared" ca="1" si="21"/>
        <v>{"id": 78, "group":"5.7", "subgroup": "actual", "subgroupOrder":0, "className": "orange", "content": "Validation", "start": "2023-05-15", "end": "Waiting for approval from LiteON"},</v>
      </c>
      <c r="W81" s="37" t="s">
        <v>2</v>
      </c>
    </row>
    <row r="82" spans="1:24">
      <c r="A82" s="36"/>
      <c r="C82" s="25"/>
      <c r="D82" s="41" t="str">
        <f t="shared" si="14"/>
        <v xml:space="preserve">{"id": </v>
      </c>
      <c r="E82" s="26">
        <f t="shared" si="22"/>
        <v>79</v>
      </c>
      <c r="F82" s="41" t="str">
        <f t="shared" si="23"/>
        <v>, "group":</v>
      </c>
      <c r="G82" s="111" t="str">
        <f ca="1">CHAR(34)&amp;INDIRECT("Dashboard!A"&amp;(ROW()-1)/3+3)&amp;CHAR(34)</f>
        <v>"6"</v>
      </c>
      <c r="H82" s="41" t="str">
        <f t="shared" si="24"/>
        <v>, "subgroup": "</v>
      </c>
      <c r="I82" s="41" t="s">
        <v>396</v>
      </c>
      <c r="J82" s="41" t="str">
        <f t="shared" si="16"/>
        <v>", "subgroupOrder":</v>
      </c>
      <c r="K82" s="41">
        <v>1</v>
      </c>
      <c r="L82" s="41" t="str">
        <f t="shared" si="17"/>
        <v>, "className": "</v>
      </c>
      <c r="M82" s="26" t="str">
        <f t="shared" si="13"/>
        <v>gray</v>
      </c>
      <c r="N82" s="41" t="str">
        <f t="shared" si="18"/>
        <v>", "content": "</v>
      </c>
      <c r="O82" s="40" t="s">
        <v>388</v>
      </c>
      <c r="P82" s="41" t="str">
        <f t="shared" si="19"/>
        <v>", "start": "</v>
      </c>
      <c r="Q82" s="42">
        <f ca="1">IF(INDIRECT("Dashboard!I"&amp;(ROW()-1)/3+3)="","",INDIRECT("Dashboard!I"&amp;(ROW()-1)/3+3))</f>
        <v>44743</v>
      </c>
      <c r="R82" s="41" t="str">
        <f t="shared" si="20"/>
        <v>", "end": "</v>
      </c>
      <c r="S82" s="42">
        <f ca="1">IF(INDIRECT("Dashboard!J"&amp;(ROW()-1)/3+3)="","",INDIRECT("Dashboard!J"&amp;(ROW()-1)/3+3))</f>
        <v>45107</v>
      </c>
      <c r="T82" s="118" t="str">
        <f ca="1">IF(C86="]);",LEFT(T81,2),T81)</f>
        <v>"},</v>
      </c>
      <c r="V82" s="32" t="str">
        <f t="shared" ca="1" si="21"/>
        <v>{"id": 79, "group":"6", "subgroup": "plan", "subgroupOrder":1, "className": "gray", "content": "Planned", "start": "2022-07-01", "end": "2023-06-30"},</v>
      </c>
      <c r="W82" s="37" t="s">
        <v>2</v>
      </c>
    </row>
    <row r="83" spans="1:24">
      <c r="A83" s="36"/>
      <c r="C83" s="31" t="str">
        <f ca="1">IF(AND(Q83="", S83=""),"//","")</f>
        <v/>
      </c>
      <c r="D83" s="37" t="str">
        <f t="shared" si="14"/>
        <v xml:space="preserve">{"id": </v>
      </c>
      <c r="E83" s="32">
        <f t="shared" si="22"/>
        <v>80</v>
      </c>
      <c r="F83" s="37" t="str">
        <f t="shared" si="23"/>
        <v>, "group":</v>
      </c>
      <c r="G83" s="37" t="str">
        <f ca="1">G82</f>
        <v>"6"</v>
      </c>
      <c r="H83" s="37" t="str">
        <f t="shared" si="24"/>
        <v>, "subgroup": "</v>
      </c>
      <c r="I83" s="37" t="s">
        <v>397</v>
      </c>
      <c r="J83" s="37" t="str">
        <f t="shared" si="16"/>
        <v>", "subgroupOrder":</v>
      </c>
      <c r="K83" s="37">
        <v>0</v>
      </c>
      <c r="L83" s="37" t="str">
        <f t="shared" si="17"/>
        <v>, "className": "</v>
      </c>
      <c r="M83" s="32" t="str">
        <f t="shared" ref="M83:M97" ca="1" si="25">IF(ISNA(VLOOKUP(O83,$X$1:$Y$4,2,FALSE)),"",VLOOKUP(O83,$X$1:$Y$4,2,FALSE))</f>
        <v>pink-white</v>
      </c>
      <c r="N83" s="37" t="str">
        <f t="shared" si="18"/>
        <v>", "content": "</v>
      </c>
      <c r="O83" s="34" t="str">
        <f ca="1">IF(INDIRECT("Dashboard!P"&amp;((ROW()+1)/3+2))=1,"Completed",IF(INDIRECT("Dashboard!P"&amp;((ROW()+1)/3+2))="","","Pending"))</f>
        <v>Pending</v>
      </c>
      <c r="P83" s="37" t="str">
        <f t="shared" si="19"/>
        <v>", "start": "</v>
      </c>
      <c r="Q83" s="38">
        <f ca="1">IF(INDIRECT("Dashboard!K"&amp;((ROW()+1)/3+2))="","",INDIRECT("Dashboard!K"&amp;((ROW()+1)/3+2)))</f>
        <v>44743</v>
      </c>
      <c r="R83" s="37" t="str">
        <f t="shared" si="20"/>
        <v>", "end": "</v>
      </c>
      <c r="S83" s="38">
        <f ca="1">IF(INDIRECT("Dashboard!L"&amp;((ROW()+1)/3+2))="","",INDIRECT("Dashboard!L"&amp;((ROW()+1)/3+2)))</f>
        <v>45077</v>
      </c>
      <c r="T83" s="116" t="str">
        <f ca="1">IF(C86="]);",LEFT(T82,2),T82)</f>
        <v>"},</v>
      </c>
      <c r="V83" s="32" t="str">
        <f t="shared" ca="1" si="21"/>
        <v>{"id": 80, "group":"6", "subgroup": "actual", "subgroupOrder":0, "className": "pink-white", "content": "Pending", "start": "2022-07-01", "end": "2023-05-31"},</v>
      </c>
      <c r="W83" s="37" t="s">
        <v>2</v>
      </c>
      <c r="X83" s="32" t="str">
        <f ca="1">G83&amp;" : "&amp;INDIRECT("Dashboard!G"&amp;((ROW()+1)/3+2))</f>
        <v>"6" : M5. Decision and Prediction Engine AI/ML models - Prediction &amp; Energy  Optimization</v>
      </c>
    </row>
    <row r="84" spans="1:24" ht="15" thickBot="1">
      <c r="A84" s="36"/>
      <c r="C84" s="28" t="str">
        <f ca="1">IF(OR(INDIRECT("Dashboard!B"&amp;(ROW()/3+2))&lt;&gt;"&gt;",AND(Q84="",S84="")),"//","")</f>
        <v>//</v>
      </c>
      <c r="D84" s="43" t="str">
        <f t="shared" si="14"/>
        <v xml:space="preserve">{"id": </v>
      </c>
      <c r="E84" s="29">
        <f t="shared" si="22"/>
        <v>81</v>
      </c>
      <c r="F84" s="43" t="str">
        <f t="shared" si="23"/>
        <v>, "group":</v>
      </c>
      <c r="G84" s="43" t="str">
        <f ca="1">G83</f>
        <v>"6"</v>
      </c>
      <c r="H84" s="43" t="str">
        <f t="shared" si="24"/>
        <v>, "subgroup": "</v>
      </c>
      <c r="I84" s="43" t="s">
        <v>397</v>
      </c>
      <c r="J84" s="43" t="str">
        <f t="shared" si="16"/>
        <v>", "subgroupOrder":</v>
      </c>
      <c r="K84" s="43">
        <v>0</v>
      </c>
      <c r="L84" s="43" t="str">
        <f t="shared" si="17"/>
        <v>, "className": "</v>
      </c>
      <c r="M84" s="29" t="str">
        <f t="shared" si="25"/>
        <v>orange</v>
      </c>
      <c r="N84" s="43" t="str">
        <f t="shared" si="18"/>
        <v>", "content": "</v>
      </c>
      <c r="O84" s="49" t="s">
        <v>392</v>
      </c>
      <c r="P84" s="43" t="str">
        <f t="shared" si="19"/>
        <v>", "start": "</v>
      </c>
      <c r="Q84" s="44">
        <f ca="1">S83</f>
        <v>45077</v>
      </c>
      <c r="R84" s="43" t="str">
        <f t="shared" si="20"/>
        <v>", "end": "</v>
      </c>
      <c r="S84" s="113">
        <f ca="1">IF(INDIRECT("Dashboard!M"&amp;(ROW()/3+2))="","",INDIRECT("Dashboard!M"&amp;(ROW()/3+2)))</f>
        <v>45096</v>
      </c>
      <c r="T84" s="117" t="str">
        <f ca="1">IF(C86="]);",LEFT(T83,2),T83)</f>
        <v>"},</v>
      </c>
      <c r="V84" s="32" t="str">
        <f t="shared" ca="1" si="21"/>
        <v/>
      </c>
      <c r="W84" s="37" t="s">
        <v>2</v>
      </c>
    </row>
    <row r="85" spans="1:24">
      <c r="A85" s="36"/>
      <c r="C85" s="25"/>
      <c r="D85" s="41" t="str">
        <f t="shared" si="14"/>
        <v xml:space="preserve">{"id": </v>
      </c>
      <c r="E85" s="26">
        <f t="shared" si="22"/>
        <v>82</v>
      </c>
      <c r="F85" s="41" t="str">
        <f t="shared" si="23"/>
        <v>, "group":</v>
      </c>
      <c r="G85" s="111" t="str">
        <f ca="1">CHAR(34)&amp;INDIRECT("Dashboard!A"&amp;(ROW()-1)/3+3)&amp;CHAR(34)</f>
        <v>"6.1"</v>
      </c>
      <c r="H85" s="41" t="str">
        <f t="shared" si="24"/>
        <v>, "subgroup": "</v>
      </c>
      <c r="I85" s="41" t="s">
        <v>396</v>
      </c>
      <c r="J85" s="41" t="str">
        <f t="shared" si="16"/>
        <v>", "subgroupOrder":</v>
      </c>
      <c r="K85" s="41">
        <v>1</v>
      </c>
      <c r="L85" s="41" t="str">
        <f t="shared" si="17"/>
        <v>, "className": "</v>
      </c>
      <c r="M85" s="26" t="str">
        <f t="shared" si="25"/>
        <v>gray</v>
      </c>
      <c r="N85" s="41" t="str">
        <f t="shared" si="18"/>
        <v>", "content": "</v>
      </c>
      <c r="O85" s="40" t="s">
        <v>388</v>
      </c>
      <c r="P85" s="41" t="str">
        <f t="shared" si="19"/>
        <v>", "start": "</v>
      </c>
      <c r="Q85" s="42" t="str">
        <f ca="1">IF(INDIRECT("Dashboard!I"&amp;(ROW()-1)/3+3)="","",INDIRECT("Dashboard!I"&amp;(ROW()-1)/3+3))</f>
        <v/>
      </c>
      <c r="R85" s="41" t="str">
        <f t="shared" si="20"/>
        <v>", "end": "</v>
      </c>
      <c r="S85" s="42" t="str">
        <f ca="1">IF(INDIRECT("Dashboard!J"&amp;(ROW()-1)/3+3)="","",INDIRECT("Dashboard!J"&amp;(ROW()-1)/3+3))</f>
        <v/>
      </c>
      <c r="T85" s="118" t="str">
        <f ca="1">IF(C89="]);",LEFT(T84,2),T84)</f>
        <v>"},</v>
      </c>
      <c r="V85" s="32" t="str">
        <f t="shared" ca="1" si="21"/>
        <v>{"id": 82, "group":"6.1", "subgroup": "plan", "subgroupOrder":1, "className": "gray", "content": "Planned", "start": "", "end": ""},</v>
      </c>
      <c r="W85" s="37" t="s">
        <v>2</v>
      </c>
    </row>
    <row r="86" spans="1:24">
      <c r="A86" s="36"/>
      <c r="C86" s="31" t="str">
        <f ca="1">IF(AND(Q86="", S86=""),"//","")</f>
        <v>//</v>
      </c>
      <c r="D86" s="37" t="str">
        <f t="shared" si="14"/>
        <v xml:space="preserve">{"id": </v>
      </c>
      <c r="E86" s="32">
        <f t="shared" si="22"/>
        <v>83</v>
      </c>
      <c r="F86" s="37" t="str">
        <f t="shared" si="23"/>
        <v>, "group":</v>
      </c>
      <c r="G86" s="37" t="str">
        <f ca="1">G85</f>
        <v>"6.1"</v>
      </c>
      <c r="H86" s="37" t="str">
        <f t="shared" si="24"/>
        <v>, "subgroup": "</v>
      </c>
      <c r="I86" s="37" t="s">
        <v>397</v>
      </c>
      <c r="J86" s="37" t="str">
        <f t="shared" si="16"/>
        <v>", "subgroupOrder":</v>
      </c>
      <c r="K86" s="37">
        <v>0</v>
      </c>
      <c r="L86" s="37" t="str">
        <f t="shared" si="17"/>
        <v>, "className": "</v>
      </c>
      <c r="M86" s="32" t="str">
        <f t="shared" ca="1" si="25"/>
        <v/>
      </c>
      <c r="N86" s="37" t="str">
        <f t="shared" si="18"/>
        <v>", "content": "</v>
      </c>
      <c r="O86" s="34" t="str">
        <f ca="1">IF(INDIRECT("Dashboard!P"&amp;((ROW()+1)/3+2))=1,"Completed",IF(INDIRECT("Dashboard!P"&amp;((ROW()+1)/3+2))="","","Pending"))</f>
        <v/>
      </c>
      <c r="P86" s="37" t="str">
        <f t="shared" si="19"/>
        <v>", "start": "</v>
      </c>
      <c r="Q86" s="38" t="str">
        <f ca="1">IF(INDIRECT("Dashboard!K"&amp;((ROW()+1)/3+2))="","",INDIRECT("Dashboard!K"&amp;((ROW()+1)/3+2)))</f>
        <v/>
      </c>
      <c r="R86" s="37" t="str">
        <f t="shared" si="20"/>
        <v>", "end": "</v>
      </c>
      <c r="S86" s="38" t="str">
        <f ca="1">IF(INDIRECT("Dashboard!L"&amp;((ROW()+1)/3+2))="","",INDIRECT("Dashboard!L"&amp;((ROW()+1)/3+2)))</f>
        <v/>
      </c>
      <c r="T86" s="116" t="str">
        <f ca="1">IF(C89="]);",LEFT(T85,2),T85)</f>
        <v>"},</v>
      </c>
      <c r="V86" s="32" t="str">
        <f t="shared" ca="1" si="21"/>
        <v/>
      </c>
      <c r="W86" s="37" t="s">
        <v>2</v>
      </c>
      <c r="X86" s="32" t="str">
        <f ca="1">G86&amp;" : "&amp;INDIRECT("Dashboard!G"&amp;((ROW()+1)/3+2))</f>
        <v>"6.1" : Energy optimization Module</v>
      </c>
    </row>
    <row r="87" spans="1:24" ht="15" thickBot="1">
      <c r="A87" s="36"/>
      <c r="C87" s="28" t="str">
        <f ca="1">IF(OR(INDIRECT("Dashboard!B"&amp;(ROW()/3+2))&lt;&gt;"&gt;",AND(Q87="",S87="")),"//","")</f>
        <v>//</v>
      </c>
      <c r="D87" s="43" t="str">
        <f t="shared" si="14"/>
        <v xml:space="preserve">{"id": </v>
      </c>
      <c r="E87" s="29">
        <f t="shared" si="22"/>
        <v>84</v>
      </c>
      <c r="F87" s="43" t="str">
        <f t="shared" si="23"/>
        <v>, "group":</v>
      </c>
      <c r="G87" s="43" t="str">
        <f ca="1">G86</f>
        <v>"6.1"</v>
      </c>
      <c r="H87" s="43" t="str">
        <f t="shared" si="24"/>
        <v>, "subgroup": "</v>
      </c>
      <c r="I87" s="43" t="s">
        <v>397</v>
      </c>
      <c r="J87" s="43" t="str">
        <f t="shared" si="16"/>
        <v>", "subgroupOrder":</v>
      </c>
      <c r="K87" s="43">
        <v>0</v>
      </c>
      <c r="L87" s="43" t="str">
        <f t="shared" si="17"/>
        <v>, "className": "</v>
      </c>
      <c r="M87" s="29" t="str">
        <f t="shared" si="25"/>
        <v>orange</v>
      </c>
      <c r="N87" s="43" t="str">
        <f t="shared" si="18"/>
        <v>", "content": "</v>
      </c>
      <c r="O87" s="49" t="s">
        <v>392</v>
      </c>
      <c r="P87" s="43" t="str">
        <f t="shared" si="19"/>
        <v>", "start": "</v>
      </c>
      <c r="Q87" s="44" t="str">
        <f ca="1">S86</f>
        <v/>
      </c>
      <c r="R87" s="43" t="str">
        <f t="shared" si="20"/>
        <v>", "end": "</v>
      </c>
      <c r="S87" s="113" t="str">
        <f ca="1">IF(INDIRECT("Dashboard!M"&amp;(ROW()/3+2))="","",INDIRECT("Dashboard!M"&amp;(ROW()/3+2)))</f>
        <v/>
      </c>
      <c r="T87" s="117" t="str">
        <f ca="1">IF(C89="]);",LEFT(T86,2),T86)</f>
        <v>"},</v>
      </c>
      <c r="V87" s="32" t="str">
        <f t="shared" ca="1" si="21"/>
        <v/>
      </c>
      <c r="W87" s="37" t="s">
        <v>2</v>
      </c>
    </row>
    <row r="88" spans="1:24">
      <c r="A88" s="36"/>
      <c r="C88" s="25"/>
      <c r="D88" s="41" t="str">
        <f t="shared" si="14"/>
        <v xml:space="preserve">{"id": </v>
      </c>
      <c r="E88" s="26">
        <f t="shared" si="22"/>
        <v>85</v>
      </c>
      <c r="F88" s="41" t="str">
        <f t="shared" si="23"/>
        <v>, "group":</v>
      </c>
      <c r="G88" s="111" t="str">
        <f ca="1">CHAR(34)&amp;INDIRECT("Dashboard!A"&amp;(ROW()-1)/3+3)&amp;CHAR(34)</f>
        <v>"6.1.1"</v>
      </c>
      <c r="H88" s="41" t="str">
        <f t="shared" si="24"/>
        <v>, "subgroup": "</v>
      </c>
      <c r="I88" s="41" t="s">
        <v>396</v>
      </c>
      <c r="J88" s="41" t="str">
        <f t="shared" si="16"/>
        <v>", "subgroupOrder":</v>
      </c>
      <c r="K88" s="41">
        <v>1</v>
      </c>
      <c r="L88" s="41" t="str">
        <f t="shared" si="17"/>
        <v>, "className": "</v>
      </c>
      <c r="M88" s="26" t="str">
        <f t="shared" si="25"/>
        <v>gray</v>
      </c>
      <c r="N88" s="41" t="str">
        <f t="shared" si="18"/>
        <v>", "content": "</v>
      </c>
      <c r="O88" s="40" t="s">
        <v>388</v>
      </c>
      <c r="P88" s="41" t="str">
        <f t="shared" si="19"/>
        <v>", "start": "</v>
      </c>
      <c r="Q88" s="42" t="str">
        <f ca="1">IF(INDIRECT("Dashboard!I"&amp;(ROW()-1)/3+3)="","",INDIRECT("Dashboard!I"&amp;(ROW()-1)/3+3))</f>
        <v/>
      </c>
      <c r="R88" s="41" t="str">
        <f t="shared" si="20"/>
        <v>", "end": "</v>
      </c>
      <c r="S88" s="42" t="str">
        <f ca="1">IF(INDIRECT("Dashboard!J"&amp;(ROW()-1)/3+3)="","",INDIRECT("Dashboard!J"&amp;(ROW()-1)/3+3))</f>
        <v/>
      </c>
      <c r="T88" s="118" t="str">
        <f ca="1">IF(C92="]);",LEFT(T87,2),T87)</f>
        <v>"},</v>
      </c>
      <c r="V88" s="32" t="str">
        <f t="shared" ca="1" si="21"/>
        <v>{"id": 85, "group":"6.1.1", "subgroup": "plan", "subgroupOrder":1, "className": "gray", "content": "Planned", "start": "", "end": ""},</v>
      </c>
      <c r="W88" s="37" t="s">
        <v>2</v>
      </c>
    </row>
    <row r="89" spans="1:24">
      <c r="A89" s="36"/>
      <c r="C89" s="31" t="str">
        <f ca="1">IF(AND(Q89="", S89=""),"//","")</f>
        <v>//</v>
      </c>
      <c r="D89" s="37" t="str">
        <f t="shared" si="14"/>
        <v xml:space="preserve">{"id": </v>
      </c>
      <c r="E89" s="32">
        <f t="shared" si="22"/>
        <v>86</v>
      </c>
      <c r="F89" s="37" t="str">
        <f t="shared" si="23"/>
        <v>, "group":</v>
      </c>
      <c r="G89" s="37" t="str">
        <f ca="1">G88</f>
        <v>"6.1.1"</v>
      </c>
      <c r="H89" s="37" t="str">
        <f t="shared" si="24"/>
        <v>, "subgroup": "</v>
      </c>
      <c r="I89" s="37" t="s">
        <v>397</v>
      </c>
      <c r="J89" s="37" t="str">
        <f t="shared" si="16"/>
        <v>", "subgroupOrder":</v>
      </c>
      <c r="K89" s="37">
        <v>0</v>
      </c>
      <c r="L89" s="37" t="str">
        <f t="shared" si="17"/>
        <v>, "className": "</v>
      </c>
      <c r="M89" s="32" t="str">
        <f t="shared" ca="1" si="25"/>
        <v/>
      </c>
      <c r="N89" s="37" t="str">
        <f t="shared" si="18"/>
        <v>", "content": "</v>
      </c>
      <c r="O89" s="34" t="str">
        <f ca="1">IF(INDIRECT("Dashboard!P"&amp;((ROW()+1)/3+2))=1,"Completed",IF(INDIRECT("Dashboard!P"&amp;((ROW()+1)/3+2))="","","Pending"))</f>
        <v/>
      </c>
      <c r="P89" s="37" t="str">
        <f t="shared" si="19"/>
        <v>", "start": "</v>
      </c>
      <c r="Q89" s="38" t="str">
        <f ca="1">IF(INDIRECT("Dashboard!K"&amp;((ROW()+1)/3+2))="","",INDIRECT("Dashboard!K"&amp;((ROW()+1)/3+2)))</f>
        <v/>
      </c>
      <c r="R89" s="37" t="str">
        <f t="shared" si="20"/>
        <v>", "end": "</v>
      </c>
      <c r="S89" s="38" t="str">
        <f ca="1">IF(INDIRECT("Dashboard!L"&amp;((ROW()+1)/3+2))="","",INDIRECT("Dashboard!L"&amp;((ROW()+1)/3+2)))</f>
        <v/>
      </c>
      <c r="T89" s="116" t="str">
        <f ca="1">IF(C92="]);",LEFT(T88,2),T88)</f>
        <v>"},</v>
      </c>
      <c r="V89" s="32" t="str">
        <f t="shared" ca="1" si="21"/>
        <v/>
      </c>
      <c r="W89" s="37" t="s">
        <v>2</v>
      </c>
      <c r="X89" s="32" t="str">
        <f ca="1">G89&amp;" : "&amp;INDIRECT("Dashboard!G"&amp;((ROW()+1)/3+2))</f>
        <v>"6.1.1" : Note : HVAC Management, Lighting Management</v>
      </c>
    </row>
    <row r="90" spans="1:24" ht="15" thickBot="1">
      <c r="A90" s="36"/>
      <c r="C90" s="28" t="str">
        <f ca="1">IF(OR(INDIRECT("Dashboard!B"&amp;(ROW()/3+2))&lt;&gt;"&gt;",AND(Q90="",S90="")),"//","")</f>
        <v>//</v>
      </c>
      <c r="D90" s="43" t="str">
        <f t="shared" si="14"/>
        <v xml:space="preserve">{"id": </v>
      </c>
      <c r="E90" s="29">
        <f t="shared" si="22"/>
        <v>87</v>
      </c>
      <c r="F90" s="43" t="str">
        <f t="shared" si="23"/>
        <v>, "group":</v>
      </c>
      <c r="G90" s="43" t="str">
        <f ca="1">G89</f>
        <v>"6.1.1"</v>
      </c>
      <c r="H90" s="43" t="str">
        <f t="shared" si="24"/>
        <v>, "subgroup": "</v>
      </c>
      <c r="I90" s="43" t="s">
        <v>397</v>
      </c>
      <c r="J90" s="43" t="str">
        <f t="shared" si="16"/>
        <v>", "subgroupOrder":</v>
      </c>
      <c r="K90" s="43">
        <v>0</v>
      </c>
      <c r="L90" s="43" t="str">
        <f t="shared" si="17"/>
        <v>, "className": "</v>
      </c>
      <c r="M90" s="29" t="str">
        <f t="shared" si="25"/>
        <v>orange</v>
      </c>
      <c r="N90" s="43" t="str">
        <f t="shared" si="18"/>
        <v>", "content": "</v>
      </c>
      <c r="O90" s="49" t="s">
        <v>392</v>
      </c>
      <c r="P90" s="43" t="str">
        <f t="shared" si="19"/>
        <v>", "start": "</v>
      </c>
      <c r="Q90" s="44" t="str">
        <f ca="1">S89</f>
        <v/>
      </c>
      <c r="R90" s="43" t="str">
        <f t="shared" si="20"/>
        <v>", "end": "</v>
      </c>
      <c r="S90" s="113" t="str">
        <f ca="1">IF(INDIRECT("Dashboard!M"&amp;(ROW()/3+2))="","",INDIRECT("Dashboard!M"&amp;(ROW()/3+2)))</f>
        <v/>
      </c>
      <c r="T90" s="117" t="str">
        <f ca="1">IF(C92="]);",LEFT(T89,2),T89)</f>
        <v>"},</v>
      </c>
      <c r="V90" s="32" t="str">
        <f t="shared" ca="1" si="21"/>
        <v/>
      </c>
      <c r="W90" s="37" t="s">
        <v>2</v>
      </c>
    </row>
    <row r="91" spans="1:24">
      <c r="A91" s="36"/>
      <c r="C91" s="25"/>
      <c r="D91" s="41" t="str">
        <f t="shared" si="14"/>
        <v xml:space="preserve">{"id": </v>
      </c>
      <c r="E91" s="26">
        <f t="shared" si="22"/>
        <v>88</v>
      </c>
      <c r="F91" s="41" t="str">
        <f t="shared" si="23"/>
        <v>, "group":</v>
      </c>
      <c r="G91" s="111" t="str">
        <f ca="1">CHAR(34)&amp;INDIRECT("Dashboard!A"&amp;(ROW()-1)/3+3)&amp;CHAR(34)</f>
        <v>"6.1.2"</v>
      </c>
      <c r="H91" s="41" t="str">
        <f t="shared" si="24"/>
        <v>, "subgroup": "</v>
      </c>
      <c r="I91" s="41" t="s">
        <v>396</v>
      </c>
      <c r="J91" s="41" t="str">
        <f t="shared" si="16"/>
        <v>", "subgroupOrder":</v>
      </c>
      <c r="K91" s="41">
        <v>1</v>
      </c>
      <c r="L91" s="41" t="str">
        <f t="shared" si="17"/>
        <v>, "className": "</v>
      </c>
      <c r="M91" s="26" t="str">
        <f t="shared" si="25"/>
        <v>gray</v>
      </c>
      <c r="N91" s="41" t="str">
        <f t="shared" si="18"/>
        <v>", "content": "</v>
      </c>
      <c r="O91" s="40" t="s">
        <v>388</v>
      </c>
      <c r="P91" s="41" t="str">
        <f t="shared" si="19"/>
        <v>", "start": "</v>
      </c>
      <c r="Q91" s="42" t="str">
        <f ca="1">IF(INDIRECT("Dashboard!I"&amp;(ROW()-1)/3+3)="","",INDIRECT("Dashboard!I"&amp;(ROW()-1)/3+3))</f>
        <v/>
      </c>
      <c r="R91" s="41" t="str">
        <f t="shared" si="20"/>
        <v>", "end": "</v>
      </c>
      <c r="S91" s="42" t="str">
        <f ca="1">IF(INDIRECT("Dashboard!J"&amp;(ROW()-1)/3+3)="","",INDIRECT("Dashboard!J"&amp;(ROW()-1)/3+3))</f>
        <v/>
      </c>
      <c r="T91" s="118" t="str">
        <f ca="1">IF(C95="]);",LEFT(T90,2),T90)</f>
        <v>"},</v>
      </c>
      <c r="V91" s="32" t="str">
        <f t="shared" ca="1" si="21"/>
        <v>{"id": 88, "group":"6.1.2", "subgroup": "plan", "subgroupOrder":1, "className": "gray", "content": "Planned", "start": "", "end": ""},</v>
      </c>
      <c r="W91" s="37" t="s">
        <v>2</v>
      </c>
    </row>
    <row r="92" spans="1:24">
      <c r="A92" s="36"/>
      <c r="C92" s="31" t="str">
        <f ca="1">IF(AND(Q92="", S92=""),"//","")</f>
        <v>//</v>
      </c>
      <c r="D92" s="37" t="str">
        <f t="shared" si="14"/>
        <v xml:space="preserve">{"id": </v>
      </c>
      <c r="E92" s="32">
        <f t="shared" si="22"/>
        <v>89</v>
      </c>
      <c r="F92" s="37" t="str">
        <f t="shared" si="23"/>
        <v>, "group":</v>
      </c>
      <c r="G92" s="37" t="str">
        <f ca="1">G91</f>
        <v>"6.1.2"</v>
      </c>
      <c r="H92" s="37" t="str">
        <f t="shared" si="24"/>
        <v>, "subgroup": "</v>
      </c>
      <c r="I92" s="37" t="s">
        <v>397</v>
      </c>
      <c r="J92" s="37" t="str">
        <f t="shared" si="16"/>
        <v>", "subgroupOrder":</v>
      </c>
      <c r="K92" s="37">
        <v>0</v>
      </c>
      <c r="L92" s="37" t="str">
        <f t="shared" si="17"/>
        <v>, "className": "</v>
      </c>
      <c r="M92" s="32" t="str">
        <f t="shared" ca="1" si="25"/>
        <v/>
      </c>
      <c r="N92" s="37" t="str">
        <f t="shared" si="18"/>
        <v>", "content": "</v>
      </c>
      <c r="O92" s="34" t="str">
        <f ca="1">IF(INDIRECT("Dashboard!P"&amp;((ROW()+1)/3+2))=1,"Completed",IF(INDIRECT("Dashboard!P"&amp;((ROW()+1)/3+2))="","","Pending"))</f>
        <v/>
      </c>
      <c r="P92" s="37" t="str">
        <f t="shared" si="19"/>
        <v>", "start": "</v>
      </c>
      <c r="Q92" s="38" t="str">
        <f ca="1">IF(INDIRECT("Dashboard!K"&amp;((ROW()+1)/3+2))="","",INDIRECT("Dashboard!K"&amp;((ROW()+1)/3+2)))</f>
        <v/>
      </c>
      <c r="R92" s="37" t="str">
        <f t="shared" si="20"/>
        <v>", "end": "</v>
      </c>
      <c r="S92" s="38" t="str">
        <f ca="1">IF(INDIRECT("Dashboard!L"&amp;((ROW()+1)/3+2))="","",INDIRECT("Dashboard!L"&amp;((ROW()+1)/3+2)))</f>
        <v/>
      </c>
      <c r="T92" s="116" t="str">
        <f ca="1">IF(C95="]);",LEFT(T91,2),T91)</f>
        <v>"},</v>
      </c>
      <c r="V92" s="32" t="str">
        <f t="shared" ca="1" si="21"/>
        <v/>
      </c>
      <c r="W92" s="37" t="s">
        <v>2</v>
      </c>
      <c r="X92" s="32" t="str">
        <f ca="1">G92&amp;" : "&amp;INDIRECT("Dashboard!G"&amp;((ROW()+1)/3+2))</f>
        <v>"6.1.2" : Note : Air quality Management, Utility Device alert management</v>
      </c>
    </row>
    <row r="93" spans="1:24" ht="15" thickBot="1">
      <c r="A93" s="36"/>
      <c r="C93" s="28" t="str">
        <f ca="1">IF(OR(INDIRECT("Dashboard!B"&amp;(ROW()/3+2))&lt;&gt;"&gt;",AND(Q93="",S93="")),"//","")</f>
        <v>//</v>
      </c>
      <c r="D93" s="43" t="str">
        <f t="shared" si="14"/>
        <v xml:space="preserve">{"id": </v>
      </c>
      <c r="E93" s="29">
        <f t="shared" si="22"/>
        <v>90</v>
      </c>
      <c r="F93" s="43" t="str">
        <f t="shared" si="23"/>
        <v>, "group":</v>
      </c>
      <c r="G93" s="43" t="str">
        <f ca="1">G92</f>
        <v>"6.1.2"</v>
      </c>
      <c r="H93" s="43" t="str">
        <f t="shared" si="24"/>
        <v>, "subgroup": "</v>
      </c>
      <c r="I93" s="43" t="s">
        <v>397</v>
      </c>
      <c r="J93" s="43" t="str">
        <f t="shared" si="16"/>
        <v>", "subgroupOrder":</v>
      </c>
      <c r="K93" s="43">
        <v>0</v>
      </c>
      <c r="L93" s="43" t="str">
        <f t="shared" si="17"/>
        <v>, "className": "</v>
      </c>
      <c r="M93" s="29" t="str">
        <f t="shared" si="25"/>
        <v>orange</v>
      </c>
      <c r="N93" s="43" t="str">
        <f t="shared" si="18"/>
        <v>", "content": "</v>
      </c>
      <c r="O93" s="49" t="s">
        <v>392</v>
      </c>
      <c r="P93" s="43" t="str">
        <f t="shared" si="19"/>
        <v>", "start": "</v>
      </c>
      <c r="Q93" s="44" t="str">
        <f ca="1">S92</f>
        <v/>
      </c>
      <c r="R93" s="43" t="str">
        <f t="shared" si="20"/>
        <v>", "end": "</v>
      </c>
      <c r="S93" s="113" t="str">
        <f ca="1">IF(INDIRECT("Dashboard!M"&amp;(ROW()/3+2))="","",INDIRECT("Dashboard!M"&amp;(ROW()/3+2)))</f>
        <v/>
      </c>
      <c r="T93" s="117" t="str">
        <f ca="1">IF(C95="]);",LEFT(T92,2),T92)</f>
        <v>"},</v>
      </c>
      <c r="V93" s="32" t="str">
        <f t="shared" ca="1" si="21"/>
        <v/>
      </c>
      <c r="W93" s="37" t="s">
        <v>2</v>
      </c>
    </row>
    <row r="94" spans="1:24">
      <c r="A94" s="36"/>
      <c r="C94" s="25"/>
      <c r="D94" s="41" t="str">
        <f t="shared" si="14"/>
        <v xml:space="preserve">{"id": </v>
      </c>
      <c r="E94" s="26">
        <f t="shared" si="22"/>
        <v>91</v>
      </c>
      <c r="F94" s="41" t="str">
        <f t="shared" si="23"/>
        <v>, "group":</v>
      </c>
      <c r="G94" s="111" t="str">
        <f ca="1">CHAR(34)&amp;INDIRECT("Dashboard!A"&amp;(ROW()-1)/3+3)&amp;CHAR(34)</f>
        <v>"6.1.3"</v>
      </c>
      <c r="H94" s="41" t="str">
        <f t="shared" si="24"/>
        <v>, "subgroup": "</v>
      </c>
      <c r="I94" s="41" t="s">
        <v>396</v>
      </c>
      <c r="J94" s="41" t="str">
        <f t="shared" si="16"/>
        <v>", "subgroupOrder":</v>
      </c>
      <c r="K94" s="41">
        <v>1</v>
      </c>
      <c r="L94" s="41" t="str">
        <f t="shared" si="17"/>
        <v>, "className": "</v>
      </c>
      <c r="M94" s="26" t="str">
        <f t="shared" si="25"/>
        <v>gray</v>
      </c>
      <c r="N94" s="41" t="str">
        <f t="shared" si="18"/>
        <v>", "content": "</v>
      </c>
      <c r="O94" s="40" t="s">
        <v>388</v>
      </c>
      <c r="P94" s="41" t="str">
        <f t="shared" si="19"/>
        <v>", "start": "</v>
      </c>
      <c r="Q94" s="42" t="str">
        <f ca="1">IF(INDIRECT("Dashboard!I"&amp;(ROW()-1)/3+3)="","",INDIRECT("Dashboard!I"&amp;(ROW()-1)/3+3))</f>
        <v/>
      </c>
      <c r="R94" s="41" t="str">
        <f t="shared" si="20"/>
        <v>", "end": "</v>
      </c>
      <c r="S94" s="42" t="str">
        <f ca="1">IF(INDIRECT("Dashboard!J"&amp;(ROW()-1)/3+3)="","",INDIRECT("Dashboard!J"&amp;(ROW()-1)/3+3))</f>
        <v/>
      </c>
      <c r="T94" s="118" t="str">
        <f ca="1">IF(C98="]);",LEFT(T93,2),T93)</f>
        <v>"},</v>
      </c>
      <c r="V94" s="32" t="str">
        <f t="shared" ca="1" si="21"/>
        <v>{"id": 91, "group":"6.1.3", "subgroup": "plan", "subgroupOrder":1, "className": "gray", "content": "Planned", "start": "", "end": ""},</v>
      </c>
      <c r="W94" s="37" t="s">
        <v>2</v>
      </c>
    </row>
    <row r="95" spans="1:24">
      <c r="A95" s="36"/>
      <c r="C95" s="31" t="str">
        <f ca="1">IF(AND(Q95="", S95=""),"//","")</f>
        <v>//</v>
      </c>
      <c r="D95" s="37" t="str">
        <f t="shared" si="14"/>
        <v xml:space="preserve">{"id": </v>
      </c>
      <c r="E95" s="32">
        <f t="shared" si="22"/>
        <v>92</v>
      </c>
      <c r="F95" s="37" t="str">
        <f t="shared" si="23"/>
        <v>, "group":</v>
      </c>
      <c r="G95" s="37" t="str">
        <f ca="1">G94</f>
        <v>"6.1.3"</v>
      </c>
      <c r="H95" s="37" t="str">
        <f t="shared" si="24"/>
        <v>, "subgroup": "</v>
      </c>
      <c r="I95" s="37" t="s">
        <v>397</v>
      </c>
      <c r="J95" s="37" t="str">
        <f t="shared" si="16"/>
        <v>", "subgroupOrder":</v>
      </c>
      <c r="K95" s="37">
        <v>0</v>
      </c>
      <c r="L95" s="37" t="str">
        <f t="shared" si="17"/>
        <v>, "className": "</v>
      </c>
      <c r="M95" s="32" t="str">
        <f t="shared" ca="1" si="25"/>
        <v/>
      </c>
      <c r="N95" s="37" t="str">
        <f t="shared" si="18"/>
        <v>", "content": "</v>
      </c>
      <c r="O95" s="34" t="str">
        <f ca="1">IF(INDIRECT("Dashboard!P"&amp;((ROW()+1)/3+2))=1,"Completed",IF(INDIRECT("Dashboard!P"&amp;((ROW()+1)/3+2))="","","Pending"))</f>
        <v/>
      </c>
      <c r="P95" s="37" t="str">
        <f t="shared" si="19"/>
        <v>", "start": "</v>
      </c>
      <c r="Q95" s="38" t="str">
        <f ca="1">IF(INDIRECT("Dashboard!K"&amp;((ROW()+1)/3+2))="","",INDIRECT("Dashboard!K"&amp;((ROW()+1)/3+2)))</f>
        <v/>
      </c>
      <c r="R95" s="37" t="str">
        <f t="shared" si="20"/>
        <v>", "end": "</v>
      </c>
      <c r="S95" s="38" t="str">
        <f ca="1">IF(INDIRECT("Dashboard!L"&amp;((ROW()+1)/3+2))="","",INDIRECT("Dashboard!L"&amp;((ROW()+1)/3+2)))</f>
        <v/>
      </c>
      <c r="T95" s="116" t="str">
        <f ca="1">IF(C98="]);",LEFT(T94,2),T94)</f>
        <v>"},</v>
      </c>
      <c r="V95" s="32" t="str">
        <f t="shared" ca="1" si="21"/>
        <v/>
      </c>
      <c r="W95" s="37" t="s">
        <v>2</v>
      </c>
      <c r="X95" s="32" t="str">
        <f ca="1">G95&amp;" : "&amp;INDIRECT("Dashboard!G"&amp;((ROW()+1)/3+2))</f>
        <v>"6.1.3" : Note : (Comfort index &amp; occupancy based optimization is applicable for energy optimization usecases)</v>
      </c>
    </row>
    <row r="96" spans="1:24" ht="15" thickBot="1">
      <c r="A96" s="36"/>
      <c r="C96" s="28" t="str">
        <f ca="1">IF(OR(INDIRECT("Dashboard!B"&amp;(ROW()/3+2))&lt;&gt;"&gt;",AND(Q96="",S96="")),"//","")</f>
        <v>//</v>
      </c>
      <c r="D96" s="43" t="str">
        <f t="shared" si="14"/>
        <v xml:space="preserve">{"id": </v>
      </c>
      <c r="E96" s="29">
        <f t="shared" si="22"/>
        <v>93</v>
      </c>
      <c r="F96" s="43" t="str">
        <f t="shared" si="23"/>
        <v>, "group":</v>
      </c>
      <c r="G96" s="43" t="str">
        <f ca="1">G95</f>
        <v>"6.1.3"</v>
      </c>
      <c r="H96" s="43" t="str">
        <f t="shared" si="24"/>
        <v>, "subgroup": "</v>
      </c>
      <c r="I96" s="43" t="s">
        <v>397</v>
      </c>
      <c r="J96" s="43" t="str">
        <f t="shared" si="16"/>
        <v>", "subgroupOrder":</v>
      </c>
      <c r="K96" s="43">
        <v>0</v>
      </c>
      <c r="L96" s="43" t="str">
        <f t="shared" si="17"/>
        <v>, "className": "</v>
      </c>
      <c r="M96" s="29" t="str">
        <f t="shared" si="25"/>
        <v>orange</v>
      </c>
      <c r="N96" s="43" t="str">
        <f t="shared" si="18"/>
        <v>", "content": "</v>
      </c>
      <c r="O96" s="49" t="s">
        <v>392</v>
      </c>
      <c r="P96" s="43" t="str">
        <f t="shared" si="19"/>
        <v>", "start": "</v>
      </c>
      <c r="Q96" s="44" t="str">
        <f ca="1">S95</f>
        <v/>
      </c>
      <c r="R96" s="43" t="str">
        <f t="shared" si="20"/>
        <v>", "end": "</v>
      </c>
      <c r="S96" s="113" t="str">
        <f ca="1">IF(INDIRECT("Dashboard!M"&amp;(ROW()/3+2))="","",INDIRECT("Dashboard!M"&amp;(ROW()/3+2)))</f>
        <v/>
      </c>
      <c r="T96" s="117" t="str">
        <f ca="1">IF(C98="]);",LEFT(T95,2),T95)</f>
        <v>"},</v>
      </c>
      <c r="V96" s="32" t="str">
        <f t="shared" ca="1" si="21"/>
        <v/>
      </c>
      <c r="W96" s="37" t="s">
        <v>2</v>
      </c>
    </row>
    <row r="97" spans="1:24">
      <c r="A97" s="36"/>
      <c r="C97" s="25"/>
      <c r="D97" s="41" t="str">
        <f t="shared" si="14"/>
        <v xml:space="preserve">{"id": </v>
      </c>
      <c r="E97" s="26">
        <f t="shared" si="22"/>
        <v>94</v>
      </c>
      <c r="F97" s="41" t="str">
        <f t="shared" si="23"/>
        <v>, "group":</v>
      </c>
      <c r="G97" s="111" t="str">
        <f ca="1">CHAR(34)&amp;INDIRECT("Dashboard!A"&amp;(ROW()-1)/3+3)&amp;CHAR(34)</f>
        <v>"6.2"</v>
      </c>
      <c r="H97" s="41" t="str">
        <f t="shared" si="24"/>
        <v>, "subgroup": "</v>
      </c>
      <c r="I97" s="41" t="s">
        <v>396</v>
      </c>
      <c r="J97" s="41" t="str">
        <f t="shared" si="16"/>
        <v>", "subgroupOrder":</v>
      </c>
      <c r="K97" s="41">
        <v>1</v>
      </c>
      <c r="L97" s="41" t="str">
        <f t="shared" si="17"/>
        <v>, "className": "</v>
      </c>
      <c r="M97" s="26" t="str">
        <f t="shared" si="25"/>
        <v>gray</v>
      </c>
      <c r="N97" s="41" t="str">
        <f t="shared" si="18"/>
        <v>", "content": "</v>
      </c>
      <c r="O97" s="40" t="s">
        <v>388</v>
      </c>
      <c r="P97" s="41" t="str">
        <f t="shared" si="19"/>
        <v>", "start": "</v>
      </c>
      <c r="Q97" s="42">
        <f ca="1">IF(INDIRECT("Dashboard!I"&amp;(ROW()-1)/3+3)="","",INDIRECT("Dashboard!I"&amp;(ROW()-1)/3+3))</f>
        <v>44743</v>
      </c>
      <c r="R97" s="41" t="str">
        <f t="shared" si="20"/>
        <v>", "end": "</v>
      </c>
      <c r="S97" s="42">
        <f ca="1">IF(INDIRECT("Dashboard!J"&amp;(ROW()-1)/3+3)="","",INDIRECT("Dashboard!J"&amp;(ROW()-1)/3+3))</f>
        <v>45077</v>
      </c>
      <c r="T97" s="118" t="str">
        <f ca="1">IF(C101="]);",LEFT(T96,2),T96)</f>
        <v>"},</v>
      </c>
      <c r="V97" s="32" t="str">
        <f t="shared" ca="1" si="21"/>
        <v>{"id": 94, "group":"6.2", "subgroup": "plan", "subgroupOrder":1, "className": "gray", "content": "Planned", "start": "2022-07-01", "end": "2023-05-31"},</v>
      </c>
      <c r="W97" s="37" t="s">
        <v>2</v>
      </c>
    </row>
    <row r="98" spans="1:24">
      <c r="A98" s="36"/>
      <c r="C98" s="31" t="str">
        <f ca="1">IF(AND(Q98="", S98=""),"//","")</f>
        <v/>
      </c>
      <c r="D98" s="37" t="str">
        <f t="shared" si="14"/>
        <v xml:space="preserve">{"id": </v>
      </c>
      <c r="E98" s="32">
        <f t="shared" si="22"/>
        <v>95</v>
      </c>
      <c r="F98" s="37" t="str">
        <f t="shared" si="23"/>
        <v>, "group":</v>
      </c>
      <c r="G98" s="37" t="str">
        <f ca="1">G97</f>
        <v>"6.2"</v>
      </c>
      <c r="H98" s="37" t="str">
        <f t="shared" si="24"/>
        <v>, "subgroup": "</v>
      </c>
      <c r="I98" s="37" t="s">
        <v>397</v>
      </c>
      <c r="J98" s="37" t="str">
        <f t="shared" si="16"/>
        <v>", "subgroupOrder":</v>
      </c>
      <c r="K98" s="37">
        <v>0</v>
      </c>
      <c r="L98" s="37" t="str">
        <f t="shared" si="17"/>
        <v>, "className": "</v>
      </c>
      <c r="M98" s="32" t="str">
        <f t="shared" ref="M98:M161" ca="1" si="26">IF(ISNA(VLOOKUP(O98,$X$1:$Y$4,2,FALSE)),"",VLOOKUP(O98,$X$1:$Y$4,2,FALSE))</f>
        <v>pink-white</v>
      </c>
      <c r="N98" s="37" t="str">
        <f t="shared" si="18"/>
        <v>", "content": "</v>
      </c>
      <c r="O98" s="34" t="str">
        <f ca="1">IF(INDIRECT("Dashboard!P"&amp;((ROW()+1)/3+2))=1,"Completed",IF(INDIRECT("Dashboard!P"&amp;((ROW()+1)/3+2))="","","Pending"))</f>
        <v>Pending</v>
      </c>
      <c r="P98" s="37" t="str">
        <f t="shared" si="19"/>
        <v>", "start": "</v>
      </c>
      <c r="Q98" s="38">
        <f ca="1">IF(INDIRECT("Dashboard!K"&amp;((ROW()+1)/3+2))="","",INDIRECT("Dashboard!K"&amp;((ROW()+1)/3+2)))</f>
        <v>44743</v>
      </c>
      <c r="R98" s="37" t="str">
        <f t="shared" si="20"/>
        <v>", "end": "</v>
      </c>
      <c r="S98" s="38">
        <f ca="1">IF(INDIRECT("Dashboard!L"&amp;((ROW()+1)/3+2))="","",INDIRECT("Dashboard!L"&amp;((ROW()+1)/3+2)))</f>
        <v>44985</v>
      </c>
      <c r="T98" s="116" t="str">
        <f ca="1">IF(C101="]);",LEFT(T97,2),T97)</f>
        <v>"},</v>
      </c>
      <c r="V98" s="32" t="str">
        <f t="shared" ca="1" si="21"/>
        <v>{"id": 95, "group":"6.2", "subgroup": "actual", "subgroupOrder":0, "className": "pink-white", "content": "Pending", "start": "2022-07-01", "end": "2023-02-28"},</v>
      </c>
      <c r="W98" s="37" t="s">
        <v>2</v>
      </c>
      <c r="X98" s="32" t="str">
        <f ca="1">G98&amp;" : "&amp;INDIRECT("Dashboard!G"&amp;((ROW()+1)/3+2))</f>
        <v>"6.2" : (V1)(Optimization) Technical design document explaining the data schema and algorithm</v>
      </c>
    </row>
    <row r="99" spans="1:24" ht="15" thickBot="1">
      <c r="A99" s="36"/>
      <c r="C99" s="28" t="str">
        <f ca="1">IF(OR(INDIRECT("Dashboard!B"&amp;(ROW()/3+2))&lt;&gt;"&gt;",AND(Q99="",S99="")),"//","")</f>
        <v/>
      </c>
      <c r="D99" s="43" t="str">
        <f t="shared" si="14"/>
        <v xml:space="preserve">{"id": </v>
      </c>
      <c r="E99" s="29">
        <f t="shared" si="22"/>
        <v>96</v>
      </c>
      <c r="F99" s="43" t="str">
        <f t="shared" si="23"/>
        <v>, "group":</v>
      </c>
      <c r="G99" s="43" t="str">
        <f ca="1">G98</f>
        <v>"6.2"</v>
      </c>
      <c r="H99" s="43" t="str">
        <f t="shared" si="24"/>
        <v>, "subgroup": "</v>
      </c>
      <c r="I99" s="43" t="s">
        <v>397</v>
      </c>
      <c r="J99" s="43" t="str">
        <f t="shared" si="16"/>
        <v>", "subgroupOrder":</v>
      </c>
      <c r="K99" s="43">
        <v>0</v>
      </c>
      <c r="L99" s="43" t="str">
        <f t="shared" si="17"/>
        <v>, "className": "</v>
      </c>
      <c r="M99" s="29" t="str">
        <f t="shared" si="26"/>
        <v>orange</v>
      </c>
      <c r="N99" s="43" t="str">
        <f t="shared" si="18"/>
        <v>", "content": "</v>
      </c>
      <c r="O99" s="49" t="s">
        <v>392</v>
      </c>
      <c r="P99" s="43" t="str">
        <f t="shared" si="19"/>
        <v>", "start": "</v>
      </c>
      <c r="Q99" s="44">
        <f ca="1">S98</f>
        <v>44985</v>
      </c>
      <c r="R99" s="43" t="str">
        <f t="shared" si="20"/>
        <v>", "end": "</v>
      </c>
      <c r="S99" s="113">
        <f ca="1">IF(INDIRECT("Dashboard!M"&amp;(ROW()/3+2))="","",INDIRECT("Dashboard!M"&amp;(ROW()/3+2)))</f>
        <v>45041</v>
      </c>
      <c r="T99" s="117" t="str">
        <f ca="1">IF(C101="]);",LEFT(T98,2),T98)</f>
        <v>"},</v>
      </c>
      <c r="V99" s="32" t="str">
        <f t="shared" ca="1" si="21"/>
        <v>{"id": 96, "group":"6.2", "subgroup": "actual", "subgroupOrder":0, "className": "orange", "content": "Validation", "start": "2023-02-28", "end": "2023-04-25"},</v>
      </c>
      <c r="W99" s="37" t="s">
        <v>2</v>
      </c>
    </row>
    <row r="100" spans="1:24">
      <c r="A100" s="36"/>
      <c r="C100" s="25"/>
      <c r="D100" s="41" t="str">
        <f t="shared" si="14"/>
        <v xml:space="preserve">{"id": </v>
      </c>
      <c r="E100" s="26">
        <f t="shared" si="22"/>
        <v>97</v>
      </c>
      <c r="F100" s="41" t="str">
        <f t="shared" si="23"/>
        <v>, "group":</v>
      </c>
      <c r="G100" s="111" t="str">
        <f ca="1">CHAR(34)&amp;INDIRECT("Dashboard!A"&amp;(ROW()-1)/3+3)&amp;CHAR(34)</f>
        <v>"6.3"</v>
      </c>
      <c r="H100" s="41" t="str">
        <f t="shared" si="24"/>
        <v>, "subgroup": "</v>
      </c>
      <c r="I100" s="41" t="s">
        <v>396</v>
      </c>
      <c r="J100" s="41" t="str">
        <f t="shared" si="16"/>
        <v>", "subgroupOrder":</v>
      </c>
      <c r="K100" s="41">
        <v>1</v>
      </c>
      <c r="L100" s="41" t="str">
        <f t="shared" si="17"/>
        <v>, "className": "</v>
      </c>
      <c r="M100" s="26" t="str">
        <f t="shared" si="26"/>
        <v>gray</v>
      </c>
      <c r="N100" s="41" t="str">
        <f t="shared" si="18"/>
        <v>", "content": "</v>
      </c>
      <c r="O100" s="40" t="s">
        <v>388</v>
      </c>
      <c r="P100" s="41" t="str">
        <f t="shared" si="19"/>
        <v>", "start": "</v>
      </c>
      <c r="Q100" s="42">
        <f ca="1">IF(INDIRECT("Dashboard!I"&amp;(ROW()-1)/3+3)="","",INDIRECT("Dashboard!I"&amp;(ROW()-1)/3+3))</f>
        <v>44743</v>
      </c>
      <c r="R100" s="41" t="str">
        <f t="shared" si="20"/>
        <v>", "end": "</v>
      </c>
      <c r="S100" s="42">
        <f ca="1">IF(INDIRECT("Dashboard!J"&amp;(ROW()-1)/3+3)="","",INDIRECT("Dashboard!J"&amp;(ROW()-1)/3+3))</f>
        <v>45077</v>
      </c>
      <c r="T100" s="118" t="str">
        <f ca="1">IF(C104="]);",LEFT(T99,2),T99)</f>
        <v>"},</v>
      </c>
      <c r="V100" s="32" t="str">
        <f t="shared" ca="1" si="21"/>
        <v>{"id": 97, "group":"6.3", "subgroup": "plan", "subgroupOrder":1, "className": "gray", "content": "Planned", "start": "2022-07-01", "end": "2023-05-31"},</v>
      </c>
      <c r="W100" s="37" t="s">
        <v>2</v>
      </c>
    </row>
    <row r="101" spans="1:24">
      <c r="A101" s="36"/>
      <c r="C101" s="31" t="str">
        <f ca="1">IF(AND(Q101="", S101=""),"//","")</f>
        <v/>
      </c>
      <c r="D101" s="37" t="str">
        <f t="shared" si="14"/>
        <v xml:space="preserve">{"id": </v>
      </c>
      <c r="E101" s="32">
        <f t="shared" si="22"/>
        <v>98</v>
      </c>
      <c r="F101" s="37" t="str">
        <f t="shared" si="23"/>
        <v>, "group":</v>
      </c>
      <c r="G101" s="37" t="str">
        <f ca="1">G100</f>
        <v>"6.3"</v>
      </c>
      <c r="H101" s="37" t="str">
        <f t="shared" si="24"/>
        <v>, "subgroup": "</v>
      </c>
      <c r="I101" s="37" t="s">
        <v>397</v>
      </c>
      <c r="J101" s="37" t="str">
        <f t="shared" si="16"/>
        <v>", "subgroupOrder":</v>
      </c>
      <c r="K101" s="37">
        <v>0</v>
      </c>
      <c r="L101" s="37" t="str">
        <f t="shared" si="17"/>
        <v>, "className": "</v>
      </c>
      <c r="M101" s="32" t="str">
        <f t="shared" ca="1" si="26"/>
        <v>pink-white</v>
      </c>
      <c r="N101" s="37" t="str">
        <f t="shared" si="18"/>
        <v>", "content": "</v>
      </c>
      <c r="O101" s="34" t="str">
        <f ca="1">IF(INDIRECT("Dashboard!P"&amp;((ROW()+1)/3+2))=1,"Completed",IF(INDIRECT("Dashboard!P"&amp;((ROW()+1)/3+2))="","","Pending"))</f>
        <v>Pending</v>
      </c>
      <c r="P101" s="37" t="str">
        <f t="shared" si="19"/>
        <v>", "start": "</v>
      </c>
      <c r="Q101" s="38">
        <f ca="1">IF(INDIRECT("Dashboard!K"&amp;((ROW()+1)/3+2))="","",INDIRECT("Dashboard!K"&amp;((ROW()+1)/3+2)))</f>
        <v>44743</v>
      </c>
      <c r="R101" s="37" t="str">
        <f t="shared" si="20"/>
        <v>", "end": "</v>
      </c>
      <c r="S101" s="38">
        <f ca="1">IF(INDIRECT("Dashboard!L"&amp;((ROW()+1)/3+2))="","",INDIRECT("Dashboard!L"&amp;((ROW()+1)/3+2)))</f>
        <v>45041</v>
      </c>
      <c r="T101" s="116" t="str">
        <f ca="1">IF(C104="]);",LEFT(T100,2),T100)</f>
        <v>"},</v>
      </c>
      <c r="V101" s="32" t="str">
        <f t="shared" ca="1" si="21"/>
        <v>{"id": 98, "group":"6.3", "subgroup": "actual", "subgroupOrder":0, "className": "pink-white", "content": "Pending", "start": "2022-07-01", "end": "2023-04-25"},</v>
      </c>
      <c r="W101" s="37" t="s">
        <v>2</v>
      </c>
      <c r="X101" s="32" t="str">
        <f ca="1">G101&amp;" : "&amp;INDIRECT("Dashboard!G"&amp;((ROW()+1)/3+2))</f>
        <v>"6.3" : (V2)(Optimization) Technical design document explaining the data schema and algorithm</v>
      </c>
    </row>
    <row r="102" spans="1:24" ht="15" thickBot="1">
      <c r="A102" s="36"/>
      <c r="C102" s="28" t="str">
        <f ca="1">IF(OR(INDIRECT("Dashboard!B"&amp;(ROW()/3+2))&lt;&gt;"&gt;",AND(Q102="",S102="")),"//","")</f>
        <v/>
      </c>
      <c r="D102" s="43" t="str">
        <f t="shared" si="14"/>
        <v xml:space="preserve">{"id": </v>
      </c>
      <c r="E102" s="29">
        <f t="shared" si="22"/>
        <v>99</v>
      </c>
      <c r="F102" s="43" t="str">
        <f t="shared" si="23"/>
        <v>, "group":</v>
      </c>
      <c r="G102" s="43" t="str">
        <f ca="1">G101</f>
        <v>"6.3"</v>
      </c>
      <c r="H102" s="43" t="str">
        <f t="shared" si="24"/>
        <v>, "subgroup": "</v>
      </c>
      <c r="I102" s="43" t="s">
        <v>397</v>
      </c>
      <c r="J102" s="43" t="str">
        <f t="shared" si="16"/>
        <v>", "subgroupOrder":</v>
      </c>
      <c r="K102" s="43">
        <v>0</v>
      </c>
      <c r="L102" s="43" t="str">
        <f t="shared" si="17"/>
        <v>, "className": "</v>
      </c>
      <c r="M102" s="29" t="str">
        <f t="shared" si="26"/>
        <v>orange</v>
      </c>
      <c r="N102" s="43" t="str">
        <f t="shared" si="18"/>
        <v>", "content": "</v>
      </c>
      <c r="O102" s="49" t="s">
        <v>392</v>
      </c>
      <c r="P102" s="43" t="str">
        <f t="shared" si="19"/>
        <v>", "start": "</v>
      </c>
      <c r="Q102" s="44">
        <f ca="1">S101</f>
        <v>45041</v>
      </c>
      <c r="R102" s="43" t="str">
        <f t="shared" si="20"/>
        <v>", "end": "</v>
      </c>
      <c r="S102" s="113" t="str">
        <f ca="1">IF(INDIRECT("Dashboard!M"&amp;(ROW()/3+2))="","",INDIRECT("Dashboard!M"&amp;(ROW()/3+2)))</f>
        <v>v2: Waiting for approval from LiteON</v>
      </c>
      <c r="T102" s="117" t="str">
        <f ca="1">IF(C104="]);",LEFT(T101,2),T101)</f>
        <v>"},</v>
      </c>
      <c r="V102" s="32" t="str">
        <f t="shared" ca="1" si="21"/>
        <v>{"id": 99, "group":"6.3", "subgroup": "actual", "subgroupOrder":0, "className": "orange", "content": "Validation", "start": "2023-04-25", "end": "v2: Waiting for approval from LiteON"},</v>
      </c>
      <c r="W102" s="37" t="s">
        <v>2</v>
      </c>
    </row>
    <row r="103" spans="1:24">
      <c r="A103" s="36"/>
      <c r="C103" s="25"/>
      <c r="D103" s="41" t="str">
        <f t="shared" si="14"/>
        <v xml:space="preserve">{"id": </v>
      </c>
      <c r="E103" s="26">
        <f t="shared" si="22"/>
        <v>100</v>
      </c>
      <c r="F103" s="41" t="str">
        <f t="shared" si="23"/>
        <v>, "group":</v>
      </c>
      <c r="G103" s="111" t="str">
        <f ca="1">CHAR(34)&amp;INDIRECT("Dashboard!A"&amp;(ROW()-1)/3+3)&amp;CHAR(34)</f>
        <v>"6.4"</v>
      </c>
      <c r="H103" s="41" t="str">
        <f t="shared" si="24"/>
        <v>, "subgroup": "</v>
      </c>
      <c r="I103" s="41" t="s">
        <v>396</v>
      </c>
      <c r="J103" s="41" t="str">
        <f t="shared" si="16"/>
        <v>", "subgroupOrder":</v>
      </c>
      <c r="K103" s="41">
        <v>1</v>
      </c>
      <c r="L103" s="41" t="str">
        <f t="shared" si="17"/>
        <v>, "className": "</v>
      </c>
      <c r="M103" s="26" t="str">
        <f t="shared" si="26"/>
        <v>gray</v>
      </c>
      <c r="N103" s="41" t="str">
        <f t="shared" si="18"/>
        <v>", "content": "</v>
      </c>
      <c r="O103" s="40" t="s">
        <v>388</v>
      </c>
      <c r="P103" s="41" t="str">
        <f t="shared" si="19"/>
        <v>", "start": "</v>
      </c>
      <c r="Q103" s="42">
        <f ca="1">IF(INDIRECT("Dashboard!I"&amp;(ROW()-1)/3+3)="","",INDIRECT("Dashboard!I"&amp;(ROW()-1)/3+3))</f>
        <v>44743</v>
      </c>
      <c r="R103" s="41" t="str">
        <f t="shared" si="20"/>
        <v>", "end": "</v>
      </c>
      <c r="S103" s="42">
        <f ca="1">IF(INDIRECT("Dashboard!J"&amp;(ROW()-1)/3+3)="","",INDIRECT("Dashboard!J"&amp;(ROW()-1)/3+3))</f>
        <v>45077</v>
      </c>
      <c r="T103" s="118" t="str">
        <f ca="1">IF(C107="]);",LEFT(T102,2),T102)</f>
        <v>"},</v>
      </c>
      <c r="V103" s="32" t="str">
        <f t="shared" ca="1" si="21"/>
        <v>{"id": 100, "group":"6.4", "subgroup": "plan", "subgroupOrder":1, "className": "gray", "content": "Planned", "start": "2022-07-01", "end": "2023-05-31"},</v>
      </c>
      <c r="W103" s="37" t="s">
        <v>2</v>
      </c>
    </row>
    <row r="104" spans="1:24">
      <c r="A104" s="36"/>
      <c r="C104" s="31" t="str">
        <f ca="1">IF(AND(Q104="", S104=""),"//","")</f>
        <v/>
      </c>
      <c r="D104" s="37" t="str">
        <f t="shared" si="14"/>
        <v xml:space="preserve">{"id": </v>
      </c>
      <c r="E104" s="32">
        <f t="shared" si="22"/>
        <v>101</v>
      </c>
      <c r="F104" s="37" t="str">
        <f t="shared" si="23"/>
        <v>, "group":</v>
      </c>
      <c r="G104" s="37" t="str">
        <f ca="1">G103</f>
        <v>"6.4"</v>
      </c>
      <c r="H104" s="37" t="str">
        <f t="shared" si="24"/>
        <v>, "subgroup": "</v>
      </c>
      <c r="I104" s="37" t="s">
        <v>397</v>
      </c>
      <c r="J104" s="37" t="str">
        <f t="shared" si="16"/>
        <v>", "subgroupOrder":</v>
      </c>
      <c r="K104" s="37">
        <v>0</v>
      </c>
      <c r="L104" s="37" t="str">
        <f t="shared" si="17"/>
        <v>, "className": "</v>
      </c>
      <c r="M104" s="32" t="str">
        <f t="shared" ca="1" si="26"/>
        <v>pink-white</v>
      </c>
      <c r="N104" s="37" t="str">
        <f t="shared" si="18"/>
        <v>", "content": "</v>
      </c>
      <c r="O104" s="34" t="str">
        <f ca="1">IF(INDIRECT("Dashboard!P"&amp;((ROW()+1)/3+2))=1,"Completed",IF(INDIRECT("Dashboard!P"&amp;((ROW()+1)/3+2))="","","Pending"))</f>
        <v>Pending</v>
      </c>
      <c r="P104" s="37" t="str">
        <f t="shared" si="19"/>
        <v>", "start": "</v>
      </c>
      <c r="Q104" s="38">
        <f ca="1">IF(INDIRECT("Dashboard!K"&amp;((ROW()+1)/3+2))="","",INDIRECT("Dashboard!K"&amp;((ROW()+1)/3+2)))</f>
        <v>44743</v>
      </c>
      <c r="R104" s="37" t="str">
        <f t="shared" si="20"/>
        <v>", "end": "</v>
      </c>
      <c r="S104" s="38">
        <f ca="1">IF(INDIRECT("Dashboard!L"&amp;((ROW()+1)/3+2))="","",INDIRECT("Dashboard!L"&amp;((ROW()+1)/3+2)))</f>
        <v>44985</v>
      </c>
      <c r="T104" s="116" t="str">
        <f ca="1">IF(C107="]);",LEFT(T103,2),T103)</f>
        <v>"},</v>
      </c>
      <c r="V104" s="32" t="str">
        <f t="shared" ca="1" si="21"/>
        <v>{"id": 101, "group":"6.4", "subgroup": "actual", "subgroupOrder":0, "className": "pink-white", "content": "Pending", "start": "2022-07-01", "end": "2023-02-28"},</v>
      </c>
      <c r="W104" s="37" t="s">
        <v>2</v>
      </c>
      <c r="X104" s="32" t="str">
        <f ca="1">G104&amp;" : "&amp;INDIRECT("Dashboard!G"&amp;((ROW()+1)/3+2))</f>
        <v>"6.4" : (V1)(Optimization) Software Code</v>
      </c>
    </row>
    <row r="105" spans="1:24" ht="15" thickBot="1">
      <c r="A105" s="36"/>
      <c r="C105" s="28" t="str">
        <f ca="1">IF(OR(INDIRECT("Dashboard!B"&amp;(ROW()/3+2))&lt;&gt;"&gt;",AND(Q105="",S105="")),"//","")</f>
        <v/>
      </c>
      <c r="D105" s="43" t="str">
        <f t="shared" si="14"/>
        <v xml:space="preserve">{"id": </v>
      </c>
      <c r="E105" s="29">
        <f t="shared" si="22"/>
        <v>102</v>
      </c>
      <c r="F105" s="43" t="str">
        <f t="shared" si="23"/>
        <v>, "group":</v>
      </c>
      <c r="G105" s="43" t="str">
        <f ca="1">G104</f>
        <v>"6.4"</v>
      </c>
      <c r="H105" s="43" t="str">
        <f t="shared" si="24"/>
        <v>, "subgroup": "</v>
      </c>
      <c r="I105" s="43" t="s">
        <v>397</v>
      </c>
      <c r="J105" s="43" t="str">
        <f t="shared" si="16"/>
        <v>", "subgroupOrder":</v>
      </c>
      <c r="K105" s="43">
        <v>0</v>
      </c>
      <c r="L105" s="43" t="str">
        <f t="shared" si="17"/>
        <v>, "className": "</v>
      </c>
      <c r="M105" s="29" t="str">
        <f t="shared" si="26"/>
        <v>orange</v>
      </c>
      <c r="N105" s="43" t="str">
        <f t="shared" si="18"/>
        <v>", "content": "</v>
      </c>
      <c r="O105" s="49" t="s">
        <v>392</v>
      </c>
      <c r="P105" s="43" t="str">
        <f t="shared" si="19"/>
        <v>", "start": "</v>
      </c>
      <c r="Q105" s="44">
        <f ca="1">S104</f>
        <v>44985</v>
      </c>
      <c r="R105" s="43" t="str">
        <f t="shared" si="20"/>
        <v>", "end": "</v>
      </c>
      <c r="S105" s="113">
        <f ca="1">IF(INDIRECT("Dashboard!M"&amp;(ROW()/3+2))="","",INDIRECT("Dashboard!M"&amp;(ROW()/3+2)))</f>
        <v>45041</v>
      </c>
      <c r="T105" s="117" t="str">
        <f ca="1">IF(C107="]);",LEFT(T104,2),T104)</f>
        <v>"},</v>
      </c>
      <c r="V105" s="32" t="str">
        <f t="shared" ca="1" si="21"/>
        <v>{"id": 102, "group":"6.4", "subgroup": "actual", "subgroupOrder":0, "className": "orange", "content": "Validation", "start": "2023-02-28", "end": "2023-04-25"},</v>
      </c>
      <c r="W105" s="37" t="s">
        <v>2</v>
      </c>
    </row>
    <row r="106" spans="1:24">
      <c r="A106" s="36"/>
      <c r="C106" s="25"/>
      <c r="D106" s="41" t="str">
        <f t="shared" si="14"/>
        <v xml:space="preserve">{"id": </v>
      </c>
      <c r="E106" s="26">
        <f t="shared" si="22"/>
        <v>103</v>
      </c>
      <c r="F106" s="41" t="str">
        <f t="shared" si="23"/>
        <v>, "group":</v>
      </c>
      <c r="G106" s="111" t="str">
        <f ca="1">CHAR(34)&amp;INDIRECT("Dashboard!A"&amp;(ROW()-1)/3+3)&amp;CHAR(34)</f>
        <v>"6.5"</v>
      </c>
      <c r="H106" s="41" t="str">
        <f t="shared" si="24"/>
        <v>, "subgroup": "</v>
      </c>
      <c r="I106" s="41" t="s">
        <v>396</v>
      </c>
      <c r="J106" s="41" t="str">
        <f t="shared" si="16"/>
        <v>", "subgroupOrder":</v>
      </c>
      <c r="K106" s="41">
        <v>1</v>
      </c>
      <c r="L106" s="41" t="str">
        <f t="shared" si="17"/>
        <v>, "className": "</v>
      </c>
      <c r="M106" s="26" t="str">
        <f t="shared" si="26"/>
        <v>gray</v>
      </c>
      <c r="N106" s="41" t="str">
        <f t="shared" si="18"/>
        <v>", "content": "</v>
      </c>
      <c r="O106" s="40" t="s">
        <v>388</v>
      </c>
      <c r="P106" s="41" t="str">
        <f t="shared" si="19"/>
        <v>", "start": "</v>
      </c>
      <c r="Q106" s="42">
        <f ca="1">IF(INDIRECT("Dashboard!I"&amp;(ROW()-1)/3+3)="","",INDIRECT("Dashboard!I"&amp;(ROW()-1)/3+3))</f>
        <v>44743</v>
      </c>
      <c r="R106" s="41" t="str">
        <f t="shared" si="20"/>
        <v>", "end": "</v>
      </c>
      <c r="S106" s="42">
        <f ca="1">IF(INDIRECT("Dashboard!J"&amp;(ROW()-1)/3+3)="","",INDIRECT("Dashboard!J"&amp;(ROW()-1)/3+3))</f>
        <v>45077</v>
      </c>
      <c r="T106" s="118" t="str">
        <f ca="1">IF(C110="]);",LEFT(T105,2),T105)</f>
        <v>"},</v>
      </c>
      <c r="V106" s="32" t="str">
        <f t="shared" ca="1" si="21"/>
        <v>{"id": 103, "group":"6.5", "subgroup": "plan", "subgroupOrder":1, "className": "gray", "content": "Planned", "start": "2022-07-01", "end": "2023-05-31"},</v>
      </c>
      <c r="W106" s="37" t="s">
        <v>2</v>
      </c>
    </row>
    <row r="107" spans="1:24">
      <c r="A107" s="36"/>
      <c r="C107" s="31" t="str">
        <f ca="1">IF(AND(Q107="", S107=""),"//","")</f>
        <v/>
      </c>
      <c r="D107" s="37" t="str">
        <f t="shared" si="14"/>
        <v xml:space="preserve">{"id": </v>
      </c>
      <c r="E107" s="32">
        <f t="shared" si="22"/>
        <v>104</v>
      </c>
      <c r="F107" s="37" t="str">
        <f t="shared" si="23"/>
        <v>, "group":</v>
      </c>
      <c r="G107" s="37" t="str">
        <f ca="1">G106</f>
        <v>"6.5"</v>
      </c>
      <c r="H107" s="37" t="str">
        <f t="shared" si="24"/>
        <v>, "subgroup": "</v>
      </c>
      <c r="I107" s="37" t="s">
        <v>397</v>
      </c>
      <c r="J107" s="37" t="str">
        <f t="shared" si="16"/>
        <v>", "subgroupOrder":</v>
      </c>
      <c r="K107" s="37">
        <v>0</v>
      </c>
      <c r="L107" s="37" t="str">
        <f t="shared" si="17"/>
        <v>, "className": "</v>
      </c>
      <c r="M107" s="32" t="str">
        <f t="shared" ca="1" si="26"/>
        <v>pink-white</v>
      </c>
      <c r="N107" s="37" t="str">
        <f t="shared" si="18"/>
        <v>", "content": "</v>
      </c>
      <c r="O107" s="34" t="str">
        <f ca="1">IF(INDIRECT("Dashboard!P"&amp;((ROW()+1)/3+2))=1,"Completed",IF(INDIRECT("Dashboard!P"&amp;((ROW()+1)/3+2))="","","Pending"))</f>
        <v>Pending</v>
      </c>
      <c r="P107" s="37" t="str">
        <f t="shared" si="19"/>
        <v>", "start": "</v>
      </c>
      <c r="Q107" s="38">
        <f ca="1">IF(INDIRECT("Dashboard!K"&amp;((ROW()+1)/3+2))="","",INDIRECT("Dashboard!K"&amp;((ROW()+1)/3+2)))</f>
        <v>44743</v>
      </c>
      <c r="R107" s="37" t="str">
        <f t="shared" si="20"/>
        <v>", "end": "</v>
      </c>
      <c r="S107" s="38">
        <f ca="1">IF(INDIRECT("Dashboard!L"&amp;((ROW()+1)/3+2))="","",INDIRECT("Dashboard!L"&amp;((ROW()+1)/3+2)))</f>
        <v>45041</v>
      </c>
      <c r="T107" s="116" t="str">
        <f ca="1">IF(C110="]);",LEFT(T106,2),T106)</f>
        <v>"},</v>
      </c>
      <c r="V107" s="32" t="str">
        <f t="shared" ca="1" si="21"/>
        <v>{"id": 104, "group":"6.5", "subgroup": "actual", "subgroupOrder":0, "className": "pink-white", "content": "Pending", "start": "2022-07-01", "end": "2023-04-25"},</v>
      </c>
      <c r="W107" s="37" t="s">
        <v>2</v>
      </c>
      <c r="X107" s="32" t="str">
        <f ca="1">G107&amp;" : "&amp;INDIRECT("Dashboard!G"&amp;((ROW()+1)/3+2))</f>
        <v>"6.5" : (V2)Optimization) Software Code</v>
      </c>
    </row>
    <row r="108" spans="1:24" ht="15" thickBot="1">
      <c r="A108" s="36"/>
      <c r="C108" s="28" t="str">
        <f ca="1">IF(OR(INDIRECT("Dashboard!B"&amp;(ROW()/3+2))&lt;&gt;"&gt;",AND(Q108="",S108="")),"//","")</f>
        <v/>
      </c>
      <c r="D108" s="43" t="str">
        <f t="shared" si="14"/>
        <v xml:space="preserve">{"id": </v>
      </c>
      <c r="E108" s="29">
        <f t="shared" si="22"/>
        <v>105</v>
      </c>
      <c r="F108" s="43" t="str">
        <f t="shared" si="23"/>
        <v>, "group":</v>
      </c>
      <c r="G108" s="43" t="str">
        <f ca="1">G107</f>
        <v>"6.5"</v>
      </c>
      <c r="H108" s="43" t="str">
        <f t="shared" si="24"/>
        <v>, "subgroup": "</v>
      </c>
      <c r="I108" s="43" t="s">
        <v>397</v>
      </c>
      <c r="J108" s="43" t="str">
        <f t="shared" si="16"/>
        <v>", "subgroupOrder":</v>
      </c>
      <c r="K108" s="43">
        <v>0</v>
      </c>
      <c r="L108" s="43" t="str">
        <f t="shared" si="17"/>
        <v>, "className": "</v>
      </c>
      <c r="M108" s="29" t="str">
        <f t="shared" si="26"/>
        <v>orange</v>
      </c>
      <c r="N108" s="43" t="str">
        <f t="shared" si="18"/>
        <v>", "content": "</v>
      </c>
      <c r="O108" s="49" t="s">
        <v>392</v>
      </c>
      <c r="P108" s="43" t="str">
        <f t="shared" si="19"/>
        <v>", "start": "</v>
      </c>
      <c r="Q108" s="44">
        <f ca="1">S107</f>
        <v>45041</v>
      </c>
      <c r="R108" s="43" t="str">
        <f t="shared" si="20"/>
        <v>", "end": "</v>
      </c>
      <c r="S108" s="113" t="str">
        <f ca="1">IF(INDIRECT("Dashboard!M"&amp;(ROW()/3+2))="","",INDIRECT("Dashboard!M"&amp;(ROW()/3+2)))</f>
        <v>v2: Waiting for approval from LiteON</v>
      </c>
      <c r="T108" s="117" t="str">
        <f ca="1">IF(C110="]);",LEFT(T107,2),T107)</f>
        <v>"},</v>
      </c>
      <c r="V108" s="32" t="str">
        <f t="shared" ca="1" si="21"/>
        <v>{"id": 105, "group":"6.5", "subgroup": "actual", "subgroupOrder":0, "className": "orange", "content": "Validation", "start": "2023-04-25", "end": "v2: Waiting for approval from LiteON"},</v>
      </c>
      <c r="W108" s="37" t="s">
        <v>2</v>
      </c>
    </row>
    <row r="109" spans="1:24">
      <c r="A109" s="36"/>
      <c r="C109" s="25"/>
      <c r="D109" s="41" t="str">
        <f t="shared" si="14"/>
        <v xml:space="preserve">{"id": </v>
      </c>
      <c r="E109" s="26">
        <f t="shared" si="22"/>
        <v>106</v>
      </c>
      <c r="F109" s="41" t="str">
        <f t="shared" si="23"/>
        <v>, "group":</v>
      </c>
      <c r="G109" s="111" t="str">
        <f ca="1">CHAR(34)&amp;INDIRECT("Dashboard!A"&amp;(ROW()-1)/3+3)&amp;CHAR(34)</f>
        <v>"6.6"</v>
      </c>
      <c r="H109" s="41" t="str">
        <f t="shared" si="24"/>
        <v>, "subgroup": "</v>
      </c>
      <c r="I109" s="41" t="s">
        <v>396</v>
      </c>
      <c r="J109" s="41" t="str">
        <f t="shared" si="16"/>
        <v>", "subgroupOrder":</v>
      </c>
      <c r="K109" s="41">
        <v>1</v>
      </c>
      <c r="L109" s="41" t="str">
        <f t="shared" si="17"/>
        <v>, "className": "</v>
      </c>
      <c r="M109" s="26" t="str">
        <f t="shared" si="26"/>
        <v>gray</v>
      </c>
      <c r="N109" s="41" t="str">
        <f t="shared" si="18"/>
        <v>", "content": "</v>
      </c>
      <c r="O109" s="40" t="s">
        <v>388</v>
      </c>
      <c r="P109" s="41" t="str">
        <f t="shared" si="19"/>
        <v>", "start": "</v>
      </c>
      <c r="Q109" s="42">
        <f ca="1">IF(INDIRECT("Dashboard!I"&amp;(ROW()-1)/3+3)="","",INDIRECT("Dashboard!I"&amp;(ROW()-1)/3+3))</f>
        <v>44743</v>
      </c>
      <c r="R109" s="41" t="str">
        <f t="shared" si="20"/>
        <v>", "end": "</v>
      </c>
      <c r="S109" s="42">
        <f ca="1">IF(INDIRECT("Dashboard!J"&amp;(ROW()-1)/3+3)="","",INDIRECT("Dashboard!J"&amp;(ROW()-1)/3+3))</f>
        <v>45077</v>
      </c>
      <c r="T109" s="118" t="str">
        <f ca="1">IF(C113="]);",LEFT(T108,2),T108)</f>
        <v>"},</v>
      </c>
      <c r="V109" s="32" t="str">
        <f t="shared" ca="1" si="21"/>
        <v>{"id": 106, "group":"6.6", "subgroup": "plan", "subgroupOrder":1, "className": "gray", "content": "Planned", "start": "2022-07-01", "end": "2023-05-31"},</v>
      </c>
      <c r="W109" s="37" t="s">
        <v>2</v>
      </c>
    </row>
    <row r="110" spans="1:24">
      <c r="A110" s="36"/>
      <c r="C110" s="31" t="str">
        <f ca="1">IF(AND(Q110="", S110=""),"//","")</f>
        <v/>
      </c>
      <c r="D110" s="37" t="str">
        <f t="shared" si="14"/>
        <v xml:space="preserve">{"id": </v>
      </c>
      <c r="E110" s="32">
        <f t="shared" si="22"/>
        <v>107</v>
      </c>
      <c r="F110" s="37" t="str">
        <f t="shared" si="23"/>
        <v>, "group":</v>
      </c>
      <c r="G110" s="37" t="str">
        <f ca="1">G109</f>
        <v>"6.6"</v>
      </c>
      <c r="H110" s="37" t="str">
        <f t="shared" si="24"/>
        <v>, "subgroup": "</v>
      </c>
      <c r="I110" s="37" t="s">
        <v>397</v>
      </c>
      <c r="J110" s="37" t="str">
        <f t="shared" si="16"/>
        <v>", "subgroupOrder":</v>
      </c>
      <c r="K110" s="37">
        <v>0</v>
      </c>
      <c r="L110" s="37" t="str">
        <f t="shared" si="17"/>
        <v>, "className": "</v>
      </c>
      <c r="M110" s="32" t="str">
        <f t="shared" ca="1" si="26"/>
        <v>pink-white</v>
      </c>
      <c r="N110" s="37" t="str">
        <f t="shared" si="18"/>
        <v>", "content": "</v>
      </c>
      <c r="O110" s="34" t="str">
        <f ca="1">IF(INDIRECT("Dashboard!P"&amp;((ROW()+1)/3+2))=1,"Completed",IF(INDIRECT("Dashboard!P"&amp;((ROW()+1)/3+2))="","","Pending"))</f>
        <v>Pending</v>
      </c>
      <c r="P110" s="37" t="str">
        <f t="shared" si="19"/>
        <v>", "start": "</v>
      </c>
      <c r="Q110" s="38">
        <f ca="1">IF(INDIRECT("Dashboard!K"&amp;((ROW()+1)/3+2))="","",INDIRECT("Dashboard!K"&amp;((ROW()+1)/3+2)))</f>
        <v>44743</v>
      </c>
      <c r="R110" s="37" t="str">
        <f t="shared" si="20"/>
        <v>", "end": "</v>
      </c>
      <c r="S110" s="38">
        <f ca="1">IF(INDIRECT("Dashboard!L"&amp;((ROW()+1)/3+2))="","",INDIRECT("Dashboard!L"&amp;((ROW()+1)/3+2)))</f>
        <v>45077</v>
      </c>
      <c r="T110" s="116" t="str">
        <f ca="1">IF(C113="]);",LEFT(T109,2),T109)</f>
        <v>"},</v>
      </c>
      <c r="V110" s="32" t="str">
        <f t="shared" ca="1" si="21"/>
        <v>{"id": 107, "group":"6.6", "subgroup": "actual", "subgroupOrder":0, "className": "pink-white", "content": "Pending", "start": "2022-07-01", "end": "2023-05-31"},</v>
      </c>
      <c r="W110" s="37" t="s">
        <v>2</v>
      </c>
      <c r="X110" s="32" t="str">
        <f ca="1">G110&amp;" : "&amp;INDIRECT("Dashboard!G"&amp;((ROW()+1)/3+2))</f>
        <v>"6.6" : (Optimization) Deployment Procedure of the code</v>
      </c>
    </row>
    <row r="111" spans="1:24" ht="15" thickBot="1">
      <c r="A111" s="36"/>
      <c r="C111" s="28" t="str">
        <f ca="1">IF(OR(INDIRECT("Dashboard!B"&amp;(ROW()/3+2))&lt;&gt;"&gt;",AND(Q111="",S111="")),"//","")</f>
        <v/>
      </c>
      <c r="D111" s="43" t="str">
        <f t="shared" si="14"/>
        <v xml:space="preserve">{"id": </v>
      </c>
      <c r="E111" s="29">
        <f t="shared" si="22"/>
        <v>108</v>
      </c>
      <c r="F111" s="43" t="str">
        <f t="shared" si="23"/>
        <v>, "group":</v>
      </c>
      <c r="G111" s="43" t="str">
        <f ca="1">G110</f>
        <v>"6.6"</v>
      </c>
      <c r="H111" s="43" t="str">
        <f t="shared" si="24"/>
        <v>, "subgroup": "</v>
      </c>
      <c r="I111" s="43" t="s">
        <v>397</v>
      </c>
      <c r="J111" s="43" t="str">
        <f t="shared" si="16"/>
        <v>", "subgroupOrder":</v>
      </c>
      <c r="K111" s="43">
        <v>0</v>
      </c>
      <c r="L111" s="43" t="str">
        <f t="shared" si="17"/>
        <v>, "className": "</v>
      </c>
      <c r="M111" s="29" t="str">
        <f t="shared" si="26"/>
        <v>orange</v>
      </c>
      <c r="N111" s="43" t="str">
        <f t="shared" si="18"/>
        <v>", "content": "</v>
      </c>
      <c r="O111" s="49" t="s">
        <v>392</v>
      </c>
      <c r="P111" s="43" t="str">
        <f t="shared" si="19"/>
        <v>", "start": "</v>
      </c>
      <c r="Q111" s="44">
        <f ca="1">S110</f>
        <v>45077</v>
      </c>
      <c r="R111" s="43" t="str">
        <f t="shared" si="20"/>
        <v>", "end": "</v>
      </c>
      <c r="S111" s="113" t="str">
        <f ca="1">IF(INDIRECT("Dashboard!M"&amp;(ROW()/3+2))="","",INDIRECT("Dashboard!M"&amp;(ROW()/3+2)))</f>
        <v>Waiting for approval from LiteON</v>
      </c>
      <c r="T111" s="117" t="str">
        <f ca="1">IF(C113="]);",LEFT(T110,2),T110)</f>
        <v>"},</v>
      </c>
      <c r="V111" s="32" t="str">
        <f t="shared" ca="1" si="21"/>
        <v>{"id": 108, "group":"6.6", "subgroup": "actual", "subgroupOrder":0, "className": "orange", "content": "Validation", "start": "2023-05-31", "end": "Waiting for approval from LiteON"},</v>
      </c>
      <c r="W111" s="37" t="s">
        <v>2</v>
      </c>
    </row>
    <row r="112" spans="1:24">
      <c r="A112" s="36"/>
      <c r="C112" s="25"/>
      <c r="D112" s="41" t="str">
        <f t="shared" si="14"/>
        <v xml:space="preserve">{"id": </v>
      </c>
      <c r="E112" s="26">
        <f t="shared" si="22"/>
        <v>109</v>
      </c>
      <c r="F112" s="41" t="str">
        <f t="shared" si="23"/>
        <v>, "group":</v>
      </c>
      <c r="G112" s="111" t="str">
        <f ca="1">CHAR(34)&amp;INDIRECT("Dashboard!A"&amp;(ROW()-1)/3+3)&amp;CHAR(34)</f>
        <v>"6.7"</v>
      </c>
      <c r="H112" s="41" t="str">
        <f t="shared" si="24"/>
        <v>, "subgroup": "</v>
      </c>
      <c r="I112" s="41" t="s">
        <v>396</v>
      </c>
      <c r="J112" s="41" t="str">
        <f t="shared" si="16"/>
        <v>", "subgroupOrder":</v>
      </c>
      <c r="K112" s="41">
        <v>1</v>
      </c>
      <c r="L112" s="41" t="str">
        <f t="shared" si="17"/>
        <v>, "className": "</v>
      </c>
      <c r="M112" s="26" t="str">
        <f t="shared" si="26"/>
        <v>gray</v>
      </c>
      <c r="N112" s="41" t="str">
        <f t="shared" si="18"/>
        <v>", "content": "</v>
      </c>
      <c r="O112" s="40" t="s">
        <v>388</v>
      </c>
      <c r="P112" s="41" t="str">
        <f t="shared" si="19"/>
        <v>", "start": "</v>
      </c>
      <c r="Q112" s="42">
        <f ca="1">IF(INDIRECT("Dashboard!I"&amp;(ROW()-1)/3+3)="","",INDIRECT("Dashboard!I"&amp;(ROW()-1)/3+3))</f>
        <v>44743</v>
      </c>
      <c r="R112" s="41" t="str">
        <f t="shared" si="20"/>
        <v>", "end": "</v>
      </c>
      <c r="S112" s="42">
        <f ca="1">IF(INDIRECT("Dashboard!J"&amp;(ROW()-1)/3+3)="","",INDIRECT("Dashboard!J"&amp;(ROW()-1)/3+3))</f>
        <v>45077</v>
      </c>
      <c r="T112" s="118" t="str">
        <f ca="1">IF(C116="]);",LEFT(T111,2),T111)</f>
        <v>"},</v>
      </c>
      <c r="V112" s="32" t="str">
        <f t="shared" ca="1" si="21"/>
        <v>{"id": 109, "group":"6.7", "subgroup": "plan", "subgroupOrder":1, "className": "gray", "content": "Planned", "start": "2022-07-01", "end": "2023-05-31"},</v>
      </c>
      <c r="W112" s="37" t="s">
        <v>2</v>
      </c>
    </row>
    <row r="113" spans="1:24">
      <c r="A113" s="36"/>
      <c r="C113" s="31" t="str">
        <f ca="1">IF(AND(Q113="", S113=""),"//","")</f>
        <v/>
      </c>
      <c r="D113" s="37" t="str">
        <f t="shared" si="14"/>
        <v xml:space="preserve">{"id": </v>
      </c>
      <c r="E113" s="32">
        <f t="shared" si="22"/>
        <v>110</v>
      </c>
      <c r="F113" s="37" t="str">
        <f t="shared" si="23"/>
        <v>, "group":</v>
      </c>
      <c r="G113" s="37" t="str">
        <f ca="1">G112</f>
        <v>"6.7"</v>
      </c>
      <c r="H113" s="37" t="str">
        <f t="shared" si="24"/>
        <v>, "subgroup": "</v>
      </c>
      <c r="I113" s="37" t="s">
        <v>397</v>
      </c>
      <c r="J113" s="37" t="str">
        <f t="shared" si="16"/>
        <v>", "subgroupOrder":</v>
      </c>
      <c r="K113" s="37">
        <v>0</v>
      </c>
      <c r="L113" s="37" t="str">
        <f t="shared" si="17"/>
        <v>, "className": "</v>
      </c>
      <c r="M113" s="32" t="str">
        <f t="shared" ca="1" si="26"/>
        <v>pink-white</v>
      </c>
      <c r="N113" s="37" t="str">
        <f t="shared" si="18"/>
        <v>", "content": "</v>
      </c>
      <c r="O113" s="34" t="str">
        <f ca="1">IF(INDIRECT("Dashboard!P"&amp;((ROW()+1)/3+2))=1,"Completed",IF(INDIRECT("Dashboard!P"&amp;((ROW()+1)/3+2))="","","Pending"))</f>
        <v>Pending</v>
      </c>
      <c r="P113" s="37" t="str">
        <f t="shared" si="19"/>
        <v>", "start": "</v>
      </c>
      <c r="Q113" s="38">
        <f ca="1">IF(INDIRECT("Dashboard!K"&amp;((ROW()+1)/3+2))="","",INDIRECT("Dashboard!K"&amp;((ROW()+1)/3+2)))</f>
        <v>44743</v>
      </c>
      <c r="R113" s="37" t="str">
        <f t="shared" si="20"/>
        <v>", "end": "</v>
      </c>
      <c r="S113" s="38">
        <f ca="1">IF(INDIRECT("Dashboard!L"&amp;((ROW()+1)/3+2))="","",INDIRECT("Dashboard!L"&amp;((ROW()+1)/3+2)))</f>
        <v>45041</v>
      </c>
      <c r="T113" s="116" t="str">
        <f ca="1">IF(C116="]);",LEFT(T112,2),T112)</f>
        <v>"},</v>
      </c>
      <c r="V113" s="32" t="str">
        <f t="shared" ca="1" si="21"/>
        <v>{"id": 110, "group":"6.7", "subgroup": "actual", "subgroupOrder":0, "className": "pink-white", "content": "Pending", "start": "2022-07-01", "end": "2023-04-25"},</v>
      </c>
      <c r="W113" s="37" t="s">
        <v>2</v>
      </c>
      <c r="X113" s="32" t="str">
        <f ca="1">G113&amp;" : "&amp;INDIRECT("Dashboard!G"&amp;((ROW()+1)/3+2))</f>
        <v>"6.7" : (Optimization) Product usage guide with examples for all the functional usecases</v>
      </c>
    </row>
    <row r="114" spans="1:24" ht="15" thickBot="1">
      <c r="A114" s="36"/>
      <c r="C114" s="28" t="str">
        <f ca="1">IF(OR(INDIRECT("Dashboard!B"&amp;(ROW()/3+2))&lt;&gt;"&gt;",AND(Q114="",S114="")),"//","")</f>
        <v/>
      </c>
      <c r="D114" s="43" t="str">
        <f t="shared" si="14"/>
        <v xml:space="preserve">{"id": </v>
      </c>
      <c r="E114" s="29">
        <f t="shared" si="22"/>
        <v>111</v>
      </c>
      <c r="F114" s="43" t="str">
        <f t="shared" si="23"/>
        <v>, "group":</v>
      </c>
      <c r="G114" s="43" t="str">
        <f ca="1">G113</f>
        <v>"6.7"</v>
      </c>
      <c r="H114" s="43" t="str">
        <f t="shared" si="24"/>
        <v>, "subgroup": "</v>
      </c>
      <c r="I114" s="43" t="s">
        <v>397</v>
      </c>
      <c r="J114" s="43" t="str">
        <f t="shared" si="16"/>
        <v>", "subgroupOrder":</v>
      </c>
      <c r="K114" s="43">
        <v>0</v>
      </c>
      <c r="L114" s="43" t="str">
        <f t="shared" si="17"/>
        <v>, "className": "</v>
      </c>
      <c r="M114" s="29" t="str">
        <f t="shared" si="26"/>
        <v>orange</v>
      </c>
      <c r="N114" s="43" t="str">
        <f t="shared" si="18"/>
        <v>", "content": "</v>
      </c>
      <c r="O114" s="49" t="s">
        <v>392</v>
      </c>
      <c r="P114" s="43" t="str">
        <f t="shared" si="19"/>
        <v>", "start": "</v>
      </c>
      <c r="Q114" s="44">
        <f ca="1">S113</f>
        <v>45041</v>
      </c>
      <c r="R114" s="43" t="str">
        <f t="shared" si="20"/>
        <v>", "end": "</v>
      </c>
      <c r="S114" s="113" t="str">
        <f ca="1">IF(INDIRECT("Dashboard!M"&amp;(ROW()/3+2))="","",INDIRECT("Dashboard!M"&amp;(ROW()/3+2)))</f>
        <v>Waiting for approval from LiteON</v>
      </c>
      <c r="T114" s="117" t="str">
        <f ca="1">IF(C116="]);",LEFT(T113,2),T113)</f>
        <v>"},</v>
      </c>
      <c r="V114" s="32" t="str">
        <f t="shared" ca="1" si="21"/>
        <v>{"id": 111, "group":"6.7", "subgroup": "actual", "subgroupOrder":0, "className": "orange", "content": "Validation", "start": "2023-04-25", "end": "Waiting for approval from LiteON"},</v>
      </c>
      <c r="W114" s="37" t="s">
        <v>2</v>
      </c>
    </row>
    <row r="115" spans="1:24">
      <c r="A115" s="36"/>
      <c r="C115" s="25"/>
      <c r="D115" s="41" t="str">
        <f t="shared" si="14"/>
        <v xml:space="preserve">{"id": </v>
      </c>
      <c r="E115" s="26">
        <f t="shared" si="22"/>
        <v>112</v>
      </c>
      <c r="F115" s="41" t="str">
        <f t="shared" si="23"/>
        <v>, "group":</v>
      </c>
      <c r="G115" s="111" t="str">
        <f ca="1">CHAR(34)&amp;INDIRECT("Dashboard!A"&amp;(ROW()-1)/3+3)&amp;CHAR(34)</f>
        <v>"6.8"</v>
      </c>
      <c r="H115" s="41" t="str">
        <f t="shared" si="24"/>
        <v>, "subgroup": "</v>
      </c>
      <c r="I115" s="41" t="s">
        <v>396</v>
      </c>
      <c r="J115" s="41" t="str">
        <f t="shared" si="16"/>
        <v>", "subgroupOrder":</v>
      </c>
      <c r="K115" s="41">
        <v>1</v>
      </c>
      <c r="L115" s="41" t="str">
        <f t="shared" si="17"/>
        <v>, "className": "</v>
      </c>
      <c r="M115" s="26" t="str">
        <f t="shared" si="26"/>
        <v>gray</v>
      </c>
      <c r="N115" s="41" t="str">
        <f t="shared" si="18"/>
        <v>", "content": "</v>
      </c>
      <c r="O115" s="40" t="s">
        <v>388</v>
      </c>
      <c r="P115" s="41" t="str">
        <f t="shared" si="19"/>
        <v>", "start": "</v>
      </c>
      <c r="Q115" s="42">
        <f ca="1">IF(INDIRECT("Dashboard!I"&amp;(ROW()-1)/3+3)="","",INDIRECT("Dashboard!I"&amp;(ROW()-1)/3+3))</f>
        <v>44743</v>
      </c>
      <c r="R115" s="41" t="str">
        <f t="shared" si="20"/>
        <v>", "end": "</v>
      </c>
      <c r="S115" s="42">
        <f ca="1">IF(INDIRECT("Dashboard!J"&amp;(ROW()-1)/3+3)="","",INDIRECT("Dashboard!J"&amp;(ROW()-1)/3+3))</f>
        <v>45077</v>
      </c>
      <c r="T115" s="118" t="str">
        <f ca="1">IF(C119="]);",LEFT(T114,2),T114)</f>
        <v>"},</v>
      </c>
      <c r="V115" s="32" t="str">
        <f t="shared" ca="1" si="21"/>
        <v>{"id": 112, "group":"6.8", "subgroup": "plan", "subgroupOrder":1, "className": "gray", "content": "Planned", "start": "2022-07-01", "end": "2023-05-31"},</v>
      </c>
      <c r="W115" s="37" t="s">
        <v>2</v>
      </c>
    </row>
    <row r="116" spans="1:24">
      <c r="A116" s="36"/>
      <c r="C116" s="31" t="str">
        <f ca="1">IF(AND(Q116="", S116=""),"//","")</f>
        <v/>
      </c>
      <c r="D116" s="37" t="str">
        <f t="shared" si="14"/>
        <v xml:space="preserve">{"id": </v>
      </c>
      <c r="E116" s="32">
        <f t="shared" si="22"/>
        <v>113</v>
      </c>
      <c r="F116" s="37" t="str">
        <f t="shared" si="23"/>
        <v>, "group":</v>
      </c>
      <c r="G116" s="37" t="str">
        <f ca="1">G115</f>
        <v>"6.8"</v>
      </c>
      <c r="H116" s="37" t="str">
        <f t="shared" si="24"/>
        <v>, "subgroup": "</v>
      </c>
      <c r="I116" s="37" t="s">
        <v>397</v>
      </c>
      <c r="J116" s="37" t="str">
        <f t="shared" si="16"/>
        <v>", "subgroupOrder":</v>
      </c>
      <c r="K116" s="37">
        <v>0</v>
      </c>
      <c r="L116" s="37" t="str">
        <f t="shared" si="17"/>
        <v>, "className": "</v>
      </c>
      <c r="M116" s="32" t="str">
        <f t="shared" ca="1" si="26"/>
        <v>pink-white</v>
      </c>
      <c r="N116" s="37" t="str">
        <f t="shared" si="18"/>
        <v>", "content": "</v>
      </c>
      <c r="O116" s="34" t="str">
        <f ca="1">IF(INDIRECT("Dashboard!P"&amp;((ROW()+1)/3+2))=1,"Completed",IF(INDIRECT("Dashboard!P"&amp;((ROW()+1)/3+2))="","","Pending"))</f>
        <v>Pending</v>
      </c>
      <c r="P116" s="37" t="str">
        <f t="shared" si="19"/>
        <v>", "start": "</v>
      </c>
      <c r="Q116" s="38">
        <f ca="1">IF(INDIRECT("Dashboard!K"&amp;((ROW()+1)/3+2))="","",INDIRECT("Dashboard!K"&amp;((ROW()+1)/3+2)))</f>
        <v>44743</v>
      </c>
      <c r="R116" s="37" t="str">
        <f t="shared" si="20"/>
        <v>", "end": "</v>
      </c>
      <c r="S116" s="38">
        <f ca="1">IF(INDIRECT("Dashboard!L"&amp;((ROW()+1)/3+2))="","",INDIRECT("Dashboard!L"&amp;((ROW()+1)/3+2)))</f>
        <v>45061</v>
      </c>
      <c r="T116" s="116" t="str">
        <f ca="1">IF(C119="]);",LEFT(T115,2),T115)</f>
        <v>"},</v>
      </c>
      <c r="V116" s="32" t="str">
        <f t="shared" ca="1" si="21"/>
        <v>{"id": 113, "group":"6.8", "subgroup": "actual", "subgroupOrder":0, "className": "pink-white", "content": "Pending", "start": "2022-07-01", "end": "2023-05-15"},</v>
      </c>
      <c r="W116" s="37" t="s">
        <v>2</v>
      </c>
      <c r="X116" s="32" t="str">
        <f ca="1">G116&amp;" : "&amp;INDIRECT("Dashboard!G"&amp;((ROW()+1)/3+2))</f>
        <v xml:space="preserve">"6.8" : (Optimization) Test report </v>
      </c>
    </row>
    <row r="117" spans="1:24" ht="15" thickBot="1">
      <c r="A117" s="36"/>
      <c r="C117" s="28" t="str">
        <f ca="1">IF(OR(INDIRECT("Dashboard!B"&amp;(ROW()/3+2))&lt;&gt;"&gt;",AND(Q117="",S117="")),"//","")</f>
        <v/>
      </c>
      <c r="D117" s="43" t="str">
        <f t="shared" si="14"/>
        <v xml:space="preserve">{"id": </v>
      </c>
      <c r="E117" s="29">
        <f t="shared" si="22"/>
        <v>114</v>
      </c>
      <c r="F117" s="43" t="str">
        <f t="shared" si="23"/>
        <v>, "group":</v>
      </c>
      <c r="G117" s="43" t="str">
        <f ca="1">G116</f>
        <v>"6.8"</v>
      </c>
      <c r="H117" s="43" t="str">
        <f t="shared" si="24"/>
        <v>, "subgroup": "</v>
      </c>
      <c r="I117" s="43" t="s">
        <v>397</v>
      </c>
      <c r="J117" s="43" t="str">
        <f t="shared" si="16"/>
        <v>", "subgroupOrder":</v>
      </c>
      <c r="K117" s="43">
        <v>0</v>
      </c>
      <c r="L117" s="43" t="str">
        <f t="shared" si="17"/>
        <v>, "className": "</v>
      </c>
      <c r="M117" s="29" t="str">
        <f t="shared" si="26"/>
        <v>orange</v>
      </c>
      <c r="N117" s="43" t="str">
        <f t="shared" si="18"/>
        <v>", "content": "</v>
      </c>
      <c r="O117" s="49" t="s">
        <v>392</v>
      </c>
      <c r="P117" s="43" t="str">
        <f t="shared" si="19"/>
        <v>", "start": "</v>
      </c>
      <c r="Q117" s="44">
        <f ca="1">S116</f>
        <v>45061</v>
      </c>
      <c r="R117" s="43" t="str">
        <f t="shared" si="20"/>
        <v>", "end": "</v>
      </c>
      <c r="S117" s="113" t="str">
        <f ca="1">IF(INDIRECT("Dashboard!M"&amp;(ROW()/3+2))="","",INDIRECT("Dashboard!M"&amp;(ROW()/3+2)))</f>
        <v>Waiting for approval from LiteON</v>
      </c>
      <c r="T117" s="117" t="str">
        <f ca="1">IF(C119="]);",LEFT(T116,2),T116)</f>
        <v>"},</v>
      </c>
      <c r="V117" s="32" t="str">
        <f t="shared" ca="1" si="21"/>
        <v>{"id": 114, "group":"6.8", "subgroup": "actual", "subgroupOrder":0, "className": "orange", "content": "Validation", "start": "2023-05-15", "end": "Waiting for approval from LiteON"},</v>
      </c>
      <c r="W117" s="37" t="s">
        <v>2</v>
      </c>
    </row>
    <row r="118" spans="1:24">
      <c r="A118" s="36"/>
      <c r="C118" s="25"/>
      <c r="D118" s="41" t="str">
        <f t="shared" si="14"/>
        <v xml:space="preserve">{"id": </v>
      </c>
      <c r="E118" s="26">
        <f t="shared" si="22"/>
        <v>115</v>
      </c>
      <c r="F118" s="41" t="str">
        <f t="shared" si="23"/>
        <v>, "group":</v>
      </c>
      <c r="G118" s="111" t="str">
        <f ca="1">CHAR(34)&amp;INDIRECT("Dashboard!A"&amp;(ROW()-1)/3+3)&amp;CHAR(34)</f>
        <v>"6.9"</v>
      </c>
      <c r="H118" s="41" t="str">
        <f t="shared" si="24"/>
        <v>, "subgroup": "</v>
      </c>
      <c r="I118" s="41" t="s">
        <v>396</v>
      </c>
      <c r="J118" s="41" t="str">
        <f t="shared" si="16"/>
        <v>", "subgroupOrder":</v>
      </c>
      <c r="K118" s="41">
        <v>1</v>
      </c>
      <c r="L118" s="41" t="str">
        <f t="shared" si="17"/>
        <v>, "className": "</v>
      </c>
      <c r="M118" s="26" t="str">
        <f t="shared" si="26"/>
        <v>gray</v>
      </c>
      <c r="N118" s="41" t="str">
        <f t="shared" si="18"/>
        <v>", "content": "</v>
      </c>
      <c r="O118" s="40" t="s">
        <v>388</v>
      </c>
      <c r="P118" s="41" t="str">
        <f t="shared" si="19"/>
        <v>", "start": "</v>
      </c>
      <c r="Q118" s="42" t="str">
        <f ca="1">IF(INDIRECT("Dashboard!I"&amp;(ROW()-1)/3+3)="","",INDIRECT("Dashboard!I"&amp;(ROW()-1)/3+3))</f>
        <v/>
      </c>
      <c r="R118" s="41" t="str">
        <f t="shared" si="20"/>
        <v>", "end": "</v>
      </c>
      <c r="S118" s="42" t="str">
        <f ca="1">IF(INDIRECT("Dashboard!J"&amp;(ROW()-1)/3+3)="","",INDIRECT("Dashboard!J"&amp;(ROW()-1)/3+3))</f>
        <v/>
      </c>
      <c r="T118" s="118" t="str">
        <f ca="1">IF(C122="]);",LEFT(T117,2),T117)</f>
        <v>"},</v>
      </c>
      <c r="V118" s="32" t="str">
        <f t="shared" ca="1" si="21"/>
        <v>{"id": 115, "group":"6.9", "subgroup": "plan", "subgroupOrder":1, "className": "gray", "content": "Planned", "start": "", "end": ""},</v>
      </c>
      <c r="W118" s="37" t="s">
        <v>2</v>
      </c>
    </row>
    <row r="119" spans="1:24">
      <c r="A119" s="36"/>
      <c r="C119" s="31" t="str">
        <f ca="1">IF(AND(Q119="", S119=""),"//","")</f>
        <v>//</v>
      </c>
      <c r="D119" s="37" t="str">
        <f t="shared" si="14"/>
        <v xml:space="preserve">{"id": </v>
      </c>
      <c r="E119" s="32">
        <f t="shared" si="22"/>
        <v>116</v>
      </c>
      <c r="F119" s="37" t="str">
        <f t="shared" si="23"/>
        <v>, "group":</v>
      </c>
      <c r="G119" s="37" t="str">
        <f ca="1">G118</f>
        <v>"6.9"</v>
      </c>
      <c r="H119" s="37" t="str">
        <f t="shared" si="24"/>
        <v>, "subgroup": "</v>
      </c>
      <c r="I119" s="37" t="s">
        <v>397</v>
      </c>
      <c r="J119" s="37" t="str">
        <f t="shared" si="16"/>
        <v>", "subgroupOrder":</v>
      </c>
      <c r="K119" s="37">
        <v>0</v>
      </c>
      <c r="L119" s="37" t="str">
        <f t="shared" si="17"/>
        <v>, "className": "</v>
      </c>
      <c r="M119" s="32" t="str">
        <f t="shared" ca="1" si="26"/>
        <v/>
      </c>
      <c r="N119" s="37" t="str">
        <f t="shared" si="18"/>
        <v>", "content": "</v>
      </c>
      <c r="O119" s="34" t="str">
        <f ca="1">IF(INDIRECT("Dashboard!P"&amp;((ROW()+1)/3+2))=1,"Completed",IF(INDIRECT("Dashboard!P"&amp;((ROW()+1)/3+2))="","","Pending"))</f>
        <v/>
      </c>
      <c r="P119" s="37" t="str">
        <f t="shared" si="19"/>
        <v>", "start": "</v>
      </c>
      <c r="Q119" s="38" t="str">
        <f ca="1">IF(INDIRECT("Dashboard!K"&amp;((ROW()+1)/3+2))="","",INDIRECT("Dashboard!K"&amp;((ROW()+1)/3+2)))</f>
        <v/>
      </c>
      <c r="R119" s="37" t="str">
        <f t="shared" si="20"/>
        <v>", "end": "</v>
      </c>
      <c r="S119" s="38" t="str">
        <f ca="1">IF(INDIRECT("Dashboard!L"&amp;((ROW()+1)/3+2))="","",INDIRECT("Dashboard!L"&amp;((ROW()+1)/3+2)))</f>
        <v/>
      </c>
      <c r="T119" s="116" t="str">
        <f ca="1">IF(C122="]);",LEFT(T118,2),T118)</f>
        <v>"},</v>
      </c>
      <c r="V119" s="32" t="str">
        <f t="shared" ca="1" si="21"/>
        <v/>
      </c>
      <c r="W119" s="37" t="s">
        <v>2</v>
      </c>
      <c r="X119" s="32" t="str">
        <f ca="1">G119&amp;" : "&amp;INDIRECT("Dashboard!G"&amp;((ROW()+1)/3+2))</f>
        <v>"6.9" : Prediction Module</v>
      </c>
    </row>
    <row r="120" spans="1:24" ht="15" thickBot="1">
      <c r="A120" s="36"/>
      <c r="C120" s="28" t="str">
        <f ca="1">IF(OR(INDIRECT("Dashboard!B"&amp;(ROW()/3+2))&lt;&gt;"&gt;",AND(Q120="",S120="")),"//","")</f>
        <v>//</v>
      </c>
      <c r="D120" s="43" t="str">
        <f t="shared" si="14"/>
        <v xml:space="preserve">{"id": </v>
      </c>
      <c r="E120" s="29">
        <f t="shared" si="22"/>
        <v>117</v>
      </c>
      <c r="F120" s="43" t="str">
        <f t="shared" si="23"/>
        <v>, "group":</v>
      </c>
      <c r="G120" s="43" t="str">
        <f ca="1">G119</f>
        <v>"6.9"</v>
      </c>
      <c r="H120" s="43" t="str">
        <f t="shared" si="24"/>
        <v>, "subgroup": "</v>
      </c>
      <c r="I120" s="43" t="s">
        <v>397</v>
      </c>
      <c r="J120" s="43" t="str">
        <f t="shared" si="16"/>
        <v>", "subgroupOrder":</v>
      </c>
      <c r="K120" s="43">
        <v>0</v>
      </c>
      <c r="L120" s="43" t="str">
        <f t="shared" si="17"/>
        <v>, "className": "</v>
      </c>
      <c r="M120" s="29" t="str">
        <f t="shared" si="26"/>
        <v>orange</v>
      </c>
      <c r="N120" s="43" t="str">
        <f t="shared" si="18"/>
        <v>", "content": "</v>
      </c>
      <c r="O120" s="49" t="s">
        <v>392</v>
      </c>
      <c r="P120" s="43" t="str">
        <f t="shared" si="19"/>
        <v>", "start": "</v>
      </c>
      <c r="Q120" s="44" t="str">
        <f ca="1">S119</f>
        <v/>
      </c>
      <c r="R120" s="43" t="str">
        <f t="shared" si="20"/>
        <v>", "end": "</v>
      </c>
      <c r="S120" s="113" t="str">
        <f ca="1">IF(INDIRECT("Dashboard!M"&amp;(ROW()/3+2))="","",INDIRECT("Dashboard!M"&amp;(ROW()/3+2)))</f>
        <v/>
      </c>
      <c r="T120" s="117" t="str">
        <f ca="1">IF(C122="]);",LEFT(T119,2),T119)</f>
        <v>"},</v>
      </c>
      <c r="V120" s="32" t="str">
        <f t="shared" ca="1" si="21"/>
        <v/>
      </c>
      <c r="W120" s="37" t="s">
        <v>2</v>
      </c>
    </row>
    <row r="121" spans="1:24">
      <c r="A121" s="36"/>
      <c r="C121" s="25"/>
      <c r="D121" s="41" t="str">
        <f t="shared" si="14"/>
        <v xml:space="preserve">{"id": </v>
      </c>
      <c r="E121" s="26">
        <f t="shared" si="22"/>
        <v>118</v>
      </c>
      <c r="F121" s="41" t="str">
        <f t="shared" si="23"/>
        <v>, "group":</v>
      </c>
      <c r="G121" s="111" t="str">
        <f ca="1">CHAR(34)&amp;INDIRECT("Dashboard!A"&amp;(ROW()-1)/3+3)&amp;CHAR(34)</f>
        <v>"6.9.1"</v>
      </c>
      <c r="H121" s="41" t="str">
        <f t="shared" si="24"/>
        <v>, "subgroup": "</v>
      </c>
      <c r="I121" s="41" t="s">
        <v>396</v>
      </c>
      <c r="J121" s="41" t="str">
        <f t="shared" si="16"/>
        <v>", "subgroupOrder":</v>
      </c>
      <c r="K121" s="41">
        <v>1</v>
      </c>
      <c r="L121" s="41" t="str">
        <f t="shared" si="17"/>
        <v>, "className": "</v>
      </c>
      <c r="M121" s="26" t="str">
        <f t="shared" si="26"/>
        <v>gray</v>
      </c>
      <c r="N121" s="41" t="str">
        <f t="shared" si="18"/>
        <v>", "content": "</v>
      </c>
      <c r="O121" s="40" t="s">
        <v>388</v>
      </c>
      <c r="P121" s="41" t="str">
        <f t="shared" si="19"/>
        <v>", "start": "</v>
      </c>
      <c r="Q121" s="42" t="str">
        <f ca="1">IF(INDIRECT("Dashboard!I"&amp;(ROW()-1)/3+3)="","",INDIRECT("Dashboard!I"&amp;(ROW()-1)/3+3))</f>
        <v/>
      </c>
      <c r="R121" s="41" t="str">
        <f t="shared" si="20"/>
        <v>", "end": "</v>
      </c>
      <c r="S121" s="42" t="str">
        <f ca="1">IF(INDIRECT("Dashboard!J"&amp;(ROW()-1)/3+3)="","",INDIRECT("Dashboard!J"&amp;(ROW()-1)/3+3))</f>
        <v/>
      </c>
      <c r="T121" s="118" t="str">
        <f ca="1">IF(C125="]);",LEFT(T120,2),T120)</f>
        <v>"},</v>
      </c>
      <c r="V121" s="32" t="str">
        <f t="shared" ca="1" si="21"/>
        <v>{"id": 118, "group":"6.9.1", "subgroup": "plan", "subgroupOrder":1, "className": "gray", "content": "Planned", "start": "", "end": ""},</v>
      </c>
      <c r="W121" s="37" t="s">
        <v>2</v>
      </c>
    </row>
    <row r="122" spans="1:24">
      <c r="A122" s="36"/>
      <c r="C122" s="31" t="str">
        <f ca="1">IF(AND(Q122="", S122=""),"//","")</f>
        <v>//</v>
      </c>
      <c r="D122" s="37" t="str">
        <f t="shared" si="14"/>
        <v xml:space="preserve">{"id": </v>
      </c>
      <c r="E122" s="32">
        <f t="shared" si="22"/>
        <v>119</v>
      </c>
      <c r="F122" s="37" t="str">
        <f t="shared" si="23"/>
        <v>, "group":</v>
      </c>
      <c r="G122" s="37" t="str">
        <f ca="1">G121</f>
        <v>"6.9.1"</v>
      </c>
      <c r="H122" s="37" t="str">
        <f t="shared" si="24"/>
        <v>, "subgroup": "</v>
      </c>
      <c r="I122" s="37" t="s">
        <v>397</v>
      </c>
      <c r="J122" s="37" t="str">
        <f t="shared" si="16"/>
        <v>", "subgroupOrder":</v>
      </c>
      <c r="K122" s="37">
        <v>0</v>
      </c>
      <c r="L122" s="37" t="str">
        <f t="shared" si="17"/>
        <v>, "className": "</v>
      </c>
      <c r="M122" s="32" t="str">
        <f t="shared" ca="1" si="26"/>
        <v/>
      </c>
      <c r="N122" s="37" t="str">
        <f t="shared" si="18"/>
        <v>", "content": "</v>
      </c>
      <c r="O122" s="34" t="str">
        <f ca="1">IF(INDIRECT("Dashboard!P"&amp;((ROW()+1)/3+2))=1,"Completed",IF(INDIRECT("Dashboard!P"&amp;((ROW()+1)/3+2))="","","Pending"))</f>
        <v/>
      </c>
      <c r="P122" s="37" t="str">
        <f t="shared" si="19"/>
        <v>", "start": "</v>
      </c>
      <c r="Q122" s="38" t="str">
        <f ca="1">IF(INDIRECT("Dashboard!K"&amp;((ROW()+1)/3+2))="","",INDIRECT("Dashboard!K"&amp;((ROW()+1)/3+2)))</f>
        <v/>
      </c>
      <c r="R122" s="37" t="str">
        <f t="shared" si="20"/>
        <v>", "end": "</v>
      </c>
      <c r="S122" s="38" t="str">
        <f ca="1">IF(INDIRECT("Dashboard!L"&amp;((ROW()+1)/3+2))="","",INDIRECT("Dashboard!L"&amp;((ROW()+1)/3+2)))</f>
        <v/>
      </c>
      <c r="T122" s="116" t="str">
        <f ca="1">IF(C125="]);",LEFT(T121,2),T121)</f>
        <v>"},</v>
      </c>
      <c r="V122" s="32" t="str">
        <f t="shared" ca="1" si="21"/>
        <v/>
      </c>
      <c r="W122" s="37" t="s">
        <v>2</v>
      </c>
      <c r="X122" s="32" t="str">
        <f ca="1">G122&amp;" : "&amp;INDIRECT("Dashboard!G"&amp;((ROW()+1)/3+2))</f>
        <v>"6.9.1" : Note : Sky Cam cloud analysis based GHI prediction, 5 minutes resolution</v>
      </c>
    </row>
    <row r="123" spans="1:24" ht="15" thickBot="1">
      <c r="A123" s="36"/>
      <c r="C123" s="28" t="str">
        <f ca="1">IF(OR(INDIRECT("Dashboard!B"&amp;(ROW()/3+2))&lt;&gt;"&gt;",AND(Q123="",S123="")),"//","")</f>
        <v>//</v>
      </c>
      <c r="D123" s="43" t="str">
        <f t="shared" si="14"/>
        <v xml:space="preserve">{"id": </v>
      </c>
      <c r="E123" s="29">
        <f t="shared" si="22"/>
        <v>120</v>
      </c>
      <c r="F123" s="43" t="str">
        <f t="shared" si="23"/>
        <v>, "group":</v>
      </c>
      <c r="G123" s="43" t="str">
        <f ca="1">G122</f>
        <v>"6.9.1"</v>
      </c>
      <c r="H123" s="43" t="str">
        <f t="shared" si="24"/>
        <v>, "subgroup": "</v>
      </c>
      <c r="I123" s="43" t="s">
        <v>397</v>
      </c>
      <c r="J123" s="43" t="str">
        <f t="shared" si="16"/>
        <v>", "subgroupOrder":</v>
      </c>
      <c r="K123" s="43">
        <v>0</v>
      </c>
      <c r="L123" s="43" t="str">
        <f t="shared" si="17"/>
        <v>, "className": "</v>
      </c>
      <c r="M123" s="29" t="str">
        <f t="shared" si="26"/>
        <v>orange</v>
      </c>
      <c r="N123" s="43" t="str">
        <f t="shared" si="18"/>
        <v>", "content": "</v>
      </c>
      <c r="O123" s="49" t="s">
        <v>392</v>
      </c>
      <c r="P123" s="43" t="str">
        <f t="shared" si="19"/>
        <v>", "start": "</v>
      </c>
      <c r="Q123" s="44" t="str">
        <f ca="1">S122</f>
        <v/>
      </c>
      <c r="R123" s="43" t="str">
        <f t="shared" si="20"/>
        <v>", "end": "</v>
      </c>
      <c r="S123" s="113" t="str">
        <f ca="1">IF(INDIRECT("Dashboard!M"&amp;(ROW()/3+2))="","",INDIRECT("Dashboard!M"&amp;(ROW()/3+2)))</f>
        <v/>
      </c>
      <c r="T123" s="117" t="str">
        <f ca="1">IF(C125="]);",LEFT(T122,2),T122)</f>
        <v>"},</v>
      </c>
      <c r="V123" s="32" t="str">
        <f t="shared" ca="1" si="21"/>
        <v/>
      </c>
      <c r="W123" s="37" t="s">
        <v>2</v>
      </c>
    </row>
    <row r="124" spans="1:24">
      <c r="A124" s="36"/>
      <c r="C124" s="25"/>
      <c r="D124" s="41" t="str">
        <f t="shared" si="14"/>
        <v xml:space="preserve">{"id": </v>
      </c>
      <c r="E124" s="26">
        <f t="shared" si="22"/>
        <v>121</v>
      </c>
      <c r="F124" s="41" t="str">
        <f t="shared" si="23"/>
        <v>, "group":</v>
      </c>
      <c r="G124" s="111" t="str">
        <f ca="1">CHAR(34)&amp;INDIRECT("Dashboard!A"&amp;(ROW()-1)/3+3)&amp;CHAR(34)</f>
        <v>"6.9.2"</v>
      </c>
      <c r="H124" s="41" t="str">
        <f t="shared" si="24"/>
        <v>, "subgroup": "</v>
      </c>
      <c r="I124" s="41" t="s">
        <v>396</v>
      </c>
      <c r="J124" s="41" t="str">
        <f t="shared" si="16"/>
        <v>", "subgroupOrder":</v>
      </c>
      <c r="K124" s="41">
        <v>1</v>
      </c>
      <c r="L124" s="41" t="str">
        <f t="shared" si="17"/>
        <v>, "className": "</v>
      </c>
      <c r="M124" s="26" t="str">
        <f t="shared" si="26"/>
        <v>gray</v>
      </c>
      <c r="N124" s="41" t="str">
        <f t="shared" si="18"/>
        <v>", "content": "</v>
      </c>
      <c r="O124" s="40" t="s">
        <v>388</v>
      </c>
      <c r="P124" s="41" t="str">
        <f t="shared" si="19"/>
        <v>", "start": "</v>
      </c>
      <c r="Q124" s="42" t="str">
        <f ca="1">IF(INDIRECT("Dashboard!I"&amp;(ROW()-1)/3+3)="","",INDIRECT("Dashboard!I"&amp;(ROW()-1)/3+3))</f>
        <v/>
      </c>
      <c r="R124" s="41" t="str">
        <f t="shared" si="20"/>
        <v>", "end": "</v>
      </c>
      <c r="S124" s="42" t="str">
        <f ca="1">IF(INDIRECT("Dashboard!J"&amp;(ROW()-1)/3+3)="","",INDIRECT("Dashboard!J"&amp;(ROW()-1)/3+3))</f>
        <v/>
      </c>
      <c r="T124" s="118" t="str">
        <f ca="1">IF(C128="]);",LEFT(T123,2),T123)</f>
        <v>"},</v>
      </c>
      <c r="V124" s="32" t="str">
        <f t="shared" ca="1" si="21"/>
        <v>{"id": 121, "group":"6.9.2", "subgroup": "plan", "subgroupOrder":1, "className": "gray", "content": "Planned", "start": "", "end": ""},</v>
      </c>
      <c r="W124" s="37" t="s">
        <v>2</v>
      </c>
    </row>
    <row r="125" spans="1:24">
      <c r="A125" s="36"/>
      <c r="C125" s="31" t="str">
        <f ca="1">IF(AND(Q125="", S125=""),"//","")</f>
        <v>//</v>
      </c>
      <c r="D125" s="37" t="str">
        <f t="shared" si="14"/>
        <v xml:space="preserve">{"id": </v>
      </c>
      <c r="E125" s="32">
        <f t="shared" si="22"/>
        <v>122</v>
      </c>
      <c r="F125" s="37" t="str">
        <f t="shared" si="23"/>
        <v>, "group":</v>
      </c>
      <c r="G125" s="37" t="str">
        <f ca="1">G124</f>
        <v>"6.9.2"</v>
      </c>
      <c r="H125" s="37" t="str">
        <f t="shared" si="24"/>
        <v>, "subgroup": "</v>
      </c>
      <c r="I125" s="37" t="s">
        <v>397</v>
      </c>
      <c r="J125" s="37" t="str">
        <f t="shared" si="16"/>
        <v>", "subgroupOrder":</v>
      </c>
      <c r="K125" s="37">
        <v>0</v>
      </c>
      <c r="L125" s="37" t="str">
        <f t="shared" si="17"/>
        <v>, "className": "</v>
      </c>
      <c r="M125" s="32" t="str">
        <f t="shared" ca="1" si="26"/>
        <v/>
      </c>
      <c r="N125" s="37" t="str">
        <f t="shared" si="18"/>
        <v>", "content": "</v>
      </c>
      <c r="O125" s="34" t="str">
        <f ca="1">IF(INDIRECT("Dashboard!P"&amp;((ROW()+1)/3+2))=1,"Completed",IF(INDIRECT("Dashboard!P"&amp;((ROW()+1)/3+2))="","","Pending"))</f>
        <v/>
      </c>
      <c r="P125" s="37" t="str">
        <f t="shared" si="19"/>
        <v>", "start": "</v>
      </c>
      <c r="Q125" s="38" t="str">
        <f ca="1">IF(INDIRECT("Dashboard!K"&amp;((ROW()+1)/3+2))="","",INDIRECT("Dashboard!K"&amp;((ROW()+1)/3+2)))</f>
        <v/>
      </c>
      <c r="R125" s="37" t="str">
        <f t="shared" si="20"/>
        <v>", "end": "</v>
      </c>
      <c r="S125" s="38" t="str">
        <f ca="1">IF(INDIRECT("Dashboard!L"&amp;((ROW()+1)/3+2))="","",INDIRECT("Dashboard!L"&amp;((ROW()+1)/3+2)))</f>
        <v/>
      </c>
      <c r="T125" s="116" t="str">
        <f ca="1">IF(C128="]);",LEFT(T124,2),T124)</f>
        <v>"},</v>
      </c>
      <c r="V125" s="32" t="str">
        <f t="shared" ca="1" si="21"/>
        <v/>
      </c>
      <c r="W125" s="37" t="s">
        <v>2</v>
      </c>
      <c r="X125" s="32" t="str">
        <f ca="1">G125&amp;" : "&amp;INDIRECT("Dashboard!G"&amp;((ROW()+1)/3+2))</f>
        <v>"6.9.2" : Note : Load and PV prediction at 15 to 30 minutes resolution </v>
      </c>
    </row>
    <row r="126" spans="1:24" ht="15" thickBot="1">
      <c r="A126" s="36"/>
      <c r="C126" s="28" t="str">
        <f ca="1">IF(OR(INDIRECT("Dashboard!B"&amp;(ROW()/3+2))&lt;&gt;"&gt;",AND(Q126="",S126="")),"//","")</f>
        <v>//</v>
      </c>
      <c r="D126" s="43" t="str">
        <f t="shared" si="14"/>
        <v xml:space="preserve">{"id": </v>
      </c>
      <c r="E126" s="29">
        <f t="shared" si="22"/>
        <v>123</v>
      </c>
      <c r="F126" s="43" t="str">
        <f t="shared" si="23"/>
        <v>, "group":</v>
      </c>
      <c r="G126" s="43" t="str">
        <f ca="1">G125</f>
        <v>"6.9.2"</v>
      </c>
      <c r="H126" s="43" t="str">
        <f t="shared" si="24"/>
        <v>, "subgroup": "</v>
      </c>
      <c r="I126" s="43" t="s">
        <v>397</v>
      </c>
      <c r="J126" s="43" t="str">
        <f t="shared" si="16"/>
        <v>", "subgroupOrder":</v>
      </c>
      <c r="K126" s="43">
        <v>0</v>
      </c>
      <c r="L126" s="43" t="str">
        <f t="shared" si="17"/>
        <v>, "className": "</v>
      </c>
      <c r="M126" s="29" t="str">
        <f t="shared" si="26"/>
        <v>orange</v>
      </c>
      <c r="N126" s="43" t="str">
        <f t="shared" si="18"/>
        <v>", "content": "</v>
      </c>
      <c r="O126" s="49" t="s">
        <v>392</v>
      </c>
      <c r="P126" s="43" t="str">
        <f t="shared" si="19"/>
        <v>", "start": "</v>
      </c>
      <c r="Q126" s="44" t="str">
        <f ca="1">S125</f>
        <v/>
      </c>
      <c r="R126" s="43" t="str">
        <f t="shared" si="20"/>
        <v>", "end": "</v>
      </c>
      <c r="S126" s="113" t="str">
        <f ca="1">IF(INDIRECT("Dashboard!M"&amp;(ROW()/3+2))="","",INDIRECT("Dashboard!M"&amp;(ROW()/3+2)))</f>
        <v/>
      </c>
      <c r="T126" s="117" t="str">
        <f ca="1">IF(C128="]);",LEFT(T125,2),T125)</f>
        <v>"},</v>
      </c>
      <c r="V126" s="32" t="str">
        <f t="shared" ca="1" si="21"/>
        <v/>
      </c>
      <c r="W126" s="37" t="s">
        <v>2</v>
      </c>
    </row>
    <row r="127" spans="1:24">
      <c r="A127" s="36"/>
      <c r="C127" s="25"/>
      <c r="D127" s="41" t="str">
        <f t="shared" si="14"/>
        <v xml:space="preserve">{"id": </v>
      </c>
      <c r="E127" s="26">
        <f t="shared" si="22"/>
        <v>124</v>
      </c>
      <c r="F127" s="41" t="str">
        <f t="shared" si="23"/>
        <v>, "group":</v>
      </c>
      <c r="G127" s="111" t="str">
        <f ca="1">CHAR(34)&amp;INDIRECT("Dashboard!A"&amp;(ROW()-1)/3+3)&amp;CHAR(34)</f>
        <v>"6.10"</v>
      </c>
      <c r="H127" s="41" t="str">
        <f t="shared" si="24"/>
        <v>, "subgroup": "</v>
      </c>
      <c r="I127" s="41" t="s">
        <v>396</v>
      </c>
      <c r="J127" s="41" t="str">
        <f t="shared" si="16"/>
        <v>", "subgroupOrder":</v>
      </c>
      <c r="K127" s="41">
        <v>1</v>
      </c>
      <c r="L127" s="41" t="str">
        <f t="shared" si="17"/>
        <v>, "className": "</v>
      </c>
      <c r="M127" s="26" t="str">
        <f t="shared" si="26"/>
        <v>gray</v>
      </c>
      <c r="N127" s="41" t="str">
        <f t="shared" si="18"/>
        <v>", "content": "</v>
      </c>
      <c r="O127" s="40" t="s">
        <v>388</v>
      </c>
      <c r="P127" s="41" t="str">
        <f t="shared" si="19"/>
        <v>", "start": "</v>
      </c>
      <c r="Q127" s="42">
        <f ca="1">IF(INDIRECT("Dashboard!I"&amp;(ROW()-1)/3+3)="","",INDIRECT("Dashboard!I"&amp;(ROW()-1)/3+3))</f>
        <v>44929</v>
      </c>
      <c r="R127" s="41" t="str">
        <f t="shared" si="20"/>
        <v>", "end": "</v>
      </c>
      <c r="S127" s="42">
        <f ca="1">IF(INDIRECT("Dashboard!J"&amp;(ROW()-1)/3+3)="","",INDIRECT("Dashboard!J"&amp;(ROW()-1)/3+3))</f>
        <v>45107</v>
      </c>
      <c r="T127" s="118" t="str">
        <f ca="1">IF(C131="]);",LEFT(T126,2),T126)</f>
        <v>"},</v>
      </c>
      <c r="V127" s="32" t="str">
        <f t="shared" ca="1" si="21"/>
        <v>{"id": 124, "group":"6.10", "subgroup": "plan", "subgroupOrder":1, "className": "gray", "content": "Planned", "start": "2023-01-03", "end": "2023-06-30"},</v>
      </c>
      <c r="W127" s="37" t="s">
        <v>2</v>
      </c>
    </row>
    <row r="128" spans="1:24">
      <c r="A128" s="36"/>
      <c r="C128" s="31" t="str">
        <f ca="1">IF(AND(Q128="", S128=""),"//","")</f>
        <v/>
      </c>
      <c r="D128" s="37" t="str">
        <f t="shared" si="14"/>
        <v xml:space="preserve">{"id": </v>
      </c>
      <c r="E128" s="32">
        <f t="shared" si="22"/>
        <v>125</v>
      </c>
      <c r="F128" s="37" t="str">
        <f t="shared" si="23"/>
        <v>, "group":</v>
      </c>
      <c r="G128" s="37" t="str">
        <f ca="1">G127</f>
        <v>"6.10"</v>
      </c>
      <c r="H128" s="37" t="str">
        <f t="shared" si="24"/>
        <v>, "subgroup": "</v>
      </c>
      <c r="I128" s="37" t="s">
        <v>397</v>
      </c>
      <c r="J128" s="37" t="str">
        <f t="shared" si="16"/>
        <v>", "subgroupOrder":</v>
      </c>
      <c r="K128" s="37">
        <v>0</v>
      </c>
      <c r="L128" s="37" t="str">
        <f t="shared" si="17"/>
        <v>, "className": "</v>
      </c>
      <c r="M128" s="32" t="str">
        <f t="shared" ca="1" si="26"/>
        <v>pink-white</v>
      </c>
      <c r="N128" s="37" t="str">
        <f t="shared" si="18"/>
        <v>", "content": "</v>
      </c>
      <c r="O128" s="34" t="str">
        <f ca="1">IF(INDIRECT("Dashboard!P"&amp;((ROW()+1)/3+2))=1,"Completed",IF(INDIRECT("Dashboard!P"&amp;((ROW()+1)/3+2))="","","Pending"))</f>
        <v>Pending</v>
      </c>
      <c r="P128" s="37" t="str">
        <f t="shared" si="19"/>
        <v>", "start": "</v>
      </c>
      <c r="Q128" s="38">
        <f ca="1">IF(INDIRECT("Dashboard!K"&amp;((ROW()+1)/3+2))="","",INDIRECT("Dashboard!K"&amp;((ROW()+1)/3+2)))</f>
        <v>44929</v>
      </c>
      <c r="R128" s="37" t="str">
        <f t="shared" si="20"/>
        <v>", "end": "</v>
      </c>
      <c r="S128" s="38" t="str">
        <f ca="1">IF(INDIRECT("Dashboard!L"&amp;((ROW()+1)/3+2))="","",INDIRECT("Dashboard!L"&amp;((ROW()+1)/3+2)))</f>
        <v>Will be submitted by 12-Jun-2023 (Tentative)</v>
      </c>
      <c r="T128" s="116" t="str">
        <f ca="1">IF(C131="]);",LEFT(T127,2),T127)</f>
        <v>"},</v>
      </c>
      <c r="V128" s="32" t="str">
        <f t="shared" ca="1" si="21"/>
        <v>{"id": 125, "group":"6.10", "subgroup": "actual", "subgroupOrder":0, "className": "pink-white", "content": "Pending", "start": "2023-01-03", "end": "Will be submitted by 12-Jun-2023 (Tentative)"},</v>
      </c>
      <c r="W128" s="37" t="s">
        <v>2</v>
      </c>
      <c r="X128" s="32" t="str">
        <f ca="1">G128&amp;" : "&amp;INDIRECT("Dashboard!G"&amp;((ROW()+1)/3+2))</f>
        <v>"6.10" : (SkyCam) Technical design document explaining the data schema and algorithm</v>
      </c>
    </row>
    <row r="129" spans="1:24" ht="15" thickBot="1">
      <c r="A129" s="36"/>
      <c r="C129" s="28" t="str">
        <f ca="1">IF(OR(INDIRECT("Dashboard!B"&amp;(ROW()/3+2))&lt;&gt;"&gt;",AND(Q129="",S129="")),"//","")</f>
        <v/>
      </c>
      <c r="D129" s="43" t="str">
        <f t="shared" si="14"/>
        <v xml:space="preserve">{"id": </v>
      </c>
      <c r="E129" s="29">
        <f t="shared" si="22"/>
        <v>126</v>
      </c>
      <c r="F129" s="43" t="str">
        <f t="shared" si="23"/>
        <v>, "group":</v>
      </c>
      <c r="G129" s="43" t="str">
        <f ca="1">G128</f>
        <v>"6.10"</v>
      </c>
      <c r="H129" s="43" t="str">
        <f t="shared" si="24"/>
        <v>, "subgroup": "</v>
      </c>
      <c r="I129" s="43" t="s">
        <v>397</v>
      </c>
      <c r="J129" s="43" t="str">
        <f t="shared" si="16"/>
        <v>", "subgroupOrder":</v>
      </c>
      <c r="K129" s="43">
        <v>0</v>
      </c>
      <c r="L129" s="43" t="str">
        <f t="shared" si="17"/>
        <v>, "className": "</v>
      </c>
      <c r="M129" s="29" t="str">
        <f t="shared" si="26"/>
        <v>orange</v>
      </c>
      <c r="N129" s="43" t="str">
        <f t="shared" si="18"/>
        <v>", "content": "</v>
      </c>
      <c r="O129" s="49" t="s">
        <v>392</v>
      </c>
      <c r="P129" s="43" t="str">
        <f t="shared" si="19"/>
        <v>", "start": "</v>
      </c>
      <c r="Q129" s="44" t="str">
        <f ca="1">S128</f>
        <v>Will be submitted by 12-Jun-2023 (Tentative)</v>
      </c>
      <c r="R129" s="43" t="str">
        <f t="shared" si="20"/>
        <v>", "end": "</v>
      </c>
      <c r="S129" s="113" t="str">
        <f ca="1">IF(INDIRECT("Dashboard!M"&amp;(ROW()/3+2))="","",INDIRECT("Dashboard!M"&amp;(ROW()/3+2)))</f>
        <v/>
      </c>
      <c r="T129" s="117" t="str">
        <f ca="1">IF(C131="]);",LEFT(T128,2),T128)</f>
        <v>"},</v>
      </c>
      <c r="V129" s="32" t="str">
        <f t="shared" ca="1" si="21"/>
        <v>{"id": 126, "group":"6.10", "subgroup": "actual", "subgroupOrder":0, "className": "orange", "content": "Validation", "start": "Will be submitted by 12-Jun-2023 (Tentative)", "end": ""},</v>
      </c>
      <c r="W129" s="37" t="s">
        <v>2</v>
      </c>
    </row>
    <row r="130" spans="1:24">
      <c r="A130" s="36"/>
      <c r="C130" s="25"/>
      <c r="D130" s="41" t="str">
        <f t="shared" si="14"/>
        <v xml:space="preserve">{"id": </v>
      </c>
      <c r="E130" s="26">
        <f t="shared" si="22"/>
        <v>127</v>
      </c>
      <c r="F130" s="41" t="str">
        <f t="shared" si="23"/>
        <v>, "group":</v>
      </c>
      <c r="G130" s="111" t="str">
        <f ca="1">CHAR(34)&amp;INDIRECT("Dashboard!A"&amp;(ROW()-1)/3+3)&amp;CHAR(34)</f>
        <v>"6.11"</v>
      </c>
      <c r="H130" s="41" t="str">
        <f t="shared" si="24"/>
        <v>, "subgroup": "</v>
      </c>
      <c r="I130" s="41" t="s">
        <v>396</v>
      </c>
      <c r="J130" s="41" t="str">
        <f t="shared" si="16"/>
        <v>", "subgroupOrder":</v>
      </c>
      <c r="K130" s="41">
        <v>1</v>
      </c>
      <c r="L130" s="41" t="str">
        <f t="shared" si="17"/>
        <v>, "className": "</v>
      </c>
      <c r="M130" s="26" t="str">
        <f t="shared" si="26"/>
        <v>gray</v>
      </c>
      <c r="N130" s="41" t="str">
        <f t="shared" si="18"/>
        <v>", "content": "</v>
      </c>
      <c r="O130" s="40" t="s">
        <v>388</v>
      </c>
      <c r="P130" s="41" t="str">
        <f t="shared" si="19"/>
        <v>", "start": "</v>
      </c>
      <c r="Q130" s="42">
        <f ca="1">IF(INDIRECT("Dashboard!I"&amp;(ROW()-1)/3+3)="","",INDIRECT("Dashboard!I"&amp;(ROW()-1)/3+3))</f>
        <v>44929</v>
      </c>
      <c r="R130" s="41" t="str">
        <f t="shared" si="20"/>
        <v>", "end": "</v>
      </c>
      <c r="S130" s="42">
        <f ca="1">IF(INDIRECT("Dashboard!J"&amp;(ROW()-1)/3+3)="","",INDIRECT("Dashboard!J"&amp;(ROW()-1)/3+3))</f>
        <v>45107</v>
      </c>
      <c r="T130" s="118" t="str">
        <f ca="1">IF(C134="]);",LEFT(T129,2),T129)</f>
        <v>"},</v>
      </c>
      <c r="V130" s="32" t="str">
        <f t="shared" ca="1" si="21"/>
        <v>{"id": 127, "group":"6.11", "subgroup": "plan", "subgroupOrder":1, "className": "gray", "content": "Planned", "start": "2023-01-03", "end": "2023-06-30"},</v>
      </c>
      <c r="W130" s="37" t="s">
        <v>2</v>
      </c>
    </row>
    <row r="131" spans="1:24">
      <c r="A131" s="36"/>
      <c r="C131" s="31" t="str">
        <f ca="1">IF(AND(Q131="", S131=""),"//","")</f>
        <v/>
      </c>
      <c r="D131" s="37" t="str">
        <f t="shared" si="14"/>
        <v xml:space="preserve">{"id": </v>
      </c>
      <c r="E131" s="32">
        <f t="shared" si="22"/>
        <v>128</v>
      </c>
      <c r="F131" s="37" t="str">
        <f t="shared" si="23"/>
        <v>, "group":</v>
      </c>
      <c r="G131" s="37" t="str">
        <f ca="1">G130</f>
        <v>"6.11"</v>
      </c>
      <c r="H131" s="37" t="str">
        <f t="shared" si="24"/>
        <v>, "subgroup": "</v>
      </c>
      <c r="I131" s="37" t="s">
        <v>397</v>
      </c>
      <c r="J131" s="37" t="str">
        <f t="shared" si="16"/>
        <v>", "subgroupOrder":</v>
      </c>
      <c r="K131" s="37">
        <v>0</v>
      </c>
      <c r="L131" s="37" t="str">
        <f t="shared" si="17"/>
        <v>, "className": "</v>
      </c>
      <c r="M131" s="32" t="str">
        <f t="shared" ca="1" si="26"/>
        <v>pink-white</v>
      </c>
      <c r="N131" s="37" t="str">
        <f t="shared" si="18"/>
        <v>", "content": "</v>
      </c>
      <c r="O131" s="34" t="str">
        <f ca="1">IF(INDIRECT("Dashboard!P"&amp;((ROW()+1)/3+2))=1,"Completed",IF(INDIRECT("Dashboard!P"&amp;((ROW()+1)/3+2))="","","Pending"))</f>
        <v>Pending</v>
      </c>
      <c r="P131" s="37" t="str">
        <f t="shared" si="19"/>
        <v>", "start": "</v>
      </c>
      <c r="Q131" s="38">
        <f ca="1">IF(INDIRECT("Dashboard!K"&amp;((ROW()+1)/3+2))="","",INDIRECT("Dashboard!K"&amp;((ROW()+1)/3+2)))</f>
        <v>44929</v>
      </c>
      <c r="R131" s="37" t="str">
        <f t="shared" si="20"/>
        <v>", "end": "</v>
      </c>
      <c r="S131" s="38" t="str">
        <f ca="1">IF(INDIRECT("Dashboard!L"&amp;((ROW()+1)/3+2))="","",INDIRECT("Dashboard!L"&amp;((ROW()+1)/3+2)))</f>
        <v>Will be submitted by 12-Jun-2023 (Tentative)</v>
      </c>
      <c r="T131" s="116" t="str">
        <f ca="1">IF(C134="]);",LEFT(T130,2),T130)</f>
        <v>"},</v>
      </c>
      <c r="V131" s="32" t="str">
        <f t="shared" ca="1" si="21"/>
        <v>{"id": 128, "group":"6.11", "subgroup": "actual", "subgroupOrder":0, "className": "pink-white", "content": "Pending", "start": "2023-01-03", "end": "Will be submitted by 12-Jun-2023 (Tentative)"},</v>
      </c>
      <c r="W131" s="37" t="s">
        <v>2</v>
      </c>
      <c r="X131" s="32" t="str">
        <f ca="1">G131&amp;" : "&amp;INDIRECT("Dashboard!G"&amp;((ROW()+1)/3+2))</f>
        <v>"6.11" : (SkyCam) Software Code</v>
      </c>
    </row>
    <row r="132" spans="1:24" ht="15" thickBot="1">
      <c r="A132" s="36"/>
      <c r="C132" s="28" t="str">
        <f ca="1">IF(OR(INDIRECT("Dashboard!B"&amp;(ROW()/3+2))&lt;&gt;"&gt;",AND(Q132="",S132="")),"//","")</f>
        <v/>
      </c>
      <c r="D132" s="43" t="str">
        <f t="shared" si="14"/>
        <v xml:space="preserve">{"id": </v>
      </c>
      <c r="E132" s="29">
        <f t="shared" si="22"/>
        <v>129</v>
      </c>
      <c r="F132" s="43" t="str">
        <f t="shared" si="23"/>
        <v>, "group":</v>
      </c>
      <c r="G132" s="43" t="str">
        <f ca="1">G131</f>
        <v>"6.11"</v>
      </c>
      <c r="H132" s="43" t="str">
        <f t="shared" si="24"/>
        <v>, "subgroup": "</v>
      </c>
      <c r="I132" s="43" t="s">
        <v>397</v>
      </c>
      <c r="J132" s="43" t="str">
        <f t="shared" si="16"/>
        <v>", "subgroupOrder":</v>
      </c>
      <c r="K132" s="43">
        <v>0</v>
      </c>
      <c r="L132" s="43" t="str">
        <f t="shared" si="17"/>
        <v>, "className": "</v>
      </c>
      <c r="M132" s="29" t="str">
        <f t="shared" si="26"/>
        <v>orange</v>
      </c>
      <c r="N132" s="43" t="str">
        <f t="shared" si="18"/>
        <v>", "content": "</v>
      </c>
      <c r="O132" s="49" t="s">
        <v>392</v>
      </c>
      <c r="P132" s="43" t="str">
        <f t="shared" si="19"/>
        <v>", "start": "</v>
      </c>
      <c r="Q132" s="44" t="str">
        <f ca="1">S131</f>
        <v>Will be submitted by 12-Jun-2023 (Tentative)</v>
      </c>
      <c r="R132" s="43" t="str">
        <f t="shared" si="20"/>
        <v>", "end": "</v>
      </c>
      <c r="S132" s="113" t="str">
        <f ca="1">IF(INDIRECT("Dashboard!M"&amp;(ROW()/3+2))="","",INDIRECT("Dashboard!M"&amp;(ROW()/3+2)))</f>
        <v/>
      </c>
      <c r="T132" s="117" t="str">
        <f ca="1">IF(C134="]);",LEFT(T131,2),T131)</f>
        <v>"},</v>
      </c>
      <c r="V132" s="32" t="str">
        <f t="shared" ca="1" si="21"/>
        <v>{"id": 129, "group":"6.11", "subgroup": "actual", "subgroupOrder":0, "className": "orange", "content": "Validation", "start": "Will be submitted by 12-Jun-2023 (Tentative)", "end": ""},</v>
      </c>
      <c r="W132" s="37" t="s">
        <v>2</v>
      </c>
    </row>
    <row r="133" spans="1:24">
      <c r="A133" s="36"/>
      <c r="C133" s="25"/>
      <c r="D133" s="41" t="str">
        <f t="shared" ref="D133:D196" si="27">D132</f>
        <v xml:space="preserve">{"id": </v>
      </c>
      <c r="E133" s="26">
        <f t="shared" si="22"/>
        <v>130</v>
      </c>
      <c r="F133" s="41" t="str">
        <f t="shared" si="23"/>
        <v>, "group":</v>
      </c>
      <c r="G133" s="111" t="str">
        <f ca="1">CHAR(34)&amp;INDIRECT("Dashboard!A"&amp;(ROW()-1)/3+3)&amp;CHAR(34)</f>
        <v>"6.12"</v>
      </c>
      <c r="H133" s="41" t="str">
        <f t="shared" si="24"/>
        <v>, "subgroup": "</v>
      </c>
      <c r="I133" s="41" t="s">
        <v>396</v>
      </c>
      <c r="J133" s="41" t="str">
        <f t="shared" ref="J133:J196" si="28">J132</f>
        <v>", "subgroupOrder":</v>
      </c>
      <c r="K133" s="41">
        <v>1</v>
      </c>
      <c r="L133" s="41" t="str">
        <f t="shared" ref="L133:L196" si="29">L132</f>
        <v>, "className": "</v>
      </c>
      <c r="M133" s="26" t="str">
        <f t="shared" si="26"/>
        <v>gray</v>
      </c>
      <c r="N133" s="41" t="str">
        <f t="shared" ref="N133:N196" si="30">N132</f>
        <v>", "content": "</v>
      </c>
      <c r="O133" s="40" t="s">
        <v>388</v>
      </c>
      <c r="P133" s="41" t="str">
        <f t="shared" ref="P133:P196" si="31">P132</f>
        <v>", "start": "</v>
      </c>
      <c r="Q133" s="42">
        <f ca="1">IF(INDIRECT("Dashboard!I"&amp;(ROW()-1)/3+3)="","",INDIRECT("Dashboard!I"&amp;(ROW()-1)/3+3))</f>
        <v>44929</v>
      </c>
      <c r="R133" s="41" t="str">
        <f t="shared" ref="R133:R196" si="32">R132</f>
        <v>", "end": "</v>
      </c>
      <c r="S133" s="42">
        <f ca="1">IF(INDIRECT("Dashboard!J"&amp;(ROW()-1)/3+3)="","",INDIRECT("Dashboard!J"&amp;(ROW()-1)/3+3))</f>
        <v>45107</v>
      </c>
      <c r="T133" s="118" t="str">
        <f ca="1">IF(C137="]);",LEFT(T132,2),T132)</f>
        <v>"},</v>
      </c>
      <c r="V133" s="32" t="str">
        <f t="shared" ref="V133:V196" ca="1" si="33">IF(C133&lt;&gt;"//",D133&amp;E133&amp;F133&amp;G133&amp;H133&amp;I133&amp;J133&amp;K133&amp;L133&amp;M133&amp;N133&amp;O133&amp;P133&amp;TEXT(Q133,"yyyy-mm-dd")&amp;R133&amp;TEXT(S133,"yyyy-mm-dd")&amp;T133,"")</f>
        <v>{"id": 130, "group":"6.12", "subgroup": "plan", "subgroupOrder":1, "className": "gray", "content": "Planned", "start": "2023-01-03", "end": "2023-06-30"},</v>
      </c>
      <c r="W133" s="37" t="s">
        <v>2</v>
      </c>
    </row>
    <row r="134" spans="1:24">
      <c r="A134" s="36"/>
      <c r="C134" s="31" t="str">
        <f ca="1">IF(AND(Q134="", S134=""),"//","")</f>
        <v/>
      </c>
      <c r="D134" s="37" t="str">
        <f t="shared" si="27"/>
        <v xml:space="preserve">{"id": </v>
      </c>
      <c r="E134" s="32">
        <f t="shared" si="22"/>
        <v>131</v>
      </c>
      <c r="F134" s="37" t="str">
        <f t="shared" si="23"/>
        <v>, "group":</v>
      </c>
      <c r="G134" s="37" t="str">
        <f ca="1">G133</f>
        <v>"6.12"</v>
      </c>
      <c r="H134" s="37" t="str">
        <f t="shared" si="24"/>
        <v>, "subgroup": "</v>
      </c>
      <c r="I134" s="37" t="s">
        <v>397</v>
      </c>
      <c r="J134" s="37" t="str">
        <f t="shared" si="28"/>
        <v>", "subgroupOrder":</v>
      </c>
      <c r="K134" s="37">
        <v>0</v>
      </c>
      <c r="L134" s="37" t="str">
        <f t="shared" si="29"/>
        <v>, "className": "</v>
      </c>
      <c r="M134" s="32" t="str">
        <f t="shared" ca="1" si="26"/>
        <v>pink-white</v>
      </c>
      <c r="N134" s="37" t="str">
        <f t="shared" si="30"/>
        <v>", "content": "</v>
      </c>
      <c r="O134" s="34" t="str">
        <f ca="1">IF(INDIRECT("Dashboard!P"&amp;((ROW()+1)/3+2))=1,"Completed",IF(INDIRECT("Dashboard!P"&amp;((ROW()+1)/3+2))="","","Pending"))</f>
        <v>Pending</v>
      </c>
      <c r="P134" s="37" t="str">
        <f t="shared" si="31"/>
        <v>", "start": "</v>
      </c>
      <c r="Q134" s="38">
        <f ca="1">IF(INDIRECT("Dashboard!K"&amp;((ROW()+1)/3+2))="","",INDIRECT("Dashboard!K"&amp;((ROW()+1)/3+2)))</f>
        <v>44929</v>
      </c>
      <c r="R134" s="37" t="str">
        <f t="shared" si="32"/>
        <v>", "end": "</v>
      </c>
      <c r="S134" s="38" t="str">
        <f ca="1">IF(INDIRECT("Dashboard!L"&amp;((ROW()+1)/3+2))="","",INDIRECT("Dashboard!L"&amp;((ROW()+1)/3+2)))</f>
        <v>Will be submitted by 12-Jun-2023 (Tentative)</v>
      </c>
      <c r="T134" s="116" t="str">
        <f ca="1">IF(C137="]);",LEFT(T133,2),T133)</f>
        <v>"},</v>
      </c>
      <c r="V134" s="32" t="str">
        <f t="shared" ca="1" si="33"/>
        <v>{"id": 131, "group":"6.12", "subgroup": "actual", "subgroupOrder":0, "className": "pink-white", "content": "Pending", "start": "2023-01-03", "end": "Will be submitted by 12-Jun-2023 (Tentative)"},</v>
      </c>
      <c r="W134" s="37" t="s">
        <v>2</v>
      </c>
      <c r="X134" s="32" t="str">
        <f ca="1">G134&amp;" : "&amp;INDIRECT("Dashboard!G"&amp;((ROW()+1)/3+2))</f>
        <v>"6.12" : (SkyCam) Deployment Procedure of the code</v>
      </c>
    </row>
    <row r="135" spans="1:24" ht="15" thickBot="1">
      <c r="A135" s="36"/>
      <c r="C135" s="28" t="str">
        <f ca="1">IF(OR(INDIRECT("Dashboard!B"&amp;(ROW()/3+2))&lt;&gt;"&gt;",AND(Q135="",S135="")),"//","")</f>
        <v/>
      </c>
      <c r="D135" s="43" t="str">
        <f t="shared" si="27"/>
        <v xml:space="preserve">{"id": </v>
      </c>
      <c r="E135" s="29">
        <f t="shared" ref="E135:E198" si="34">E134+1</f>
        <v>132</v>
      </c>
      <c r="F135" s="43" t="str">
        <f t="shared" ref="F135:F198" si="35">F134</f>
        <v>, "group":</v>
      </c>
      <c r="G135" s="43" t="str">
        <f ca="1">G134</f>
        <v>"6.12"</v>
      </c>
      <c r="H135" s="43" t="str">
        <f t="shared" ref="H135:H198" si="36">H134</f>
        <v>, "subgroup": "</v>
      </c>
      <c r="I135" s="43" t="s">
        <v>397</v>
      </c>
      <c r="J135" s="43" t="str">
        <f t="shared" si="28"/>
        <v>", "subgroupOrder":</v>
      </c>
      <c r="K135" s="43">
        <v>0</v>
      </c>
      <c r="L135" s="43" t="str">
        <f t="shared" si="29"/>
        <v>, "className": "</v>
      </c>
      <c r="M135" s="29" t="str">
        <f t="shared" si="26"/>
        <v>orange</v>
      </c>
      <c r="N135" s="43" t="str">
        <f t="shared" si="30"/>
        <v>", "content": "</v>
      </c>
      <c r="O135" s="49" t="s">
        <v>392</v>
      </c>
      <c r="P135" s="43" t="str">
        <f t="shared" si="31"/>
        <v>", "start": "</v>
      </c>
      <c r="Q135" s="44" t="str">
        <f ca="1">S134</f>
        <v>Will be submitted by 12-Jun-2023 (Tentative)</v>
      </c>
      <c r="R135" s="43" t="str">
        <f t="shared" si="32"/>
        <v>", "end": "</v>
      </c>
      <c r="S135" s="113" t="str">
        <f ca="1">IF(INDIRECT("Dashboard!M"&amp;(ROW()/3+2))="","",INDIRECT("Dashboard!M"&amp;(ROW()/3+2)))</f>
        <v/>
      </c>
      <c r="T135" s="117" t="str">
        <f ca="1">IF(C137="]);",LEFT(T134,2),T134)</f>
        <v>"},</v>
      </c>
      <c r="V135" s="32" t="str">
        <f t="shared" ca="1" si="33"/>
        <v>{"id": 132, "group":"6.12", "subgroup": "actual", "subgroupOrder":0, "className": "orange", "content": "Validation", "start": "Will be submitted by 12-Jun-2023 (Tentative)", "end": ""},</v>
      </c>
      <c r="W135" s="37" t="s">
        <v>2</v>
      </c>
    </row>
    <row r="136" spans="1:24">
      <c r="A136" s="36"/>
      <c r="C136" s="25"/>
      <c r="D136" s="41" t="str">
        <f t="shared" si="27"/>
        <v xml:space="preserve">{"id": </v>
      </c>
      <c r="E136" s="26">
        <f t="shared" si="34"/>
        <v>133</v>
      </c>
      <c r="F136" s="41" t="str">
        <f t="shared" si="35"/>
        <v>, "group":</v>
      </c>
      <c r="G136" s="111" t="str">
        <f ca="1">CHAR(34)&amp;INDIRECT("Dashboard!A"&amp;(ROW()-1)/3+3)&amp;CHAR(34)</f>
        <v>"6.13"</v>
      </c>
      <c r="H136" s="41" t="str">
        <f t="shared" si="36"/>
        <v>, "subgroup": "</v>
      </c>
      <c r="I136" s="41" t="s">
        <v>396</v>
      </c>
      <c r="J136" s="41" t="str">
        <f t="shared" si="28"/>
        <v>", "subgroupOrder":</v>
      </c>
      <c r="K136" s="41">
        <v>1</v>
      </c>
      <c r="L136" s="41" t="str">
        <f t="shared" si="29"/>
        <v>, "className": "</v>
      </c>
      <c r="M136" s="26" t="str">
        <f t="shared" si="26"/>
        <v>gray</v>
      </c>
      <c r="N136" s="41" t="str">
        <f t="shared" si="30"/>
        <v>", "content": "</v>
      </c>
      <c r="O136" s="40" t="s">
        <v>388</v>
      </c>
      <c r="P136" s="41" t="str">
        <f t="shared" si="31"/>
        <v>", "start": "</v>
      </c>
      <c r="Q136" s="42">
        <f ca="1">IF(INDIRECT("Dashboard!I"&amp;(ROW()-1)/3+3)="","",INDIRECT("Dashboard!I"&amp;(ROW()-1)/3+3))</f>
        <v>44929</v>
      </c>
      <c r="R136" s="41" t="str">
        <f t="shared" si="32"/>
        <v>", "end": "</v>
      </c>
      <c r="S136" s="42">
        <f ca="1">IF(INDIRECT("Dashboard!J"&amp;(ROW()-1)/3+3)="","",INDIRECT("Dashboard!J"&amp;(ROW()-1)/3+3))</f>
        <v>45107</v>
      </c>
      <c r="T136" s="118" t="str">
        <f ca="1">IF(C140="]);",LEFT(T135,2),T135)</f>
        <v>"},</v>
      </c>
      <c r="V136" s="32" t="str">
        <f t="shared" ca="1" si="33"/>
        <v>{"id": 133, "group":"6.13", "subgroup": "plan", "subgroupOrder":1, "className": "gray", "content": "Planned", "start": "2023-01-03", "end": "2023-06-30"},</v>
      </c>
      <c r="W136" s="37" t="s">
        <v>2</v>
      </c>
    </row>
    <row r="137" spans="1:24">
      <c r="A137" s="36"/>
      <c r="C137" s="31" t="str">
        <f ca="1">IF(AND(Q137="", S137=""),"//","")</f>
        <v/>
      </c>
      <c r="D137" s="37" t="str">
        <f t="shared" si="27"/>
        <v xml:space="preserve">{"id": </v>
      </c>
      <c r="E137" s="32">
        <f t="shared" si="34"/>
        <v>134</v>
      </c>
      <c r="F137" s="37" t="str">
        <f t="shared" si="35"/>
        <v>, "group":</v>
      </c>
      <c r="G137" s="37" t="str">
        <f ca="1">G136</f>
        <v>"6.13"</v>
      </c>
      <c r="H137" s="37" t="str">
        <f t="shared" si="36"/>
        <v>, "subgroup": "</v>
      </c>
      <c r="I137" s="37" t="s">
        <v>397</v>
      </c>
      <c r="J137" s="37" t="str">
        <f t="shared" si="28"/>
        <v>", "subgroupOrder":</v>
      </c>
      <c r="K137" s="37">
        <v>0</v>
      </c>
      <c r="L137" s="37" t="str">
        <f t="shared" si="29"/>
        <v>, "className": "</v>
      </c>
      <c r="M137" s="32" t="str">
        <f t="shared" ca="1" si="26"/>
        <v>pink-white</v>
      </c>
      <c r="N137" s="37" t="str">
        <f t="shared" si="30"/>
        <v>", "content": "</v>
      </c>
      <c r="O137" s="34" t="str">
        <f ca="1">IF(INDIRECT("Dashboard!P"&amp;((ROW()+1)/3+2))=1,"Completed",IF(INDIRECT("Dashboard!P"&amp;((ROW()+1)/3+2))="","","Pending"))</f>
        <v>Pending</v>
      </c>
      <c r="P137" s="37" t="str">
        <f t="shared" si="31"/>
        <v>", "start": "</v>
      </c>
      <c r="Q137" s="38">
        <f ca="1">IF(INDIRECT("Dashboard!K"&amp;((ROW()+1)/3+2))="","",INDIRECT("Dashboard!K"&amp;((ROW()+1)/3+2)))</f>
        <v>44929</v>
      </c>
      <c r="R137" s="37" t="str">
        <f t="shared" si="32"/>
        <v>", "end": "</v>
      </c>
      <c r="S137" s="38" t="str">
        <f ca="1">IF(INDIRECT("Dashboard!L"&amp;((ROW()+1)/3+2))="","",INDIRECT("Dashboard!L"&amp;((ROW()+1)/3+2)))</f>
        <v>Will be submitted by 12-Jun-2023 (Tentative)</v>
      </c>
      <c r="T137" s="116" t="str">
        <f ca="1">IF(C140="]);",LEFT(T136,2),T136)</f>
        <v>"},</v>
      </c>
      <c r="V137" s="32" t="str">
        <f t="shared" ca="1" si="33"/>
        <v>{"id": 134, "group":"6.13", "subgroup": "actual", "subgroupOrder":0, "className": "pink-white", "content": "Pending", "start": "2023-01-03", "end": "Will be submitted by 12-Jun-2023 (Tentative)"},</v>
      </c>
      <c r="W137" s="37" t="s">
        <v>2</v>
      </c>
      <c r="X137" s="32" t="str">
        <f ca="1">G137&amp;" : "&amp;INDIRECT("Dashboard!G"&amp;((ROW()+1)/3+2))</f>
        <v>"6.13" : (SkyCam) Product usage guide with examples for all the functional usecases</v>
      </c>
    </row>
    <row r="138" spans="1:24" ht="15" thickBot="1">
      <c r="A138" s="36"/>
      <c r="C138" s="28" t="str">
        <f ca="1">IF(OR(INDIRECT("Dashboard!B"&amp;(ROW()/3+2))&lt;&gt;"&gt;",AND(Q138="",S138="")),"//","")</f>
        <v/>
      </c>
      <c r="D138" s="43" t="str">
        <f t="shared" si="27"/>
        <v xml:space="preserve">{"id": </v>
      </c>
      <c r="E138" s="29">
        <f t="shared" si="34"/>
        <v>135</v>
      </c>
      <c r="F138" s="43" t="str">
        <f t="shared" si="35"/>
        <v>, "group":</v>
      </c>
      <c r="G138" s="43" t="str">
        <f ca="1">G137</f>
        <v>"6.13"</v>
      </c>
      <c r="H138" s="43" t="str">
        <f t="shared" si="36"/>
        <v>, "subgroup": "</v>
      </c>
      <c r="I138" s="43" t="s">
        <v>397</v>
      </c>
      <c r="J138" s="43" t="str">
        <f t="shared" si="28"/>
        <v>", "subgroupOrder":</v>
      </c>
      <c r="K138" s="43">
        <v>0</v>
      </c>
      <c r="L138" s="43" t="str">
        <f t="shared" si="29"/>
        <v>, "className": "</v>
      </c>
      <c r="M138" s="29" t="str">
        <f t="shared" si="26"/>
        <v>orange</v>
      </c>
      <c r="N138" s="43" t="str">
        <f t="shared" si="30"/>
        <v>", "content": "</v>
      </c>
      <c r="O138" s="49" t="s">
        <v>392</v>
      </c>
      <c r="P138" s="43" t="str">
        <f t="shared" si="31"/>
        <v>", "start": "</v>
      </c>
      <c r="Q138" s="44" t="str">
        <f ca="1">S137</f>
        <v>Will be submitted by 12-Jun-2023 (Tentative)</v>
      </c>
      <c r="R138" s="43" t="str">
        <f t="shared" si="32"/>
        <v>", "end": "</v>
      </c>
      <c r="S138" s="113" t="str">
        <f ca="1">IF(INDIRECT("Dashboard!M"&amp;(ROW()/3+2))="","",INDIRECT("Dashboard!M"&amp;(ROW()/3+2)))</f>
        <v/>
      </c>
      <c r="T138" s="117" t="str">
        <f ca="1">IF(C140="]);",LEFT(T137,2),T137)</f>
        <v>"},</v>
      </c>
      <c r="V138" s="32" t="str">
        <f t="shared" ca="1" si="33"/>
        <v>{"id": 135, "group":"6.13", "subgroup": "actual", "subgroupOrder":0, "className": "orange", "content": "Validation", "start": "Will be submitted by 12-Jun-2023 (Tentative)", "end": ""},</v>
      </c>
      <c r="W138" s="37" t="s">
        <v>2</v>
      </c>
    </row>
    <row r="139" spans="1:24">
      <c r="A139" s="36"/>
      <c r="C139" s="25"/>
      <c r="D139" s="41" t="str">
        <f t="shared" si="27"/>
        <v xml:space="preserve">{"id": </v>
      </c>
      <c r="E139" s="26">
        <f t="shared" si="34"/>
        <v>136</v>
      </c>
      <c r="F139" s="41" t="str">
        <f t="shared" si="35"/>
        <v>, "group":</v>
      </c>
      <c r="G139" s="111" t="str">
        <f ca="1">CHAR(34)&amp;INDIRECT("Dashboard!A"&amp;(ROW()-1)/3+3)&amp;CHAR(34)</f>
        <v>"6.14"</v>
      </c>
      <c r="H139" s="41" t="str">
        <f t="shared" si="36"/>
        <v>, "subgroup": "</v>
      </c>
      <c r="I139" s="41" t="s">
        <v>396</v>
      </c>
      <c r="J139" s="41" t="str">
        <f t="shared" si="28"/>
        <v>", "subgroupOrder":</v>
      </c>
      <c r="K139" s="41">
        <v>1</v>
      </c>
      <c r="L139" s="41" t="str">
        <f t="shared" si="29"/>
        <v>, "className": "</v>
      </c>
      <c r="M139" s="26" t="str">
        <f t="shared" si="26"/>
        <v>gray</v>
      </c>
      <c r="N139" s="41" t="str">
        <f t="shared" si="30"/>
        <v>", "content": "</v>
      </c>
      <c r="O139" s="40" t="s">
        <v>388</v>
      </c>
      <c r="P139" s="41" t="str">
        <f t="shared" si="31"/>
        <v>", "start": "</v>
      </c>
      <c r="Q139" s="42">
        <f ca="1">IF(INDIRECT("Dashboard!I"&amp;(ROW()-1)/3+3)="","",INDIRECT("Dashboard!I"&amp;(ROW()-1)/3+3))</f>
        <v>44929</v>
      </c>
      <c r="R139" s="41" t="str">
        <f t="shared" si="32"/>
        <v>", "end": "</v>
      </c>
      <c r="S139" s="42">
        <f ca="1">IF(INDIRECT("Dashboard!J"&amp;(ROW()-1)/3+3)="","",INDIRECT("Dashboard!J"&amp;(ROW()-1)/3+3))</f>
        <v>45107</v>
      </c>
      <c r="T139" s="118" t="str">
        <f ca="1">IF(C143="]);",LEFT(T138,2),T138)</f>
        <v>"},</v>
      </c>
      <c r="V139" s="32" t="str">
        <f t="shared" ca="1" si="33"/>
        <v>{"id": 136, "group":"6.14", "subgroup": "plan", "subgroupOrder":1, "className": "gray", "content": "Planned", "start": "2023-01-03", "end": "2023-06-30"},</v>
      </c>
      <c r="W139" s="37" t="s">
        <v>2</v>
      </c>
    </row>
    <row r="140" spans="1:24">
      <c r="A140" s="36"/>
      <c r="C140" s="31" t="str">
        <f ca="1">IF(AND(Q140="", S140=""),"//","")</f>
        <v/>
      </c>
      <c r="D140" s="37" t="str">
        <f t="shared" si="27"/>
        <v xml:space="preserve">{"id": </v>
      </c>
      <c r="E140" s="32">
        <f t="shared" si="34"/>
        <v>137</v>
      </c>
      <c r="F140" s="37" t="str">
        <f t="shared" si="35"/>
        <v>, "group":</v>
      </c>
      <c r="G140" s="37" t="str">
        <f ca="1">G139</f>
        <v>"6.14"</v>
      </c>
      <c r="H140" s="37" t="str">
        <f t="shared" si="36"/>
        <v>, "subgroup": "</v>
      </c>
      <c r="I140" s="37" t="s">
        <v>397</v>
      </c>
      <c r="J140" s="37" t="str">
        <f t="shared" si="28"/>
        <v>", "subgroupOrder":</v>
      </c>
      <c r="K140" s="37">
        <v>0</v>
      </c>
      <c r="L140" s="37" t="str">
        <f t="shared" si="29"/>
        <v>, "className": "</v>
      </c>
      <c r="M140" s="32" t="str">
        <f t="shared" ca="1" si="26"/>
        <v>pink-white</v>
      </c>
      <c r="N140" s="37" t="str">
        <f t="shared" si="30"/>
        <v>", "content": "</v>
      </c>
      <c r="O140" s="34" t="str">
        <f ca="1">IF(INDIRECT("Dashboard!P"&amp;((ROW()+1)/3+2))=1,"Completed",IF(INDIRECT("Dashboard!P"&amp;((ROW()+1)/3+2))="","","Pending"))</f>
        <v>Pending</v>
      </c>
      <c r="P140" s="37" t="str">
        <f t="shared" si="31"/>
        <v>", "start": "</v>
      </c>
      <c r="Q140" s="38">
        <f ca="1">IF(INDIRECT("Dashboard!K"&amp;((ROW()+1)/3+2))="","",INDIRECT("Dashboard!K"&amp;((ROW()+1)/3+2)))</f>
        <v>44929</v>
      </c>
      <c r="R140" s="37" t="str">
        <f t="shared" si="32"/>
        <v>", "end": "</v>
      </c>
      <c r="S140" s="38" t="str">
        <f ca="1">IF(INDIRECT("Dashboard!L"&amp;((ROW()+1)/3+2))="","",INDIRECT("Dashboard!L"&amp;((ROW()+1)/3+2)))</f>
        <v>Will be submitted by 12-Jun-2023 (Tentative)</v>
      </c>
      <c r="T140" s="116" t="str">
        <f ca="1">IF(C143="]);",LEFT(T139,2),T139)</f>
        <v>"},</v>
      </c>
      <c r="V140" s="32" t="str">
        <f t="shared" ca="1" si="33"/>
        <v>{"id": 137, "group":"6.14", "subgroup": "actual", "subgroupOrder":0, "className": "pink-white", "content": "Pending", "start": "2023-01-03", "end": "Will be submitted by 12-Jun-2023 (Tentative)"},</v>
      </c>
      <c r="W140" s="37" t="s">
        <v>2</v>
      </c>
      <c r="X140" s="32" t="str">
        <f ca="1">G140&amp;" : "&amp;INDIRECT("Dashboard!G"&amp;((ROW()+1)/3+2))</f>
        <v xml:space="preserve">"6.14" : (SkyCam) Test report </v>
      </c>
    </row>
    <row r="141" spans="1:24" ht="15" thickBot="1">
      <c r="A141" s="36"/>
      <c r="C141" s="28" t="str">
        <f ca="1">IF(OR(INDIRECT("Dashboard!B"&amp;(ROW()/3+2))&lt;&gt;"&gt;",AND(Q141="",S141="")),"//","")</f>
        <v/>
      </c>
      <c r="D141" s="43" t="str">
        <f t="shared" si="27"/>
        <v xml:space="preserve">{"id": </v>
      </c>
      <c r="E141" s="29">
        <f t="shared" si="34"/>
        <v>138</v>
      </c>
      <c r="F141" s="43" t="str">
        <f t="shared" si="35"/>
        <v>, "group":</v>
      </c>
      <c r="G141" s="43" t="str">
        <f ca="1">G140</f>
        <v>"6.14"</v>
      </c>
      <c r="H141" s="43" t="str">
        <f t="shared" si="36"/>
        <v>, "subgroup": "</v>
      </c>
      <c r="I141" s="43" t="s">
        <v>397</v>
      </c>
      <c r="J141" s="43" t="str">
        <f t="shared" si="28"/>
        <v>", "subgroupOrder":</v>
      </c>
      <c r="K141" s="43">
        <v>0</v>
      </c>
      <c r="L141" s="43" t="str">
        <f t="shared" si="29"/>
        <v>, "className": "</v>
      </c>
      <c r="M141" s="29" t="str">
        <f t="shared" si="26"/>
        <v>orange</v>
      </c>
      <c r="N141" s="43" t="str">
        <f t="shared" si="30"/>
        <v>", "content": "</v>
      </c>
      <c r="O141" s="49" t="s">
        <v>392</v>
      </c>
      <c r="P141" s="43" t="str">
        <f t="shared" si="31"/>
        <v>", "start": "</v>
      </c>
      <c r="Q141" s="44" t="str">
        <f ca="1">S140</f>
        <v>Will be submitted by 12-Jun-2023 (Tentative)</v>
      </c>
      <c r="R141" s="43" t="str">
        <f t="shared" si="32"/>
        <v>", "end": "</v>
      </c>
      <c r="S141" s="113" t="str">
        <f ca="1">IF(INDIRECT("Dashboard!M"&amp;(ROW()/3+2))="","",INDIRECT("Dashboard!M"&amp;(ROW()/3+2)))</f>
        <v/>
      </c>
      <c r="T141" s="117" t="str">
        <f ca="1">IF(C143="]);",LEFT(T140,2),T140)</f>
        <v>"},</v>
      </c>
      <c r="V141" s="32" t="str">
        <f t="shared" ca="1" si="33"/>
        <v>{"id": 138, "group":"6.14", "subgroup": "actual", "subgroupOrder":0, "className": "orange", "content": "Validation", "start": "Will be submitted by 12-Jun-2023 (Tentative)", "end": ""},</v>
      </c>
      <c r="W141" s="37" t="s">
        <v>2</v>
      </c>
    </row>
    <row r="142" spans="1:24">
      <c r="A142" s="36"/>
      <c r="C142" s="25"/>
      <c r="D142" s="41" t="str">
        <f t="shared" si="27"/>
        <v xml:space="preserve">{"id": </v>
      </c>
      <c r="E142" s="26">
        <f t="shared" si="34"/>
        <v>139</v>
      </c>
      <c r="F142" s="41" t="str">
        <f t="shared" si="35"/>
        <v>, "group":</v>
      </c>
      <c r="G142" s="111" t="str">
        <f ca="1">CHAR(34)&amp;INDIRECT("Dashboard!A"&amp;(ROW()-1)/3+3)&amp;CHAR(34)</f>
        <v>"7"</v>
      </c>
      <c r="H142" s="41" t="str">
        <f t="shared" si="36"/>
        <v>, "subgroup": "</v>
      </c>
      <c r="I142" s="41" t="s">
        <v>396</v>
      </c>
      <c r="J142" s="41" t="str">
        <f t="shared" si="28"/>
        <v>", "subgroupOrder":</v>
      </c>
      <c r="K142" s="41">
        <v>1</v>
      </c>
      <c r="L142" s="41" t="str">
        <f t="shared" si="29"/>
        <v>, "className": "</v>
      </c>
      <c r="M142" s="26" t="str">
        <f t="shared" si="26"/>
        <v>gray</v>
      </c>
      <c r="N142" s="41" t="str">
        <f t="shared" si="30"/>
        <v>", "content": "</v>
      </c>
      <c r="O142" s="40" t="s">
        <v>388</v>
      </c>
      <c r="P142" s="41" t="str">
        <f t="shared" si="31"/>
        <v>", "start": "</v>
      </c>
      <c r="Q142" s="42">
        <f ca="1">IF(INDIRECT("Dashboard!I"&amp;(ROW()-1)/3+3)="","",INDIRECT("Dashboard!I"&amp;(ROW()-1)/3+3))</f>
        <v>44743</v>
      </c>
      <c r="R142" s="41" t="str">
        <f t="shared" si="32"/>
        <v>", "end": "</v>
      </c>
      <c r="S142" s="42">
        <f ca="1">IF(INDIRECT("Dashboard!J"&amp;(ROW()-1)/3+3)="","",INDIRECT("Dashboard!J"&amp;(ROW()-1)/3+3))</f>
        <v>44924</v>
      </c>
      <c r="T142" s="118" t="str">
        <f ca="1">IF(C146="]);",LEFT(T141,2),T141)</f>
        <v>"},</v>
      </c>
      <c r="V142" s="32" t="str">
        <f t="shared" ca="1" si="33"/>
        <v>{"id": 139, "group":"7", "subgroup": "plan", "subgroupOrder":1, "className": "gray", "content": "Planned", "start": "2022-07-01", "end": "2022-12-29"},</v>
      </c>
      <c r="W142" s="37" t="s">
        <v>2</v>
      </c>
    </row>
    <row r="143" spans="1:24">
      <c r="A143" s="36"/>
      <c r="C143" s="31" t="str">
        <f ca="1">IF(AND(Q143="", S143=""),"//","")</f>
        <v/>
      </c>
      <c r="D143" s="37" t="str">
        <f t="shared" si="27"/>
        <v xml:space="preserve">{"id": </v>
      </c>
      <c r="E143" s="32">
        <f t="shared" si="34"/>
        <v>140</v>
      </c>
      <c r="F143" s="37" t="str">
        <f t="shared" si="35"/>
        <v>, "group":</v>
      </c>
      <c r="G143" s="37" t="str">
        <f ca="1">G142</f>
        <v>"7"</v>
      </c>
      <c r="H143" s="37" t="str">
        <f t="shared" si="36"/>
        <v>, "subgroup": "</v>
      </c>
      <c r="I143" s="37" t="s">
        <v>397</v>
      </c>
      <c r="J143" s="37" t="str">
        <f t="shared" si="28"/>
        <v>", "subgroupOrder":</v>
      </c>
      <c r="K143" s="37">
        <v>0</v>
      </c>
      <c r="L143" s="37" t="str">
        <f t="shared" si="29"/>
        <v>, "className": "</v>
      </c>
      <c r="M143" s="32" t="str">
        <f t="shared" ca="1" si="26"/>
        <v>pink-white</v>
      </c>
      <c r="N143" s="37" t="str">
        <f t="shared" si="30"/>
        <v>", "content": "</v>
      </c>
      <c r="O143" s="34" t="str">
        <f ca="1">IF(INDIRECT("Dashboard!P"&amp;((ROW()+1)/3+2))=1,"Completed",IF(INDIRECT("Dashboard!P"&amp;((ROW()+1)/3+2))="","","Pending"))</f>
        <v>Pending</v>
      </c>
      <c r="P143" s="37" t="str">
        <f t="shared" si="31"/>
        <v>", "start": "</v>
      </c>
      <c r="Q143" s="38">
        <f ca="1">IF(INDIRECT("Dashboard!K"&amp;((ROW()+1)/3+2))="","",INDIRECT("Dashboard!K"&amp;((ROW()+1)/3+2)))</f>
        <v>44743</v>
      </c>
      <c r="R143" s="37" t="str">
        <f t="shared" si="32"/>
        <v>", "end": "</v>
      </c>
      <c r="S143" s="38">
        <f ca="1">IF(INDIRECT("Dashboard!L"&amp;((ROW()+1)/3+2))="","",INDIRECT("Dashboard!L"&amp;((ROW()+1)/3+2)))</f>
        <v>45077</v>
      </c>
      <c r="T143" s="116" t="str">
        <f ca="1">IF(C146="]);",LEFT(T142,2),T142)</f>
        <v>"},</v>
      </c>
      <c r="V143" s="32" t="str">
        <f t="shared" ca="1" si="33"/>
        <v>{"id": 140, "group":"7", "subgroup": "actual", "subgroupOrder":0, "className": "pink-white", "content": "Pending", "start": "2022-07-01", "end": "2023-05-31"},</v>
      </c>
      <c r="W143" s="37" t="s">
        <v>2</v>
      </c>
      <c r="X143" s="32" t="str">
        <f ca="1">G143&amp;" : "&amp;INDIRECT("Dashboard!G"&amp;((ROW()+1)/3+2))</f>
        <v>"7" : M6. WebUI Dashboard &amp; Alerts for Energy Optimization</v>
      </c>
    </row>
    <row r="144" spans="1:24" ht="15" thickBot="1">
      <c r="A144" s="36"/>
      <c r="C144" s="28" t="str">
        <f ca="1">IF(OR(INDIRECT("Dashboard!B"&amp;(ROW()/3+2))&lt;&gt;"&gt;",AND(Q144="",S144="")),"//","")</f>
        <v>//</v>
      </c>
      <c r="D144" s="43" t="str">
        <f t="shared" si="27"/>
        <v xml:space="preserve">{"id": </v>
      </c>
      <c r="E144" s="29">
        <f t="shared" si="34"/>
        <v>141</v>
      </c>
      <c r="F144" s="43" t="str">
        <f t="shared" si="35"/>
        <v>, "group":</v>
      </c>
      <c r="G144" s="43" t="str">
        <f ca="1">G143</f>
        <v>"7"</v>
      </c>
      <c r="H144" s="43" t="str">
        <f t="shared" si="36"/>
        <v>, "subgroup": "</v>
      </c>
      <c r="I144" s="43" t="s">
        <v>397</v>
      </c>
      <c r="J144" s="43" t="str">
        <f t="shared" si="28"/>
        <v>", "subgroupOrder":</v>
      </c>
      <c r="K144" s="43">
        <v>0</v>
      </c>
      <c r="L144" s="43" t="str">
        <f t="shared" si="29"/>
        <v>, "className": "</v>
      </c>
      <c r="M144" s="29" t="str">
        <f t="shared" si="26"/>
        <v>orange</v>
      </c>
      <c r="N144" s="43" t="str">
        <f t="shared" si="30"/>
        <v>", "content": "</v>
      </c>
      <c r="O144" s="49" t="s">
        <v>392</v>
      </c>
      <c r="P144" s="43" t="str">
        <f t="shared" si="31"/>
        <v>", "start": "</v>
      </c>
      <c r="Q144" s="44">
        <f ca="1">S143</f>
        <v>45077</v>
      </c>
      <c r="R144" s="43" t="str">
        <f t="shared" si="32"/>
        <v>", "end": "</v>
      </c>
      <c r="S144" s="113">
        <f ca="1">IF(INDIRECT("Dashboard!M"&amp;(ROW()/3+2))="","",INDIRECT("Dashboard!M"&amp;(ROW()/3+2)))</f>
        <v>45096</v>
      </c>
      <c r="T144" s="117" t="str">
        <f ca="1">IF(C146="]);",LEFT(T143,2),T143)</f>
        <v>"},</v>
      </c>
      <c r="V144" s="32" t="str">
        <f t="shared" ca="1" si="33"/>
        <v/>
      </c>
      <c r="W144" s="37" t="s">
        <v>2</v>
      </c>
    </row>
    <row r="145" spans="1:24">
      <c r="A145" s="36"/>
      <c r="C145" s="25"/>
      <c r="D145" s="41" t="str">
        <f t="shared" si="27"/>
        <v xml:space="preserve">{"id": </v>
      </c>
      <c r="E145" s="26">
        <f t="shared" si="34"/>
        <v>142</v>
      </c>
      <c r="F145" s="41" t="str">
        <f t="shared" si="35"/>
        <v>, "group":</v>
      </c>
      <c r="G145" s="111" t="str">
        <f ca="1">CHAR(34)&amp;INDIRECT("Dashboard!A"&amp;(ROW()-1)/3+3)&amp;CHAR(34)</f>
        <v>"7.1"</v>
      </c>
      <c r="H145" s="41" t="str">
        <f t="shared" si="36"/>
        <v>, "subgroup": "</v>
      </c>
      <c r="I145" s="41" t="s">
        <v>396</v>
      </c>
      <c r="J145" s="41" t="str">
        <f t="shared" si="28"/>
        <v>", "subgroupOrder":</v>
      </c>
      <c r="K145" s="41">
        <v>1</v>
      </c>
      <c r="L145" s="41" t="str">
        <f t="shared" si="29"/>
        <v>, "className": "</v>
      </c>
      <c r="M145" s="26" t="str">
        <f t="shared" si="26"/>
        <v>gray</v>
      </c>
      <c r="N145" s="41" t="str">
        <f t="shared" si="30"/>
        <v>", "content": "</v>
      </c>
      <c r="O145" s="40" t="s">
        <v>388</v>
      </c>
      <c r="P145" s="41" t="str">
        <f t="shared" si="31"/>
        <v>", "start": "</v>
      </c>
      <c r="Q145" s="42" t="str">
        <f ca="1">IF(INDIRECT("Dashboard!I"&amp;(ROW()-1)/3+3)="","",INDIRECT("Dashboard!I"&amp;(ROW()-1)/3+3))</f>
        <v/>
      </c>
      <c r="R145" s="41" t="str">
        <f t="shared" si="32"/>
        <v>", "end": "</v>
      </c>
      <c r="S145" s="42" t="str">
        <f ca="1">IF(INDIRECT("Dashboard!J"&amp;(ROW()-1)/3+3)="","",INDIRECT("Dashboard!J"&amp;(ROW()-1)/3+3))</f>
        <v/>
      </c>
      <c r="T145" s="118" t="str">
        <f ca="1">IF(C149="]);",LEFT(T144,2),T144)</f>
        <v>"},</v>
      </c>
      <c r="V145" s="32" t="str">
        <f t="shared" ca="1" si="33"/>
        <v>{"id": 142, "group":"7.1", "subgroup": "plan", "subgroupOrder":1, "className": "gray", "content": "Planned", "start": "", "end": ""},</v>
      </c>
      <c r="W145" s="37" t="s">
        <v>2</v>
      </c>
    </row>
    <row r="146" spans="1:24">
      <c r="A146" s="36"/>
      <c r="C146" s="31" t="str">
        <f ca="1">IF(AND(Q146="", S146=""),"//","")</f>
        <v>//</v>
      </c>
      <c r="D146" s="37" t="str">
        <f t="shared" si="27"/>
        <v xml:space="preserve">{"id": </v>
      </c>
      <c r="E146" s="32">
        <f t="shared" si="34"/>
        <v>143</v>
      </c>
      <c r="F146" s="37" t="str">
        <f t="shared" si="35"/>
        <v>, "group":</v>
      </c>
      <c r="G146" s="37" t="str">
        <f ca="1">G145</f>
        <v>"7.1"</v>
      </c>
      <c r="H146" s="37" t="str">
        <f t="shared" si="36"/>
        <v>, "subgroup": "</v>
      </c>
      <c r="I146" s="37" t="s">
        <v>397</v>
      </c>
      <c r="J146" s="37" t="str">
        <f t="shared" si="28"/>
        <v>", "subgroupOrder":</v>
      </c>
      <c r="K146" s="37">
        <v>0</v>
      </c>
      <c r="L146" s="37" t="str">
        <f t="shared" si="29"/>
        <v>, "className": "</v>
      </c>
      <c r="M146" s="32" t="str">
        <f t="shared" ca="1" si="26"/>
        <v/>
      </c>
      <c r="N146" s="37" t="str">
        <f t="shared" si="30"/>
        <v>", "content": "</v>
      </c>
      <c r="O146" s="34" t="str">
        <f ca="1">IF(INDIRECT("Dashboard!P"&amp;((ROW()+1)/3+2))=1,"Completed",IF(INDIRECT("Dashboard!P"&amp;((ROW()+1)/3+2))="","","Pending"))</f>
        <v/>
      </c>
      <c r="P146" s="37" t="str">
        <f t="shared" si="31"/>
        <v>", "start": "</v>
      </c>
      <c r="Q146" s="38" t="str">
        <f ca="1">IF(INDIRECT("Dashboard!K"&amp;((ROW()+1)/3+2))="","",INDIRECT("Dashboard!K"&amp;((ROW()+1)/3+2)))</f>
        <v/>
      </c>
      <c r="R146" s="37" t="str">
        <f t="shared" si="32"/>
        <v>", "end": "</v>
      </c>
      <c r="S146" s="38" t="str">
        <f ca="1">IF(INDIRECT("Dashboard!L"&amp;((ROW()+1)/3+2))="","",INDIRECT("Dashboard!L"&amp;((ROW()+1)/3+2)))</f>
        <v/>
      </c>
      <c r="T146" s="116" t="str">
        <f ca="1">IF(C149="]);",LEFT(T145,2),T145)</f>
        <v>"},</v>
      </c>
      <c r="V146" s="32" t="str">
        <f t="shared" ca="1" si="33"/>
        <v/>
      </c>
      <c r="W146" s="37" t="s">
        <v>2</v>
      </c>
      <c r="X146" s="32" t="str">
        <f ca="1">G146&amp;" : "&amp;INDIRECT("Dashboard!G"&amp;((ROW()+1)/3+2))</f>
        <v>"7.1" : Note : First Version for above use cases</v>
      </c>
    </row>
    <row r="147" spans="1:24" ht="15" thickBot="1">
      <c r="A147" s="36"/>
      <c r="C147" s="28" t="str">
        <f ca="1">IF(OR(INDIRECT("Dashboard!B"&amp;(ROW()/3+2))&lt;&gt;"&gt;",AND(Q147="",S147="")),"//","")</f>
        <v>//</v>
      </c>
      <c r="D147" s="43" t="str">
        <f t="shared" si="27"/>
        <v xml:space="preserve">{"id": </v>
      </c>
      <c r="E147" s="29">
        <f t="shared" si="34"/>
        <v>144</v>
      </c>
      <c r="F147" s="43" t="str">
        <f t="shared" si="35"/>
        <v>, "group":</v>
      </c>
      <c r="G147" s="43" t="str">
        <f ca="1">G146</f>
        <v>"7.1"</v>
      </c>
      <c r="H147" s="43" t="str">
        <f t="shared" si="36"/>
        <v>, "subgroup": "</v>
      </c>
      <c r="I147" s="43" t="s">
        <v>397</v>
      </c>
      <c r="J147" s="43" t="str">
        <f t="shared" si="28"/>
        <v>", "subgroupOrder":</v>
      </c>
      <c r="K147" s="43">
        <v>0</v>
      </c>
      <c r="L147" s="43" t="str">
        <f t="shared" si="29"/>
        <v>, "className": "</v>
      </c>
      <c r="M147" s="29" t="str">
        <f t="shared" si="26"/>
        <v>orange</v>
      </c>
      <c r="N147" s="43" t="str">
        <f t="shared" si="30"/>
        <v>", "content": "</v>
      </c>
      <c r="O147" s="49" t="s">
        <v>392</v>
      </c>
      <c r="P147" s="43" t="str">
        <f t="shared" si="31"/>
        <v>", "start": "</v>
      </c>
      <c r="Q147" s="44" t="str">
        <f ca="1">S146</f>
        <v/>
      </c>
      <c r="R147" s="43" t="str">
        <f t="shared" si="32"/>
        <v>", "end": "</v>
      </c>
      <c r="S147" s="113" t="str">
        <f ca="1">IF(INDIRECT("Dashboard!M"&amp;(ROW()/3+2))="","",INDIRECT("Dashboard!M"&amp;(ROW()/3+2)))</f>
        <v/>
      </c>
      <c r="T147" s="117" t="str">
        <f ca="1">IF(C149="]);",LEFT(T146,2),T146)</f>
        <v>"},</v>
      </c>
      <c r="V147" s="32" t="str">
        <f t="shared" ca="1" si="33"/>
        <v/>
      </c>
      <c r="W147" s="37" t="s">
        <v>2</v>
      </c>
    </row>
    <row r="148" spans="1:24">
      <c r="A148" s="36"/>
      <c r="C148" s="25"/>
      <c r="D148" s="41" t="str">
        <f t="shared" si="27"/>
        <v xml:space="preserve">{"id": </v>
      </c>
      <c r="E148" s="26">
        <f t="shared" si="34"/>
        <v>145</v>
      </c>
      <c r="F148" s="41" t="str">
        <f t="shared" si="35"/>
        <v>, "group":</v>
      </c>
      <c r="G148" s="111" t="str">
        <f ca="1">CHAR(34)&amp;INDIRECT("Dashboard!A"&amp;(ROW()-1)/3+3)&amp;CHAR(34)</f>
        <v>"7.2"</v>
      </c>
      <c r="H148" s="41" t="str">
        <f t="shared" si="36"/>
        <v>, "subgroup": "</v>
      </c>
      <c r="I148" s="41" t="s">
        <v>396</v>
      </c>
      <c r="J148" s="41" t="str">
        <f t="shared" si="28"/>
        <v>", "subgroupOrder":</v>
      </c>
      <c r="K148" s="41">
        <v>1</v>
      </c>
      <c r="L148" s="41" t="str">
        <f t="shared" si="29"/>
        <v>, "className": "</v>
      </c>
      <c r="M148" s="26" t="str">
        <f t="shared" si="26"/>
        <v>gray</v>
      </c>
      <c r="N148" s="41" t="str">
        <f t="shared" si="30"/>
        <v>", "content": "</v>
      </c>
      <c r="O148" s="40" t="s">
        <v>388</v>
      </c>
      <c r="P148" s="41" t="str">
        <f t="shared" si="31"/>
        <v>", "start": "</v>
      </c>
      <c r="Q148" s="42">
        <f ca="1">IF(INDIRECT("Dashboard!I"&amp;(ROW()-1)/3+3)="","",INDIRECT("Dashboard!I"&amp;(ROW()-1)/3+3))</f>
        <v>44743</v>
      </c>
      <c r="R148" s="41" t="str">
        <f t="shared" si="32"/>
        <v>", "end": "</v>
      </c>
      <c r="S148" s="42">
        <f ca="1">IF(INDIRECT("Dashboard!J"&amp;(ROW()-1)/3+3)="","",INDIRECT("Dashboard!J"&amp;(ROW()-1)/3+3))</f>
        <v>44924</v>
      </c>
      <c r="T148" s="118" t="str">
        <f ca="1">IF(C152="]);",LEFT(T147,2),T147)</f>
        <v>"},</v>
      </c>
      <c r="V148" s="32" t="str">
        <f t="shared" ca="1" si="33"/>
        <v>{"id": 145, "group":"7.2", "subgroup": "plan", "subgroupOrder":1, "className": "gray", "content": "Planned", "start": "2022-07-01", "end": "2022-12-29"},</v>
      </c>
      <c r="W148" s="37" t="s">
        <v>2</v>
      </c>
    </row>
    <row r="149" spans="1:24">
      <c r="A149" s="36"/>
      <c r="C149" s="31" t="str">
        <f ca="1">IF(AND(Q149="", S149=""),"//","")</f>
        <v/>
      </c>
      <c r="D149" s="37" t="str">
        <f t="shared" si="27"/>
        <v xml:space="preserve">{"id": </v>
      </c>
      <c r="E149" s="32">
        <f t="shared" si="34"/>
        <v>146</v>
      </c>
      <c r="F149" s="37" t="str">
        <f t="shared" si="35"/>
        <v>, "group":</v>
      </c>
      <c r="G149" s="37" t="str">
        <f ca="1">G148</f>
        <v>"7.2"</v>
      </c>
      <c r="H149" s="37" t="str">
        <f t="shared" si="36"/>
        <v>, "subgroup": "</v>
      </c>
      <c r="I149" s="37" t="s">
        <v>397</v>
      </c>
      <c r="J149" s="37" t="str">
        <f t="shared" si="28"/>
        <v>", "subgroupOrder":</v>
      </c>
      <c r="K149" s="37">
        <v>0</v>
      </c>
      <c r="L149" s="37" t="str">
        <f t="shared" si="29"/>
        <v>, "className": "</v>
      </c>
      <c r="M149" s="32" t="str">
        <f t="shared" ca="1" si="26"/>
        <v>pink-white</v>
      </c>
      <c r="N149" s="37" t="str">
        <f t="shared" si="30"/>
        <v>", "content": "</v>
      </c>
      <c r="O149" s="34" t="str">
        <f ca="1">IF(INDIRECT("Dashboard!P"&amp;((ROW()+1)/3+2))=1,"Completed",IF(INDIRECT("Dashboard!P"&amp;((ROW()+1)/3+2))="","","Pending"))</f>
        <v>Pending</v>
      </c>
      <c r="P149" s="37" t="str">
        <f t="shared" si="31"/>
        <v>", "start": "</v>
      </c>
      <c r="Q149" s="38">
        <f ca="1">IF(INDIRECT("Dashboard!K"&amp;((ROW()+1)/3+2))="","",INDIRECT("Dashboard!K"&amp;((ROW()+1)/3+2)))</f>
        <v>44743</v>
      </c>
      <c r="R149" s="37" t="str">
        <f t="shared" si="32"/>
        <v>", "end": "</v>
      </c>
      <c r="S149" s="38">
        <f ca="1">IF(INDIRECT("Dashboard!L"&amp;((ROW()+1)/3+2))="","",INDIRECT("Dashboard!L"&amp;((ROW()+1)/3+2)))</f>
        <v>45077</v>
      </c>
      <c r="T149" s="116" t="str">
        <f ca="1">IF(C152="]);",LEFT(T148,2),T148)</f>
        <v>"},</v>
      </c>
      <c r="V149" s="32" t="str">
        <f t="shared" ca="1" si="33"/>
        <v>{"id": 146, "group":"7.2", "subgroup": "actual", "subgroupOrder":0, "className": "pink-white", "content": "Pending", "start": "2022-07-01", "end": "2023-05-31"},</v>
      </c>
      <c r="W149" s="37" t="s">
        <v>2</v>
      </c>
      <c r="X149" s="32" t="str">
        <f ca="1">G149&amp;" : "&amp;INDIRECT("Dashboard!G"&amp;((ROW()+1)/3+2))</f>
        <v>"7.2" : Technical design document explaining the data schema and algorithm</v>
      </c>
    </row>
    <row r="150" spans="1:24" ht="15" thickBot="1">
      <c r="A150" s="36"/>
      <c r="C150" s="28" t="str">
        <f ca="1">IF(OR(INDIRECT("Dashboard!B"&amp;(ROW()/3+2))&lt;&gt;"&gt;",AND(Q150="",S150="")),"//","")</f>
        <v/>
      </c>
      <c r="D150" s="43" t="str">
        <f t="shared" si="27"/>
        <v xml:space="preserve">{"id": </v>
      </c>
      <c r="E150" s="29">
        <f t="shared" si="34"/>
        <v>147</v>
      </c>
      <c r="F150" s="43" t="str">
        <f t="shared" si="35"/>
        <v>, "group":</v>
      </c>
      <c r="G150" s="43" t="str">
        <f ca="1">G149</f>
        <v>"7.2"</v>
      </c>
      <c r="H150" s="43" t="str">
        <f t="shared" si="36"/>
        <v>, "subgroup": "</v>
      </c>
      <c r="I150" s="43" t="s">
        <v>397</v>
      </c>
      <c r="J150" s="43" t="str">
        <f t="shared" si="28"/>
        <v>", "subgroupOrder":</v>
      </c>
      <c r="K150" s="43">
        <v>0</v>
      </c>
      <c r="L150" s="43" t="str">
        <f t="shared" si="29"/>
        <v>, "className": "</v>
      </c>
      <c r="M150" s="29" t="str">
        <f t="shared" si="26"/>
        <v>orange</v>
      </c>
      <c r="N150" s="43" t="str">
        <f t="shared" si="30"/>
        <v>", "content": "</v>
      </c>
      <c r="O150" s="49" t="s">
        <v>392</v>
      </c>
      <c r="P150" s="43" t="str">
        <f t="shared" si="31"/>
        <v>", "start": "</v>
      </c>
      <c r="Q150" s="44">
        <f ca="1">S149</f>
        <v>45077</v>
      </c>
      <c r="R150" s="43" t="str">
        <f t="shared" si="32"/>
        <v>", "end": "</v>
      </c>
      <c r="S150" s="113" t="str">
        <f ca="1">IF(INDIRECT("Dashboard!M"&amp;(ROW()/3+2))="","",INDIRECT("Dashboard!M"&amp;(ROW()/3+2)))</f>
        <v>Waiting for approval from LiteON</v>
      </c>
      <c r="T150" s="117" t="str">
        <f ca="1">IF(C152="]);",LEFT(T149,2),T149)</f>
        <v>"},</v>
      </c>
      <c r="V150" s="32" t="str">
        <f t="shared" ca="1" si="33"/>
        <v>{"id": 147, "group":"7.2", "subgroup": "actual", "subgroupOrder":0, "className": "orange", "content": "Validation", "start": "2023-05-31", "end": "Waiting for approval from LiteON"},</v>
      </c>
      <c r="W150" s="37" t="s">
        <v>2</v>
      </c>
    </row>
    <row r="151" spans="1:24">
      <c r="A151" s="36"/>
      <c r="C151" s="25"/>
      <c r="D151" s="41" t="str">
        <f t="shared" si="27"/>
        <v xml:space="preserve">{"id": </v>
      </c>
      <c r="E151" s="26">
        <f t="shared" si="34"/>
        <v>148</v>
      </c>
      <c r="F151" s="41" t="str">
        <f t="shared" si="35"/>
        <v>, "group":</v>
      </c>
      <c r="G151" s="111" t="str">
        <f ca="1">CHAR(34)&amp;INDIRECT("Dashboard!A"&amp;(ROW()-1)/3+3)&amp;CHAR(34)</f>
        <v>"7.3"</v>
      </c>
      <c r="H151" s="41" t="str">
        <f t="shared" si="36"/>
        <v>, "subgroup": "</v>
      </c>
      <c r="I151" s="41" t="s">
        <v>396</v>
      </c>
      <c r="J151" s="41" t="str">
        <f t="shared" si="28"/>
        <v>", "subgroupOrder":</v>
      </c>
      <c r="K151" s="41">
        <v>1</v>
      </c>
      <c r="L151" s="41" t="str">
        <f t="shared" si="29"/>
        <v>, "className": "</v>
      </c>
      <c r="M151" s="26" t="str">
        <f t="shared" si="26"/>
        <v>gray</v>
      </c>
      <c r="N151" s="41" t="str">
        <f t="shared" si="30"/>
        <v>", "content": "</v>
      </c>
      <c r="O151" s="40" t="s">
        <v>388</v>
      </c>
      <c r="P151" s="41" t="str">
        <f t="shared" si="31"/>
        <v>", "start": "</v>
      </c>
      <c r="Q151" s="42">
        <f ca="1">IF(INDIRECT("Dashboard!I"&amp;(ROW()-1)/3+3)="","",INDIRECT("Dashboard!I"&amp;(ROW()-1)/3+3))</f>
        <v>44743</v>
      </c>
      <c r="R151" s="41" t="str">
        <f t="shared" si="32"/>
        <v>", "end": "</v>
      </c>
      <c r="S151" s="42">
        <f ca="1">IF(INDIRECT("Dashboard!J"&amp;(ROW()-1)/3+3)="","",INDIRECT("Dashboard!J"&amp;(ROW()-1)/3+3))</f>
        <v>44924</v>
      </c>
      <c r="T151" s="118" t="str">
        <f ca="1">IF(C155="]);",LEFT(T150,2),T150)</f>
        <v>"},</v>
      </c>
      <c r="V151" s="32" t="str">
        <f t="shared" ca="1" si="33"/>
        <v>{"id": 148, "group":"7.3", "subgroup": "plan", "subgroupOrder":1, "className": "gray", "content": "Planned", "start": "2022-07-01", "end": "2022-12-29"},</v>
      </c>
      <c r="W151" s="37" t="s">
        <v>2</v>
      </c>
    </row>
    <row r="152" spans="1:24">
      <c r="A152" s="36"/>
      <c r="C152" s="31" t="str">
        <f ca="1">IF(AND(Q152="", S152=""),"//","")</f>
        <v/>
      </c>
      <c r="D152" s="37" t="str">
        <f t="shared" si="27"/>
        <v xml:space="preserve">{"id": </v>
      </c>
      <c r="E152" s="32">
        <f t="shared" si="34"/>
        <v>149</v>
      </c>
      <c r="F152" s="37" t="str">
        <f t="shared" si="35"/>
        <v>, "group":</v>
      </c>
      <c r="G152" s="37" t="str">
        <f ca="1">G151</f>
        <v>"7.3"</v>
      </c>
      <c r="H152" s="37" t="str">
        <f t="shared" si="36"/>
        <v>, "subgroup": "</v>
      </c>
      <c r="I152" s="37" t="s">
        <v>397</v>
      </c>
      <c r="J152" s="37" t="str">
        <f t="shared" si="28"/>
        <v>", "subgroupOrder":</v>
      </c>
      <c r="K152" s="37">
        <v>0</v>
      </c>
      <c r="L152" s="37" t="str">
        <f t="shared" si="29"/>
        <v>, "className": "</v>
      </c>
      <c r="M152" s="32" t="str">
        <f t="shared" ca="1" si="26"/>
        <v>pink-white</v>
      </c>
      <c r="N152" s="37" t="str">
        <f t="shared" si="30"/>
        <v>", "content": "</v>
      </c>
      <c r="O152" s="34" t="str">
        <f ca="1">IF(INDIRECT("Dashboard!P"&amp;((ROW()+1)/3+2))=1,"Completed",IF(INDIRECT("Dashboard!P"&amp;((ROW()+1)/3+2))="","","Pending"))</f>
        <v>Pending</v>
      </c>
      <c r="P152" s="37" t="str">
        <f t="shared" si="31"/>
        <v>", "start": "</v>
      </c>
      <c r="Q152" s="38">
        <f ca="1">IF(INDIRECT("Dashboard!K"&amp;((ROW()+1)/3+2))="","",INDIRECT("Dashboard!K"&amp;((ROW()+1)/3+2)))</f>
        <v>44743</v>
      </c>
      <c r="R152" s="37" t="str">
        <f t="shared" si="32"/>
        <v>", "end": "</v>
      </c>
      <c r="S152" s="38">
        <f ca="1">IF(INDIRECT("Dashboard!L"&amp;((ROW()+1)/3+2))="","",INDIRECT("Dashboard!L"&amp;((ROW()+1)/3+2)))</f>
        <v>45077</v>
      </c>
      <c r="T152" s="116" t="str">
        <f ca="1">IF(C155="]);",LEFT(T151,2),T151)</f>
        <v>"},</v>
      </c>
      <c r="V152" s="32" t="str">
        <f t="shared" ca="1" si="33"/>
        <v>{"id": 149, "group":"7.3", "subgroup": "actual", "subgroupOrder":0, "className": "pink-white", "content": "Pending", "start": "2022-07-01", "end": "2023-05-31"},</v>
      </c>
      <c r="W152" s="37" t="s">
        <v>2</v>
      </c>
      <c r="X152" s="32" t="str">
        <f ca="1">G152&amp;" : "&amp;INDIRECT("Dashboard!G"&amp;((ROW()+1)/3+2))</f>
        <v>"7.3" : Software Code</v>
      </c>
    </row>
    <row r="153" spans="1:24" ht="15" thickBot="1">
      <c r="A153" s="36"/>
      <c r="C153" s="28" t="str">
        <f ca="1">IF(OR(INDIRECT("Dashboard!B"&amp;(ROW()/3+2))&lt;&gt;"&gt;",AND(Q153="",S153="")),"//","")</f>
        <v/>
      </c>
      <c r="D153" s="43" t="str">
        <f t="shared" si="27"/>
        <v xml:space="preserve">{"id": </v>
      </c>
      <c r="E153" s="29">
        <f t="shared" si="34"/>
        <v>150</v>
      </c>
      <c r="F153" s="43" t="str">
        <f t="shared" si="35"/>
        <v>, "group":</v>
      </c>
      <c r="G153" s="43" t="str">
        <f ca="1">G152</f>
        <v>"7.3"</v>
      </c>
      <c r="H153" s="43" t="str">
        <f t="shared" si="36"/>
        <v>, "subgroup": "</v>
      </c>
      <c r="I153" s="43" t="s">
        <v>397</v>
      </c>
      <c r="J153" s="43" t="str">
        <f t="shared" si="28"/>
        <v>", "subgroupOrder":</v>
      </c>
      <c r="K153" s="43">
        <v>0</v>
      </c>
      <c r="L153" s="43" t="str">
        <f t="shared" si="29"/>
        <v>, "className": "</v>
      </c>
      <c r="M153" s="29" t="str">
        <f t="shared" si="26"/>
        <v>orange</v>
      </c>
      <c r="N153" s="43" t="str">
        <f t="shared" si="30"/>
        <v>", "content": "</v>
      </c>
      <c r="O153" s="49" t="s">
        <v>392</v>
      </c>
      <c r="P153" s="43" t="str">
        <f t="shared" si="31"/>
        <v>", "start": "</v>
      </c>
      <c r="Q153" s="44">
        <f ca="1">S152</f>
        <v>45077</v>
      </c>
      <c r="R153" s="43" t="str">
        <f t="shared" si="32"/>
        <v>", "end": "</v>
      </c>
      <c r="S153" s="113" t="str">
        <f ca="1">IF(INDIRECT("Dashboard!M"&amp;(ROW()/3+2))="","",INDIRECT("Dashboard!M"&amp;(ROW()/3+2)))</f>
        <v>Waiting for approval from LiteON</v>
      </c>
      <c r="T153" s="117" t="str">
        <f ca="1">IF(C155="]);",LEFT(T152,2),T152)</f>
        <v>"},</v>
      </c>
      <c r="V153" s="32" t="str">
        <f t="shared" ca="1" si="33"/>
        <v>{"id": 150, "group":"7.3", "subgroup": "actual", "subgroupOrder":0, "className": "orange", "content": "Validation", "start": "2023-05-31", "end": "Waiting for approval from LiteON"},</v>
      </c>
      <c r="W153" s="37" t="s">
        <v>2</v>
      </c>
    </row>
    <row r="154" spans="1:24">
      <c r="A154" s="36"/>
      <c r="C154" s="25"/>
      <c r="D154" s="41" t="str">
        <f t="shared" si="27"/>
        <v xml:space="preserve">{"id": </v>
      </c>
      <c r="E154" s="26">
        <f t="shared" si="34"/>
        <v>151</v>
      </c>
      <c r="F154" s="41" t="str">
        <f t="shared" si="35"/>
        <v>, "group":</v>
      </c>
      <c r="G154" s="111" t="str">
        <f ca="1">CHAR(34)&amp;INDIRECT("Dashboard!A"&amp;(ROW()-1)/3+3)&amp;CHAR(34)</f>
        <v>"7.4"</v>
      </c>
      <c r="H154" s="41" t="str">
        <f t="shared" si="36"/>
        <v>, "subgroup": "</v>
      </c>
      <c r="I154" s="41" t="s">
        <v>396</v>
      </c>
      <c r="J154" s="41" t="str">
        <f t="shared" si="28"/>
        <v>", "subgroupOrder":</v>
      </c>
      <c r="K154" s="41">
        <v>1</v>
      </c>
      <c r="L154" s="41" t="str">
        <f t="shared" si="29"/>
        <v>, "className": "</v>
      </c>
      <c r="M154" s="26" t="str">
        <f t="shared" si="26"/>
        <v>gray</v>
      </c>
      <c r="N154" s="41" t="str">
        <f t="shared" si="30"/>
        <v>", "content": "</v>
      </c>
      <c r="O154" s="40" t="s">
        <v>388</v>
      </c>
      <c r="P154" s="41" t="str">
        <f t="shared" si="31"/>
        <v>", "start": "</v>
      </c>
      <c r="Q154" s="42">
        <f ca="1">IF(INDIRECT("Dashboard!I"&amp;(ROW()-1)/3+3)="","",INDIRECT("Dashboard!I"&amp;(ROW()-1)/3+3))</f>
        <v>44743</v>
      </c>
      <c r="R154" s="41" t="str">
        <f t="shared" si="32"/>
        <v>", "end": "</v>
      </c>
      <c r="S154" s="42">
        <f ca="1">IF(INDIRECT("Dashboard!J"&amp;(ROW()-1)/3+3)="","",INDIRECT("Dashboard!J"&amp;(ROW()-1)/3+3))</f>
        <v>44924</v>
      </c>
      <c r="T154" s="118" t="str">
        <f ca="1">IF(C158="]);",LEFT(T153,2),T153)</f>
        <v>"},</v>
      </c>
      <c r="V154" s="32" t="str">
        <f t="shared" ca="1" si="33"/>
        <v>{"id": 151, "group":"7.4", "subgroup": "plan", "subgroupOrder":1, "className": "gray", "content": "Planned", "start": "2022-07-01", "end": "2022-12-29"},</v>
      </c>
      <c r="W154" s="37" t="s">
        <v>2</v>
      </c>
    </row>
    <row r="155" spans="1:24">
      <c r="A155" s="36"/>
      <c r="C155" s="31" t="str">
        <f ca="1">IF(AND(Q155="", S155=""),"//","")</f>
        <v/>
      </c>
      <c r="D155" s="37" t="str">
        <f t="shared" si="27"/>
        <v xml:space="preserve">{"id": </v>
      </c>
      <c r="E155" s="32">
        <f t="shared" si="34"/>
        <v>152</v>
      </c>
      <c r="F155" s="37" t="str">
        <f t="shared" si="35"/>
        <v>, "group":</v>
      </c>
      <c r="G155" s="37" t="str">
        <f ca="1">G154</f>
        <v>"7.4"</v>
      </c>
      <c r="H155" s="37" t="str">
        <f t="shared" si="36"/>
        <v>, "subgroup": "</v>
      </c>
      <c r="I155" s="37" t="s">
        <v>397</v>
      </c>
      <c r="J155" s="37" t="str">
        <f t="shared" si="28"/>
        <v>", "subgroupOrder":</v>
      </c>
      <c r="K155" s="37">
        <v>0</v>
      </c>
      <c r="L155" s="37" t="str">
        <f t="shared" si="29"/>
        <v>, "className": "</v>
      </c>
      <c r="M155" s="32" t="str">
        <f t="shared" ca="1" si="26"/>
        <v>pink-white</v>
      </c>
      <c r="N155" s="37" t="str">
        <f t="shared" si="30"/>
        <v>", "content": "</v>
      </c>
      <c r="O155" s="34" t="str">
        <f ca="1">IF(INDIRECT("Dashboard!P"&amp;((ROW()+1)/3+2))=1,"Completed",IF(INDIRECT("Dashboard!P"&amp;((ROW()+1)/3+2))="","","Pending"))</f>
        <v>Pending</v>
      </c>
      <c r="P155" s="37" t="str">
        <f t="shared" si="31"/>
        <v>", "start": "</v>
      </c>
      <c r="Q155" s="38">
        <f ca="1">IF(INDIRECT("Dashboard!K"&amp;((ROW()+1)/3+2))="","",INDIRECT("Dashboard!K"&amp;((ROW()+1)/3+2)))</f>
        <v>44743</v>
      </c>
      <c r="R155" s="37" t="str">
        <f t="shared" si="32"/>
        <v>", "end": "</v>
      </c>
      <c r="S155" s="38">
        <f ca="1">IF(INDIRECT("Dashboard!L"&amp;((ROW()+1)/3+2))="","",INDIRECT("Dashboard!L"&amp;((ROW()+1)/3+2)))</f>
        <v>45077</v>
      </c>
      <c r="T155" s="116" t="str">
        <f ca="1">IF(C158="]);",LEFT(T154,2),T154)</f>
        <v>"},</v>
      </c>
      <c r="V155" s="32" t="str">
        <f t="shared" ca="1" si="33"/>
        <v>{"id": 152, "group":"7.4", "subgroup": "actual", "subgroupOrder":0, "className": "pink-white", "content": "Pending", "start": "2022-07-01", "end": "2023-05-31"},</v>
      </c>
      <c r="W155" s="37" t="s">
        <v>2</v>
      </c>
      <c r="X155" s="32" t="str">
        <f ca="1">G155&amp;" : "&amp;INDIRECT("Dashboard!G"&amp;((ROW()+1)/3+2))</f>
        <v>"7.4" : Deployment Procedure of the code</v>
      </c>
    </row>
    <row r="156" spans="1:24" ht="15" thickBot="1">
      <c r="A156" s="36"/>
      <c r="C156" s="28" t="str">
        <f ca="1">IF(OR(INDIRECT("Dashboard!B"&amp;(ROW()/3+2))&lt;&gt;"&gt;",AND(Q156="",S156="")),"//","")</f>
        <v/>
      </c>
      <c r="D156" s="43" t="str">
        <f t="shared" si="27"/>
        <v xml:space="preserve">{"id": </v>
      </c>
      <c r="E156" s="29">
        <f t="shared" si="34"/>
        <v>153</v>
      </c>
      <c r="F156" s="43" t="str">
        <f t="shared" si="35"/>
        <v>, "group":</v>
      </c>
      <c r="G156" s="43" t="str">
        <f ca="1">G155</f>
        <v>"7.4"</v>
      </c>
      <c r="H156" s="43" t="str">
        <f t="shared" si="36"/>
        <v>, "subgroup": "</v>
      </c>
      <c r="I156" s="43" t="s">
        <v>397</v>
      </c>
      <c r="J156" s="43" t="str">
        <f t="shared" si="28"/>
        <v>", "subgroupOrder":</v>
      </c>
      <c r="K156" s="43">
        <v>0</v>
      </c>
      <c r="L156" s="43" t="str">
        <f t="shared" si="29"/>
        <v>, "className": "</v>
      </c>
      <c r="M156" s="29" t="str">
        <f t="shared" si="26"/>
        <v>orange</v>
      </c>
      <c r="N156" s="43" t="str">
        <f t="shared" si="30"/>
        <v>", "content": "</v>
      </c>
      <c r="O156" s="49" t="s">
        <v>392</v>
      </c>
      <c r="P156" s="43" t="str">
        <f t="shared" si="31"/>
        <v>", "start": "</v>
      </c>
      <c r="Q156" s="44">
        <f ca="1">S155</f>
        <v>45077</v>
      </c>
      <c r="R156" s="43" t="str">
        <f t="shared" si="32"/>
        <v>", "end": "</v>
      </c>
      <c r="S156" s="113" t="str">
        <f ca="1">IF(INDIRECT("Dashboard!M"&amp;(ROW()/3+2))="","",INDIRECT("Dashboard!M"&amp;(ROW()/3+2)))</f>
        <v>Waiting for approval from LiteON</v>
      </c>
      <c r="T156" s="117" t="str">
        <f ca="1">IF(C158="]);",LEFT(T155,2),T155)</f>
        <v>"},</v>
      </c>
      <c r="V156" s="32" t="str">
        <f t="shared" ca="1" si="33"/>
        <v>{"id": 153, "group":"7.4", "subgroup": "actual", "subgroupOrder":0, "className": "orange", "content": "Validation", "start": "2023-05-31", "end": "Waiting for approval from LiteON"},</v>
      </c>
      <c r="W156" s="37" t="s">
        <v>2</v>
      </c>
    </row>
    <row r="157" spans="1:24">
      <c r="A157" s="36"/>
      <c r="C157" s="25"/>
      <c r="D157" s="41" t="str">
        <f t="shared" si="27"/>
        <v xml:space="preserve">{"id": </v>
      </c>
      <c r="E157" s="26">
        <f t="shared" si="34"/>
        <v>154</v>
      </c>
      <c r="F157" s="41" t="str">
        <f t="shared" si="35"/>
        <v>, "group":</v>
      </c>
      <c r="G157" s="111" t="str">
        <f ca="1">CHAR(34)&amp;INDIRECT("Dashboard!A"&amp;(ROW()-1)/3+3)&amp;CHAR(34)</f>
        <v>"7.5"</v>
      </c>
      <c r="H157" s="41" t="str">
        <f t="shared" si="36"/>
        <v>, "subgroup": "</v>
      </c>
      <c r="I157" s="41" t="s">
        <v>396</v>
      </c>
      <c r="J157" s="41" t="str">
        <f t="shared" si="28"/>
        <v>", "subgroupOrder":</v>
      </c>
      <c r="K157" s="41">
        <v>1</v>
      </c>
      <c r="L157" s="41" t="str">
        <f t="shared" si="29"/>
        <v>, "className": "</v>
      </c>
      <c r="M157" s="26" t="str">
        <f t="shared" si="26"/>
        <v>gray</v>
      </c>
      <c r="N157" s="41" t="str">
        <f t="shared" si="30"/>
        <v>", "content": "</v>
      </c>
      <c r="O157" s="40" t="s">
        <v>388</v>
      </c>
      <c r="P157" s="41" t="str">
        <f t="shared" si="31"/>
        <v>", "start": "</v>
      </c>
      <c r="Q157" s="42">
        <f ca="1">IF(INDIRECT("Dashboard!I"&amp;(ROW()-1)/3+3)="","",INDIRECT("Dashboard!I"&amp;(ROW()-1)/3+3))</f>
        <v>44743</v>
      </c>
      <c r="R157" s="41" t="str">
        <f t="shared" si="32"/>
        <v>", "end": "</v>
      </c>
      <c r="S157" s="42">
        <f ca="1">IF(INDIRECT("Dashboard!J"&amp;(ROW()-1)/3+3)="","",INDIRECT("Dashboard!J"&amp;(ROW()-1)/3+3))</f>
        <v>44924</v>
      </c>
      <c r="T157" s="118" t="str">
        <f ca="1">IF(C161="]);",LEFT(T156,2),T156)</f>
        <v>"},</v>
      </c>
      <c r="V157" s="32" t="str">
        <f t="shared" ca="1" si="33"/>
        <v>{"id": 154, "group":"7.5", "subgroup": "plan", "subgroupOrder":1, "className": "gray", "content": "Planned", "start": "2022-07-01", "end": "2022-12-29"},</v>
      </c>
      <c r="W157" s="37" t="s">
        <v>2</v>
      </c>
    </row>
    <row r="158" spans="1:24">
      <c r="A158" s="36"/>
      <c r="C158" s="31" t="str">
        <f ca="1">IF(AND(Q158="", S158=""),"//","")</f>
        <v/>
      </c>
      <c r="D158" s="37" t="str">
        <f t="shared" si="27"/>
        <v xml:space="preserve">{"id": </v>
      </c>
      <c r="E158" s="32">
        <f t="shared" si="34"/>
        <v>155</v>
      </c>
      <c r="F158" s="37" t="str">
        <f t="shared" si="35"/>
        <v>, "group":</v>
      </c>
      <c r="G158" s="37" t="str">
        <f ca="1">G157</f>
        <v>"7.5"</v>
      </c>
      <c r="H158" s="37" t="str">
        <f t="shared" si="36"/>
        <v>, "subgroup": "</v>
      </c>
      <c r="I158" s="37" t="s">
        <v>397</v>
      </c>
      <c r="J158" s="37" t="str">
        <f t="shared" si="28"/>
        <v>", "subgroupOrder":</v>
      </c>
      <c r="K158" s="37">
        <v>0</v>
      </c>
      <c r="L158" s="37" t="str">
        <f t="shared" si="29"/>
        <v>, "className": "</v>
      </c>
      <c r="M158" s="32" t="str">
        <f t="shared" ca="1" si="26"/>
        <v>pink-white</v>
      </c>
      <c r="N158" s="37" t="str">
        <f t="shared" si="30"/>
        <v>", "content": "</v>
      </c>
      <c r="O158" s="34" t="str">
        <f ca="1">IF(INDIRECT("Dashboard!P"&amp;((ROW()+1)/3+2))=1,"Completed",IF(INDIRECT("Dashboard!P"&amp;((ROW()+1)/3+2))="","","Pending"))</f>
        <v>Pending</v>
      </c>
      <c r="P158" s="37" t="str">
        <f t="shared" si="31"/>
        <v>", "start": "</v>
      </c>
      <c r="Q158" s="38">
        <f ca="1">IF(INDIRECT("Dashboard!K"&amp;((ROW()+1)/3+2))="","",INDIRECT("Dashboard!K"&amp;((ROW()+1)/3+2)))</f>
        <v>44743</v>
      </c>
      <c r="R158" s="37" t="str">
        <f t="shared" si="32"/>
        <v>", "end": "</v>
      </c>
      <c r="S158" s="38">
        <f ca="1">IF(INDIRECT("Dashboard!L"&amp;((ROW()+1)/3+2))="","",INDIRECT("Dashboard!L"&amp;((ROW()+1)/3+2)))</f>
        <v>45077</v>
      </c>
      <c r="T158" s="116" t="str">
        <f ca="1">IF(C161="]);",LEFT(T157,2),T157)</f>
        <v>"},</v>
      </c>
      <c r="V158" s="32" t="str">
        <f t="shared" ca="1" si="33"/>
        <v>{"id": 155, "group":"7.5", "subgroup": "actual", "subgroupOrder":0, "className": "pink-white", "content": "Pending", "start": "2022-07-01", "end": "2023-05-31"},</v>
      </c>
      <c r="W158" s="37" t="s">
        <v>2</v>
      </c>
      <c r="X158" s="32" t="str">
        <f ca="1">G158&amp;" : "&amp;INDIRECT("Dashboard!G"&amp;((ROW()+1)/3+2))</f>
        <v>"7.5" : Product usage guide with examples for all the functional usecases</v>
      </c>
    </row>
    <row r="159" spans="1:24" ht="15" thickBot="1">
      <c r="A159" s="36"/>
      <c r="C159" s="28" t="str">
        <f ca="1">IF(OR(INDIRECT("Dashboard!B"&amp;(ROW()/3+2))&lt;&gt;"&gt;",AND(Q159="",S159="")),"//","")</f>
        <v/>
      </c>
      <c r="D159" s="43" t="str">
        <f t="shared" si="27"/>
        <v xml:space="preserve">{"id": </v>
      </c>
      <c r="E159" s="29">
        <f t="shared" si="34"/>
        <v>156</v>
      </c>
      <c r="F159" s="43" t="str">
        <f t="shared" si="35"/>
        <v>, "group":</v>
      </c>
      <c r="G159" s="43" t="str">
        <f ca="1">G158</f>
        <v>"7.5"</v>
      </c>
      <c r="H159" s="43" t="str">
        <f t="shared" si="36"/>
        <v>, "subgroup": "</v>
      </c>
      <c r="I159" s="43" t="s">
        <v>397</v>
      </c>
      <c r="J159" s="43" t="str">
        <f t="shared" si="28"/>
        <v>", "subgroupOrder":</v>
      </c>
      <c r="K159" s="43">
        <v>0</v>
      </c>
      <c r="L159" s="43" t="str">
        <f t="shared" si="29"/>
        <v>, "className": "</v>
      </c>
      <c r="M159" s="29" t="str">
        <f t="shared" si="26"/>
        <v>orange</v>
      </c>
      <c r="N159" s="43" t="str">
        <f t="shared" si="30"/>
        <v>", "content": "</v>
      </c>
      <c r="O159" s="49" t="s">
        <v>392</v>
      </c>
      <c r="P159" s="43" t="str">
        <f t="shared" si="31"/>
        <v>", "start": "</v>
      </c>
      <c r="Q159" s="44">
        <f ca="1">S158</f>
        <v>45077</v>
      </c>
      <c r="R159" s="43" t="str">
        <f t="shared" si="32"/>
        <v>", "end": "</v>
      </c>
      <c r="S159" s="113" t="str">
        <f ca="1">IF(INDIRECT("Dashboard!M"&amp;(ROW()/3+2))="","",INDIRECT("Dashboard!M"&amp;(ROW()/3+2)))</f>
        <v>Waiting for approval from LiteON</v>
      </c>
      <c r="T159" s="117" t="str">
        <f ca="1">IF(C161="]);",LEFT(T158,2),T158)</f>
        <v>"},</v>
      </c>
      <c r="V159" s="32" t="str">
        <f t="shared" ca="1" si="33"/>
        <v>{"id": 156, "group":"7.5", "subgroup": "actual", "subgroupOrder":0, "className": "orange", "content": "Validation", "start": "2023-05-31", "end": "Waiting for approval from LiteON"},</v>
      </c>
      <c r="W159" s="37" t="s">
        <v>2</v>
      </c>
    </row>
    <row r="160" spans="1:24">
      <c r="A160" s="36"/>
      <c r="C160" s="25"/>
      <c r="D160" s="41" t="str">
        <f t="shared" si="27"/>
        <v xml:space="preserve">{"id": </v>
      </c>
      <c r="E160" s="26">
        <f t="shared" si="34"/>
        <v>157</v>
      </c>
      <c r="F160" s="41" t="str">
        <f t="shared" si="35"/>
        <v>, "group":</v>
      </c>
      <c r="G160" s="111" t="str">
        <f ca="1">CHAR(34)&amp;INDIRECT("Dashboard!A"&amp;(ROW()-1)/3+3)&amp;CHAR(34)</f>
        <v>"7.6"</v>
      </c>
      <c r="H160" s="41" t="str">
        <f t="shared" si="36"/>
        <v>, "subgroup": "</v>
      </c>
      <c r="I160" s="41" t="s">
        <v>396</v>
      </c>
      <c r="J160" s="41" t="str">
        <f t="shared" si="28"/>
        <v>", "subgroupOrder":</v>
      </c>
      <c r="K160" s="41">
        <v>1</v>
      </c>
      <c r="L160" s="41" t="str">
        <f t="shared" si="29"/>
        <v>, "className": "</v>
      </c>
      <c r="M160" s="26" t="str">
        <f t="shared" si="26"/>
        <v>gray</v>
      </c>
      <c r="N160" s="41" t="str">
        <f t="shared" si="30"/>
        <v>", "content": "</v>
      </c>
      <c r="O160" s="40" t="s">
        <v>388</v>
      </c>
      <c r="P160" s="41" t="str">
        <f t="shared" si="31"/>
        <v>", "start": "</v>
      </c>
      <c r="Q160" s="42">
        <f ca="1">IF(INDIRECT("Dashboard!I"&amp;(ROW()-1)/3+3)="","",INDIRECT("Dashboard!I"&amp;(ROW()-1)/3+3))</f>
        <v>44743</v>
      </c>
      <c r="R160" s="41" t="str">
        <f t="shared" si="32"/>
        <v>", "end": "</v>
      </c>
      <c r="S160" s="42">
        <f ca="1">IF(INDIRECT("Dashboard!J"&amp;(ROW()-1)/3+3)="","",INDIRECT("Dashboard!J"&amp;(ROW()-1)/3+3))</f>
        <v>44924</v>
      </c>
      <c r="T160" s="118" t="str">
        <f ca="1">IF(C164="]);",LEFT(T159,2),T159)</f>
        <v>"},</v>
      </c>
      <c r="V160" s="32" t="str">
        <f t="shared" ca="1" si="33"/>
        <v>{"id": 157, "group":"7.6", "subgroup": "plan", "subgroupOrder":1, "className": "gray", "content": "Planned", "start": "2022-07-01", "end": "2022-12-29"},</v>
      </c>
      <c r="W160" s="37" t="s">
        <v>2</v>
      </c>
    </row>
    <row r="161" spans="1:24">
      <c r="A161" s="36"/>
      <c r="C161" s="31" t="str">
        <f ca="1">IF(AND(Q161="", S161=""),"//","")</f>
        <v/>
      </c>
      <c r="D161" s="37" t="str">
        <f t="shared" si="27"/>
        <v xml:space="preserve">{"id": </v>
      </c>
      <c r="E161" s="32">
        <f t="shared" si="34"/>
        <v>158</v>
      </c>
      <c r="F161" s="37" t="str">
        <f t="shared" si="35"/>
        <v>, "group":</v>
      </c>
      <c r="G161" s="37" t="str">
        <f ca="1">G160</f>
        <v>"7.6"</v>
      </c>
      <c r="H161" s="37" t="str">
        <f t="shared" si="36"/>
        <v>, "subgroup": "</v>
      </c>
      <c r="I161" s="37" t="s">
        <v>397</v>
      </c>
      <c r="J161" s="37" t="str">
        <f t="shared" si="28"/>
        <v>", "subgroupOrder":</v>
      </c>
      <c r="K161" s="37">
        <v>0</v>
      </c>
      <c r="L161" s="37" t="str">
        <f t="shared" si="29"/>
        <v>, "className": "</v>
      </c>
      <c r="M161" s="32" t="str">
        <f t="shared" ca="1" si="26"/>
        <v>pink-white</v>
      </c>
      <c r="N161" s="37" t="str">
        <f t="shared" si="30"/>
        <v>", "content": "</v>
      </c>
      <c r="O161" s="34" t="str">
        <f ca="1">IF(INDIRECT("Dashboard!P"&amp;((ROW()+1)/3+2))=1,"Completed",IF(INDIRECT("Dashboard!P"&amp;((ROW()+1)/3+2))="","","Pending"))</f>
        <v>Pending</v>
      </c>
      <c r="P161" s="37" t="str">
        <f t="shared" si="31"/>
        <v>", "start": "</v>
      </c>
      <c r="Q161" s="38">
        <f ca="1">IF(INDIRECT("Dashboard!K"&amp;((ROW()+1)/3+2))="","",INDIRECT("Dashboard!K"&amp;((ROW()+1)/3+2)))</f>
        <v>44743</v>
      </c>
      <c r="R161" s="37" t="str">
        <f t="shared" si="32"/>
        <v>", "end": "</v>
      </c>
      <c r="S161" s="38">
        <f ca="1">IF(INDIRECT("Dashboard!L"&amp;((ROW()+1)/3+2))="","",INDIRECT("Dashboard!L"&amp;((ROW()+1)/3+2)))</f>
        <v>45077</v>
      </c>
      <c r="T161" s="116" t="str">
        <f ca="1">IF(C164="]);",LEFT(T160,2),T160)</f>
        <v>"},</v>
      </c>
      <c r="V161" s="32" t="str">
        <f t="shared" ca="1" si="33"/>
        <v>{"id": 158, "group":"7.6", "subgroup": "actual", "subgroupOrder":0, "className": "pink-white", "content": "Pending", "start": "2022-07-01", "end": "2023-05-31"},</v>
      </c>
      <c r="W161" s="37" t="s">
        <v>2</v>
      </c>
      <c r="X161" s="32" t="str">
        <f ca="1">G161&amp;" : "&amp;INDIRECT("Dashboard!G"&amp;((ROW()+1)/3+2))</f>
        <v xml:space="preserve">"7.6" : Test report </v>
      </c>
    </row>
    <row r="162" spans="1:24" ht="15" thickBot="1">
      <c r="A162" s="36"/>
      <c r="C162" s="28" t="str">
        <f ca="1">IF(OR(INDIRECT("Dashboard!B"&amp;(ROW()/3+2))&lt;&gt;"&gt;",AND(Q162="",S162="")),"//","")</f>
        <v/>
      </c>
      <c r="D162" s="43" t="str">
        <f t="shared" si="27"/>
        <v xml:space="preserve">{"id": </v>
      </c>
      <c r="E162" s="29">
        <f t="shared" si="34"/>
        <v>159</v>
      </c>
      <c r="F162" s="43" t="str">
        <f t="shared" si="35"/>
        <v>, "group":</v>
      </c>
      <c r="G162" s="43" t="str">
        <f ca="1">G161</f>
        <v>"7.6"</v>
      </c>
      <c r="H162" s="43" t="str">
        <f t="shared" si="36"/>
        <v>, "subgroup": "</v>
      </c>
      <c r="I162" s="43" t="s">
        <v>397</v>
      </c>
      <c r="J162" s="43" t="str">
        <f t="shared" si="28"/>
        <v>", "subgroupOrder":</v>
      </c>
      <c r="K162" s="43">
        <v>0</v>
      </c>
      <c r="L162" s="43" t="str">
        <f t="shared" si="29"/>
        <v>, "className": "</v>
      </c>
      <c r="M162" s="29" t="str">
        <f t="shared" ref="M162:M225" si="37">IF(ISNA(VLOOKUP(O162,$X$1:$Y$4,2,FALSE)),"",VLOOKUP(O162,$X$1:$Y$4,2,FALSE))</f>
        <v>orange</v>
      </c>
      <c r="N162" s="43" t="str">
        <f t="shared" si="30"/>
        <v>", "content": "</v>
      </c>
      <c r="O162" s="49" t="s">
        <v>392</v>
      </c>
      <c r="P162" s="43" t="str">
        <f t="shared" si="31"/>
        <v>", "start": "</v>
      </c>
      <c r="Q162" s="44">
        <f ca="1">S161</f>
        <v>45077</v>
      </c>
      <c r="R162" s="43" t="str">
        <f t="shared" si="32"/>
        <v>", "end": "</v>
      </c>
      <c r="S162" s="113" t="str">
        <f ca="1">IF(INDIRECT("Dashboard!M"&amp;(ROW()/3+2))="","",INDIRECT("Dashboard!M"&amp;(ROW()/3+2)))</f>
        <v>Waiting for approval from LiteON</v>
      </c>
      <c r="T162" s="117" t="str">
        <f ca="1">IF(C164="]);",LEFT(T161,2),T161)</f>
        <v>"},</v>
      </c>
      <c r="V162" s="32" t="str">
        <f t="shared" ca="1" si="33"/>
        <v>{"id": 159, "group":"7.6", "subgroup": "actual", "subgroupOrder":0, "className": "orange", "content": "Validation", "start": "2023-05-31", "end": "Waiting for approval from LiteON"},</v>
      </c>
      <c r="W162" s="37" t="s">
        <v>2</v>
      </c>
    </row>
    <row r="163" spans="1:24">
      <c r="A163" s="36"/>
      <c r="C163" s="25"/>
      <c r="D163" s="41" t="str">
        <f t="shared" si="27"/>
        <v xml:space="preserve">{"id": </v>
      </c>
      <c r="E163" s="26">
        <f t="shared" si="34"/>
        <v>160</v>
      </c>
      <c r="F163" s="41" t="str">
        <f t="shared" si="35"/>
        <v>, "group":</v>
      </c>
      <c r="G163" s="111" t="str">
        <f ca="1">CHAR(34)&amp;INDIRECT("Dashboard!A"&amp;(ROW()-1)/3+3)&amp;CHAR(34)</f>
        <v>"8"</v>
      </c>
      <c r="H163" s="41" t="str">
        <f t="shared" si="36"/>
        <v>, "subgroup": "</v>
      </c>
      <c r="I163" s="41" t="s">
        <v>396</v>
      </c>
      <c r="J163" s="41" t="str">
        <f t="shared" si="28"/>
        <v>", "subgroupOrder":</v>
      </c>
      <c r="K163" s="41">
        <v>1</v>
      </c>
      <c r="L163" s="41" t="str">
        <f t="shared" si="29"/>
        <v>, "className": "</v>
      </c>
      <c r="M163" s="26" t="str">
        <f t="shared" si="37"/>
        <v>gray</v>
      </c>
      <c r="N163" s="41" t="str">
        <f t="shared" si="30"/>
        <v>", "content": "</v>
      </c>
      <c r="O163" s="40" t="s">
        <v>388</v>
      </c>
      <c r="P163" s="41" t="str">
        <f t="shared" si="31"/>
        <v>", "start": "</v>
      </c>
      <c r="Q163" s="42">
        <f ca="1">IF(INDIRECT("Dashboard!I"&amp;(ROW()-1)/3+3)="","",INDIRECT("Dashboard!I"&amp;(ROW()-1)/3+3))</f>
        <v>44743</v>
      </c>
      <c r="R163" s="41" t="str">
        <f t="shared" si="32"/>
        <v>", "end": "</v>
      </c>
      <c r="S163" s="42">
        <f ca="1">IF(INDIRECT("Dashboard!J"&amp;(ROW()-1)/3+3)="","",INDIRECT("Dashboard!J"&amp;(ROW()-1)/3+3))</f>
        <v>45899</v>
      </c>
      <c r="T163" s="118" t="str">
        <f ca="1">IF(C167="]);",LEFT(T162,2),T162)</f>
        <v>"},</v>
      </c>
      <c r="V163" s="32" t="str">
        <f t="shared" ca="1" si="33"/>
        <v>{"id": 160, "group":"8", "subgroup": "plan", "subgroupOrder":1, "className": "gray", "content": "Planned", "start": "2022-07-01", "end": "2025-08-30"},</v>
      </c>
      <c r="W163" s="37" t="s">
        <v>2</v>
      </c>
    </row>
    <row r="164" spans="1:24">
      <c r="A164" s="36"/>
      <c r="C164" s="31" t="str">
        <f ca="1">IF(AND(Q164="", S164=""),"//","")</f>
        <v/>
      </c>
      <c r="D164" s="37" t="str">
        <f t="shared" si="27"/>
        <v xml:space="preserve">{"id": </v>
      </c>
      <c r="E164" s="32">
        <f t="shared" si="34"/>
        <v>161</v>
      </c>
      <c r="F164" s="37" t="str">
        <f t="shared" si="35"/>
        <v>, "group":</v>
      </c>
      <c r="G164" s="37" t="str">
        <f ca="1">G163</f>
        <v>"8"</v>
      </c>
      <c r="H164" s="37" t="str">
        <f t="shared" si="36"/>
        <v>, "subgroup": "</v>
      </c>
      <c r="I164" s="37" t="s">
        <v>397</v>
      </c>
      <c r="J164" s="37" t="str">
        <f t="shared" si="28"/>
        <v>", "subgroupOrder":</v>
      </c>
      <c r="K164" s="37">
        <v>0</v>
      </c>
      <c r="L164" s="37" t="str">
        <f t="shared" si="29"/>
        <v>, "className": "</v>
      </c>
      <c r="M164" s="32" t="str">
        <f t="shared" ca="1" si="37"/>
        <v>pink-white</v>
      </c>
      <c r="N164" s="37" t="str">
        <f t="shared" si="30"/>
        <v>", "content": "</v>
      </c>
      <c r="O164" s="34" t="str">
        <f ca="1">IF(INDIRECT("Dashboard!P"&amp;((ROW()+1)/3+2))=1,"Completed",IF(INDIRECT("Dashboard!P"&amp;((ROW()+1)/3+2))="","","Pending"))</f>
        <v>Pending</v>
      </c>
      <c r="P164" s="37" t="str">
        <f t="shared" si="31"/>
        <v>", "start": "</v>
      </c>
      <c r="Q164" s="38">
        <f ca="1">IF(INDIRECT("Dashboard!K"&amp;((ROW()+1)/3+2))="","",INDIRECT("Dashboard!K"&amp;((ROW()+1)/3+2)))</f>
        <v>44743</v>
      </c>
      <c r="R164" s="37" t="str">
        <f t="shared" si="32"/>
        <v>", "end": "</v>
      </c>
      <c r="S164" s="38">
        <f ca="1">IF(INDIRECT("Dashboard!L"&amp;((ROW()+1)/3+2))="","",INDIRECT("Dashboard!L"&amp;((ROW()+1)/3+2)))</f>
        <v>45077</v>
      </c>
      <c r="T164" s="116" t="str">
        <f ca="1">IF(C167="]);",LEFT(T163,2),T163)</f>
        <v>"},</v>
      </c>
      <c r="V164" s="32" t="str">
        <f t="shared" ca="1" si="33"/>
        <v>{"id": 161, "group":"8", "subgroup": "actual", "subgroupOrder":0, "className": "pink-white", "content": "Pending", "start": "2022-07-01", "end": "2023-05-31"},</v>
      </c>
      <c r="W164" s="37" t="s">
        <v>2</v>
      </c>
      <c r="X164" s="32" t="str">
        <f ca="1">G164&amp;" : "&amp;INDIRECT("Dashboard!G"&amp;((ROW()+1)/3+2))</f>
        <v>"8" : M7. Android UI Dashboard &amp; Alerts for Energy Optimization</v>
      </c>
    </row>
    <row r="165" spans="1:24" ht="15" thickBot="1">
      <c r="A165" s="36"/>
      <c r="C165" s="28" t="str">
        <f ca="1">IF(OR(INDIRECT("Dashboard!B"&amp;(ROW()/3+2))&lt;&gt;"&gt;",AND(Q165="",S165="")),"//","")</f>
        <v>//</v>
      </c>
      <c r="D165" s="43" t="str">
        <f t="shared" si="27"/>
        <v xml:space="preserve">{"id": </v>
      </c>
      <c r="E165" s="29">
        <f t="shared" si="34"/>
        <v>162</v>
      </c>
      <c r="F165" s="43" t="str">
        <f t="shared" si="35"/>
        <v>, "group":</v>
      </c>
      <c r="G165" s="43" t="str">
        <f ca="1">G164</f>
        <v>"8"</v>
      </c>
      <c r="H165" s="43" t="str">
        <f t="shared" si="36"/>
        <v>, "subgroup": "</v>
      </c>
      <c r="I165" s="43" t="s">
        <v>397</v>
      </c>
      <c r="J165" s="43" t="str">
        <f t="shared" si="28"/>
        <v>", "subgroupOrder":</v>
      </c>
      <c r="K165" s="43">
        <v>0</v>
      </c>
      <c r="L165" s="43" t="str">
        <f t="shared" si="29"/>
        <v>, "className": "</v>
      </c>
      <c r="M165" s="29" t="str">
        <f t="shared" si="37"/>
        <v>orange</v>
      </c>
      <c r="N165" s="43" t="str">
        <f t="shared" si="30"/>
        <v>", "content": "</v>
      </c>
      <c r="O165" s="49" t="s">
        <v>392</v>
      </c>
      <c r="P165" s="43" t="str">
        <f t="shared" si="31"/>
        <v>", "start": "</v>
      </c>
      <c r="Q165" s="44">
        <f ca="1">S164</f>
        <v>45077</v>
      </c>
      <c r="R165" s="43" t="str">
        <f t="shared" si="32"/>
        <v>", "end": "</v>
      </c>
      <c r="S165" s="113">
        <f ca="1">IF(INDIRECT("Dashboard!M"&amp;(ROW()/3+2))="","",INDIRECT("Dashboard!M"&amp;(ROW()/3+2)))</f>
        <v>45096</v>
      </c>
      <c r="T165" s="117" t="str">
        <f ca="1">IF(C167="]);",LEFT(T164,2),T164)</f>
        <v>"},</v>
      </c>
      <c r="V165" s="32" t="str">
        <f t="shared" ca="1" si="33"/>
        <v/>
      </c>
      <c r="W165" s="37" t="s">
        <v>2</v>
      </c>
    </row>
    <row r="166" spans="1:24">
      <c r="A166" s="36"/>
      <c r="C166" s="25"/>
      <c r="D166" s="41" t="str">
        <f t="shared" si="27"/>
        <v xml:space="preserve">{"id": </v>
      </c>
      <c r="E166" s="26">
        <f t="shared" si="34"/>
        <v>163</v>
      </c>
      <c r="F166" s="41" t="str">
        <f t="shared" si="35"/>
        <v>, "group":</v>
      </c>
      <c r="G166" s="111" t="str">
        <f ca="1">CHAR(34)&amp;INDIRECT("Dashboard!A"&amp;(ROW()-1)/3+3)&amp;CHAR(34)</f>
        <v>"8.1"</v>
      </c>
      <c r="H166" s="41" t="str">
        <f t="shared" si="36"/>
        <v>, "subgroup": "</v>
      </c>
      <c r="I166" s="41" t="s">
        <v>396</v>
      </c>
      <c r="J166" s="41" t="str">
        <f t="shared" si="28"/>
        <v>", "subgroupOrder":</v>
      </c>
      <c r="K166" s="41">
        <v>1</v>
      </c>
      <c r="L166" s="41" t="str">
        <f t="shared" si="29"/>
        <v>, "className": "</v>
      </c>
      <c r="M166" s="26" t="str">
        <f t="shared" si="37"/>
        <v>gray</v>
      </c>
      <c r="N166" s="41" t="str">
        <f t="shared" si="30"/>
        <v>", "content": "</v>
      </c>
      <c r="O166" s="40" t="s">
        <v>388</v>
      </c>
      <c r="P166" s="41" t="str">
        <f t="shared" si="31"/>
        <v>", "start": "</v>
      </c>
      <c r="Q166" s="42" t="str">
        <f ca="1">IF(INDIRECT("Dashboard!I"&amp;(ROW()-1)/3+3)="","",INDIRECT("Dashboard!I"&amp;(ROW()-1)/3+3))</f>
        <v/>
      </c>
      <c r="R166" s="41" t="str">
        <f t="shared" si="32"/>
        <v>", "end": "</v>
      </c>
      <c r="S166" s="42" t="str">
        <f ca="1">IF(INDIRECT("Dashboard!J"&amp;(ROW()-1)/3+3)="","",INDIRECT("Dashboard!J"&amp;(ROW()-1)/3+3))</f>
        <v/>
      </c>
      <c r="T166" s="118" t="str">
        <f ca="1">IF(C170="]);",LEFT(T165,2),T165)</f>
        <v>"},</v>
      </c>
      <c r="V166" s="32" t="str">
        <f t="shared" ca="1" si="33"/>
        <v>{"id": 163, "group":"8.1", "subgroup": "plan", "subgroupOrder":1, "className": "gray", "content": "Planned", "start": "", "end": ""},</v>
      </c>
      <c r="W166" s="37" t="s">
        <v>2</v>
      </c>
    </row>
    <row r="167" spans="1:24">
      <c r="A167" s="36"/>
      <c r="C167" s="31" t="str">
        <f ca="1">IF(AND(Q167="", S167=""),"//","")</f>
        <v>//</v>
      </c>
      <c r="D167" s="37" t="str">
        <f t="shared" si="27"/>
        <v xml:space="preserve">{"id": </v>
      </c>
      <c r="E167" s="32">
        <f t="shared" si="34"/>
        <v>164</v>
      </c>
      <c r="F167" s="37" t="str">
        <f t="shared" si="35"/>
        <v>, "group":</v>
      </c>
      <c r="G167" s="37" t="str">
        <f ca="1">G166</f>
        <v>"8.1"</v>
      </c>
      <c r="H167" s="37" t="str">
        <f t="shared" si="36"/>
        <v>, "subgroup": "</v>
      </c>
      <c r="I167" s="37" t="s">
        <v>397</v>
      </c>
      <c r="J167" s="37" t="str">
        <f t="shared" si="28"/>
        <v>", "subgroupOrder":</v>
      </c>
      <c r="K167" s="37">
        <v>0</v>
      </c>
      <c r="L167" s="37" t="str">
        <f t="shared" si="29"/>
        <v>, "className": "</v>
      </c>
      <c r="M167" s="32" t="str">
        <f t="shared" ca="1" si="37"/>
        <v/>
      </c>
      <c r="N167" s="37" t="str">
        <f t="shared" si="30"/>
        <v>", "content": "</v>
      </c>
      <c r="O167" s="34" t="str">
        <f ca="1">IF(INDIRECT("Dashboard!P"&amp;((ROW()+1)/3+2))=1,"Completed",IF(INDIRECT("Dashboard!P"&amp;((ROW()+1)/3+2))="","","Pending"))</f>
        <v/>
      </c>
      <c r="P167" s="37" t="str">
        <f t="shared" si="31"/>
        <v>", "start": "</v>
      </c>
      <c r="Q167" s="38" t="str">
        <f ca="1">IF(INDIRECT("Dashboard!K"&amp;((ROW()+1)/3+2))="","",INDIRECT("Dashboard!K"&amp;((ROW()+1)/3+2)))</f>
        <v/>
      </c>
      <c r="R167" s="37" t="str">
        <f t="shared" si="32"/>
        <v>", "end": "</v>
      </c>
      <c r="S167" s="38" t="str">
        <f ca="1">IF(INDIRECT("Dashboard!L"&amp;((ROW()+1)/3+2))="","",INDIRECT("Dashboard!L"&amp;((ROW()+1)/3+2)))</f>
        <v/>
      </c>
      <c r="T167" s="116" t="str">
        <f ca="1">IF(C170="]);",LEFT(T166,2),T166)</f>
        <v>"},</v>
      </c>
      <c r="V167" s="32" t="str">
        <f t="shared" ca="1" si="33"/>
        <v/>
      </c>
      <c r="W167" s="37" t="s">
        <v>2</v>
      </c>
      <c r="X167" s="32" t="str">
        <f ca="1">G167&amp;" : "&amp;INDIRECT("Dashboard!G"&amp;((ROW()+1)/3+2))</f>
        <v>"8.1" : Note : First Version for above use cases</v>
      </c>
    </row>
    <row r="168" spans="1:24" ht="15" thickBot="1">
      <c r="A168" s="36"/>
      <c r="C168" s="28" t="str">
        <f ca="1">IF(OR(INDIRECT("Dashboard!B"&amp;(ROW()/3+2))&lt;&gt;"&gt;",AND(Q168="",S168="")),"//","")</f>
        <v>//</v>
      </c>
      <c r="D168" s="43" t="str">
        <f t="shared" si="27"/>
        <v xml:space="preserve">{"id": </v>
      </c>
      <c r="E168" s="29">
        <f t="shared" si="34"/>
        <v>165</v>
      </c>
      <c r="F168" s="43" t="str">
        <f t="shared" si="35"/>
        <v>, "group":</v>
      </c>
      <c r="G168" s="43" t="str">
        <f ca="1">G167</f>
        <v>"8.1"</v>
      </c>
      <c r="H168" s="43" t="str">
        <f t="shared" si="36"/>
        <v>, "subgroup": "</v>
      </c>
      <c r="I168" s="43" t="s">
        <v>397</v>
      </c>
      <c r="J168" s="43" t="str">
        <f t="shared" si="28"/>
        <v>", "subgroupOrder":</v>
      </c>
      <c r="K168" s="43">
        <v>0</v>
      </c>
      <c r="L168" s="43" t="str">
        <f t="shared" si="29"/>
        <v>, "className": "</v>
      </c>
      <c r="M168" s="29" t="str">
        <f t="shared" si="37"/>
        <v>orange</v>
      </c>
      <c r="N168" s="43" t="str">
        <f t="shared" si="30"/>
        <v>", "content": "</v>
      </c>
      <c r="O168" s="49" t="s">
        <v>392</v>
      </c>
      <c r="P168" s="43" t="str">
        <f t="shared" si="31"/>
        <v>", "start": "</v>
      </c>
      <c r="Q168" s="44" t="str">
        <f ca="1">S167</f>
        <v/>
      </c>
      <c r="R168" s="43" t="str">
        <f t="shared" si="32"/>
        <v>", "end": "</v>
      </c>
      <c r="S168" s="113" t="str">
        <f ca="1">IF(INDIRECT("Dashboard!M"&amp;(ROW()/3+2))="","",INDIRECT("Dashboard!M"&amp;(ROW()/3+2)))</f>
        <v/>
      </c>
      <c r="T168" s="117" t="str">
        <f ca="1">IF(C170="]);",LEFT(T167,2),T167)</f>
        <v>"},</v>
      </c>
      <c r="V168" s="32" t="str">
        <f t="shared" ca="1" si="33"/>
        <v/>
      </c>
      <c r="W168" s="37" t="s">
        <v>2</v>
      </c>
    </row>
    <row r="169" spans="1:24">
      <c r="A169" s="36"/>
      <c r="C169" s="25"/>
      <c r="D169" s="41" t="str">
        <f t="shared" si="27"/>
        <v xml:space="preserve">{"id": </v>
      </c>
      <c r="E169" s="26">
        <f t="shared" si="34"/>
        <v>166</v>
      </c>
      <c r="F169" s="41" t="str">
        <f t="shared" si="35"/>
        <v>, "group":</v>
      </c>
      <c r="G169" s="111" t="str">
        <f ca="1">CHAR(34)&amp;INDIRECT("Dashboard!A"&amp;(ROW()-1)/3+3)&amp;CHAR(34)</f>
        <v>"8.2"</v>
      </c>
      <c r="H169" s="41" t="str">
        <f t="shared" si="36"/>
        <v>, "subgroup": "</v>
      </c>
      <c r="I169" s="41" t="s">
        <v>396</v>
      </c>
      <c r="J169" s="41" t="str">
        <f t="shared" si="28"/>
        <v>", "subgroupOrder":</v>
      </c>
      <c r="K169" s="41">
        <v>1</v>
      </c>
      <c r="L169" s="41" t="str">
        <f t="shared" si="29"/>
        <v>, "className": "</v>
      </c>
      <c r="M169" s="26" t="str">
        <f t="shared" si="37"/>
        <v>gray</v>
      </c>
      <c r="N169" s="41" t="str">
        <f t="shared" si="30"/>
        <v>", "content": "</v>
      </c>
      <c r="O169" s="40" t="s">
        <v>388</v>
      </c>
      <c r="P169" s="41" t="str">
        <f t="shared" si="31"/>
        <v>", "start": "</v>
      </c>
      <c r="Q169" s="42">
        <f ca="1">IF(INDIRECT("Dashboard!I"&amp;(ROW()-1)/3+3)="","",INDIRECT("Dashboard!I"&amp;(ROW()-1)/3+3))</f>
        <v>44743</v>
      </c>
      <c r="R169" s="41" t="str">
        <f t="shared" si="32"/>
        <v>", "end": "</v>
      </c>
      <c r="S169" s="42">
        <f ca="1">IF(INDIRECT("Dashboard!J"&amp;(ROW()-1)/3+3)="","",INDIRECT("Dashboard!J"&amp;(ROW()-1)/3+3))</f>
        <v>45899</v>
      </c>
      <c r="T169" s="118" t="str">
        <f ca="1">IF(C173="]);",LEFT(T168,2),T168)</f>
        <v>"},</v>
      </c>
      <c r="V169" s="32" t="str">
        <f t="shared" ca="1" si="33"/>
        <v>{"id": 166, "group":"8.2", "subgroup": "plan", "subgroupOrder":1, "className": "gray", "content": "Planned", "start": "2022-07-01", "end": "2025-08-30"},</v>
      </c>
      <c r="W169" s="37" t="s">
        <v>2</v>
      </c>
    </row>
    <row r="170" spans="1:24">
      <c r="A170" s="36"/>
      <c r="C170" s="31" t="str">
        <f ca="1">IF(AND(Q170="", S170=""),"//","")</f>
        <v/>
      </c>
      <c r="D170" s="37" t="str">
        <f t="shared" si="27"/>
        <v xml:space="preserve">{"id": </v>
      </c>
      <c r="E170" s="32">
        <f t="shared" si="34"/>
        <v>167</v>
      </c>
      <c r="F170" s="37" t="str">
        <f t="shared" si="35"/>
        <v>, "group":</v>
      </c>
      <c r="G170" s="37" t="str">
        <f ca="1">G169</f>
        <v>"8.2"</v>
      </c>
      <c r="H170" s="37" t="str">
        <f t="shared" si="36"/>
        <v>, "subgroup": "</v>
      </c>
      <c r="I170" s="37" t="s">
        <v>397</v>
      </c>
      <c r="J170" s="37" t="str">
        <f t="shared" si="28"/>
        <v>", "subgroupOrder":</v>
      </c>
      <c r="K170" s="37">
        <v>0</v>
      </c>
      <c r="L170" s="37" t="str">
        <f t="shared" si="29"/>
        <v>, "className": "</v>
      </c>
      <c r="M170" s="32" t="str">
        <f t="shared" ca="1" si="37"/>
        <v>pink-white</v>
      </c>
      <c r="N170" s="37" t="str">
        <f t="shared" si="30"/>
        <v>", "content": "</v>
      </c>
      <c r="O170" s="34" t="str">
        <f ca="1">IF(INDIRECT("Dashboard!P"&amp;((ROW()+1)/3+2))=1,"Completed",IF(INDIRECT("Dashboard!P"&amp;((ROW()+1)/3+2))="","","Pending"))</f>
        <v>Pending</v>
      </c>
      <c r="P170" s="37" t="str">
        <f t="shared" si="31"/>
        <v>", "start": "</v>
      </c>
      <c r="Q170" s="38">
        <f ca="1">IF(INDIRECT("Dashboard!K"&amp;((ROW()+1)/3+2))="","",INDIRECT("Dashboard!K"&amp;((ROW()+1)/3+2)))</f>
        <v>44743</v>
      </c>
      <c r="R170" s="37" t="str">
        <f t="shared" si="32"/>
        <v>", "end": "</v>
      </c>
      <c r="S170" s="38">
        <f ca="1">IF(INDIRECT("Dashboard!L"&amp;((ROW()+1)/3+2))="","",INDIRECT("Dashboard!L"&amp;((ROW()+1)/3+2)))</f>
        <v>45077</v>
      </c>
      <c r="T170" s="116" t="str">
        <f ca="1">IF(C173="]);",LEFT(T169,2),T169)</f>
        <v>"},</v>
      </c>
      <c r="V170" s="32" t="str">
        <f t="shared" ca="1" si="33"/>
        <v>{"id": 167, "group":"8.2", "subgroup": "actual", "subgroupOrder":0, "className": "pink-white", "content": "Pending", "start": "2022-07-01", "end": "2023-05-31"},</v>
      </c>
      <c r="W170" s="37" t="s">
        <v>2</v>
      </c>
      <c r="X170" s="32" t="str">
        <f ca="1">G170&amp;" : "&amp;INDIRECT("Dashboard!G"&amp;((ROW()+1)/3+2))</f>
        <v>"8.2" : Technical design document explaining the data schema and algorithm</v>
      </c>
    </row>
    <row r="171" spans="1:24" ht="15" thickBot="1">
      <c r="A171" s="36"/>
      <c r="C171" s="28" t="str">
        <f ca="1">IF(OR(INDIRECT("Dashboard!B"&amp;(ROW()/3+2))&lt;&gt;"&gt;",AND(Q171="",S171="")),"//","")</f>
        <v/>
      </c>
      <c r="D171" s="43" t="str">
        <f t="shared" si="27"/>
        <v xml:space="preserve">{"id": </v>
      </c>
      <c r="E171" s="29">
        <f t="shared" si="34"/>
        <v>168</v>
      </c>
      <c r="F171" s="43" t="str">
        <f t="shared" si="35"/>
        <v>, "group":</v>
      </c>
      <c r="G171" s="43" t="str">
        <f ca="1">G170</f>
        <v>"8.2"</v>
      </c>
      <c r="H171" s="43" t="str">
        <f t="shared" si="36"/>
        <v>, "subgroup": "</v>
      </c>
      <c r="I171" s="43" t="s">
        <v>397</v>
      </c>
      <c r="J171" s="43" t="str">
        <f t="shared" si="28"/>
        <v>", "subgroupOrder":</v>
      </c>
      <c r="K171" s="43">
        <v>0</v>
      </c>
      <c r="L171" s="43" t="str">
        <f t="shared" si="29"/>
        <v>, "className": "</v>
      </c>
      <c r="M171" s="29" t="str">
        <f t="shared" si="37"/>
        <v>orange</v>
      </c>
      <c r="N171" s="43" t="str">
        <f t="shared" si="30"/>
        <v>", "content": "</v>
      </c>
      <c r="O171" s="49" t="s">
        <v>392</v>
      </c>
      <c r="P171" s="43" t="str">
        <f t="shared" si="31"/>
        <v>", "start": "</v>
      </c>
      <c r="Q171" s="44">
        <f ca="1">S170</f>
        <v>45077</v>
      </c>
      <c r="R171" s="43" t="str">
        <f t="shared" si="32"/>
        <v>", "end": "</v>
      </c>
      <c r="S171" s="113" t="str">
        <f ca="1">IF(INDIRECT("Dashboard!M"&amp;(ROW()/3+2))="","",INDIRECT("Dashboard!M"&amp;(ROW()/3+2)))</f>
        <v>Waiting for approval from LiteON</v>
      </c>
      <c r="T171" s="117" t="str">
        <f ca="1">IF(C173="]);",LEFT(T170,2),T170)</f>
        <v>"},</v>
      </c>
      <c r="V171" s="32" t="str">
        <f t="shared" ca="1" si="33"/>
        <v>{"id": 168, "group":"8.2", "subgroup": "actual", "subgroupOrder":0, "className": "orange", "content": "Validation", "start": "2023-05-31", "end": "Waiting for approval from LiteON"},</v>
      </c>
      <c r="W171" s="37" t="s">
        <v>2</v>
      </c>
    </row>
    <row r="172" spans="1:24">
      <c r="A172" s="36"/>
      <c r="C172" s="25"/>
      <c r="D172" s="41" t="str">
        <f t="shared" si="27"/>
        <v xml:space="preserve">{"id": </v>
      </c>
      <c r="E172" s="26">
        <f t="shared" si="34"/>
        <v>169</v>
      </c>
      <c r="F172" s="41" t="str">
        <f t="shared" si="35"/>
        <v>, "group":</v>
      </c>
      <c r="G172" s="111" t="str">
        <f ca="1">CHAR(34)&amp;INDIRECT("Dashboard!A"&amp;(ROW()-1)/3+3)&amp;CHAR(34)</f>
        <v>"8.3"</v>
      </c>
      <c r="H172" s="41" t="str">
        <f t="shared" si="36"/>
        <v>, "subgroup": "</v>
      </c>
      <c r="I172" s="41" t="s">
        <v>396</v>
      </c>
      <c r="J172" s="41" t="str">
        <f t="shared" si="28"/>
        <v>", "subgroupOrder":</v>
      </c>
      <c r="K172" s="41">
        <v>1</v>
      </c>
      <c r="L172" s="41" t="str">
        <f t="shared" si="29"/>
        <v>, "className": "</v>
      </c>
      <c r="M172" s="26" t="str">
        <f t="shared" si="37"/>
        <v>gray</v>
      </c>
      <c r="N172" s="41" t="str">
        <f t="shared" si="30"/>
        <v>", "content": "</v>
      </c>
      <c r="O172" s="40" t="s">
        <v>388</v>
      </c>
      <c r="P172" s="41" t="str">
        <f t="shared" si="31"/>
        <v>", "start": "</v>
      </c>
      <c r="Q172" s="42">
        <f ca="1">IF(INDIRECT("Dashboard!I"&amp;(ROW()-1)/3+3)="","",INDIRECT("Dashboard!I"&amp;(ROW()-1)/3+3))</f>
        <v>44743</v>
      </c>
      <c r="R172" s="41" t="str">
        <f t="shared" si="32"/>
        <v>", "end": "</v>
      </c>
      <c r="S172" s="42">
        <f ca="1">IF(INDIRECT("Dashboard!J"&amp;(ROW()-1)/3+3)="","",INDIRECT("Dashboard!J"&amp;(ROW()-1)/3+3))</f>
        <v>45899</v>
      </c>
      <c r="T172" s="118" t="str">
        <f ca="1">IF(C176="]);",LEFT(T171,2),T171)</f>
        <v>"},</v>
      </c>
      <c r="V172" s="32" t="str">
        <f t="shared" ca="1" si="33"/>
        <v>{"id": 169, "group":"8.3", "subgroup": "plan", "subgroupOrder":1, "className": "gray", "content": "Planned", "start": "2022-07-01", "end": "2025-08-30"},</v>
      </c>
      <c r="W172" s="37" t="s">
        <v>2</v>
      </c>
    </row>
    <row r="173" spans="1:24">
      <c r="A173" s="36"/>
      <c r="C173" s="31" t="str">
        <f ca="1">IF(AND(Q173="", S173=""),"//","")</f>
        <v/>
      </c>
      <c r="D173" s="37" t="str">
        <f t="shared" si="27"/>
        <v xml:space="preserve">{"id": </v>
      </c>
      <c r="E173" s="32">
        <f t="shared" si="34"/>
        <v>170</v>
      </c>
      <c r="F173" s="37" t="str">
        <f t="shared" si="35"/>
        <v>, "group":</v>
      </c>
      <c r="G173" s="37" t="str">
        <f ca="1">G172</f>
        <v>"8.3"</v>
      </c>
      <c r="H173" s="37" t="str">
        <f t="shared" si="36"/>
        <v>, "subgroup": "</v>
      </c>
      <c r="I173" s="37" t="s">
        <v>397</v>
      </c>
      <c r="J173" s="37" t="str">
        <f t="shared" si="28"/>
        <v>", "subgroupOrder":</v>
      </c>
      <c r="K173" s="37">
        <v>0</v>
      </c>
      <c r="L173" s="37" t="str">
        <f t="shared" si="29"/>
        <v>, "className": "</v>
      </c>
      <c r="M173" s="32" t="str">
        <f t="shared" ca="1" si="37"/>
        <v>pink-white</v>
      </c>
      <c r="N173" s="37" t="str">
        <f t="shared" si="30"/>
        <v>", "content": "</v>
      </c>
      <c r="O173" s="34" t="str">
        <f ca="1">IF(INDIRECT("Dashboard!P"&amp;((ROW()+1)/3+2))=1,"Completed",IF(INDIRECT("Dashboard!P"&amp;((ROW()+1)/3+2))="","","Pending"))</f>
        <v>Pending</v>
      </c>
      <c r="P173" s="37" t="str">
        <f t="shared" si="31"/>
        <v>", "start": "</v>
      </c>
      <c r="Q173" s="38">
        <f ca="1">IF(INDIRECT("Dashboard!K"&amp;((ROW()+1)/3+2))="","",INDIRECT("Dashboard!K"&amp;((ROW()+1)/3+2)))</f>
        <v>44743</v>
      </c>
      <c r="R173" s="37" t="str">
        <f t="shared" si="32"/>
        <v>", "end": "</v>
      </c>
      <c r="S173" s="38">
        <f ca="1">IF(INDIRECT("Dashboard!L"&amp;((ROW()+1)/3+2))="","",INDIRECT("Dashboard!L"&amp;((ROW()+1)/3+2)))</f>
        <v>45077</v>
      </c>
      <c r="T173" s="116" t="str">
        <f ca="1">IF(C176="]);",LEFT(T172,2),T172)</f>
        <v>"},</v>
      </c>
      <c r="V173" s="32" t="str">
        <f t="shared" ca="1" si="33"/>
        <v>{"id": 170, "group":"8.3", "subgroup": "actual", "subgroupOrder":0, "className": "pink-white", "content": "Pending", "start": "2022-07-01", "end": "2023-05-31"},</v>
      </c>
      <c r="W173" s="37" t="s">
        <v>2</v>
      </c>
      <c r="X173" s="32" t="str">
        <f ca="1">G173&amp;" : "&amp;INDIRECT("Dashboard!G"&amp;((ROW()+1)/3+2))</f>
        <v>"8.3" : Software Code</v>
      </c>
    </row>
    <row r="174" spans="1:24" ht="15" thickBot="1">
      <c r="A174" s="36"/>
      <c r="C174" s="28" t="str">
        <f ca="1">IF(OR(INDIRECT("Dashboard!B"&amp;(ROW()/3+2))&lt;&gt;"&gt;",AND(Q174="",S174="")),"//","")</f>
        <v/>
      </c>
      <c r="D174" s="43" t="str">
        <f t="shared" si="27"/>
        <v xml:space="preserve">{"id": </v>
      </c>
      <c r="E174" s="29">
        <f t="shared" si="34"/>
        <v>171</v>
      </c>
      <c r="F174" s="43" t="str">
        <f t="shared" si="35"/>
        <v>, "group":</v>
      </c>
      <c r="G174" s="43" t="str">
        <f ca="1">G173</f>
        <v>"8.3"</v>
      </c>
      <c r="H174" s="43" t="str">
        <f t="shared" si="36"/>
        <v>, "subgroup": "</v>
      </c>
      <c r="I174" s="43" t="s">
        <v>397</v>
      </c>
      <c r="J174" s="43" t="str">
        <f t="shared" si="28"/>
        <v>", "subgroupOrder":</v>
      </c>
      <c r="K174" s="43">
        <v>0</v>
      </c>
      <c r="L174" s="43" t="str">
        <f t="shared" si="29"/>
        <v>, "className": "</v>
      </c>
      <c r="M174" s="29" t="str">
        <f t="shared" si="37"/>
        <v>orange</v>
      </c>
      <c r="N174" s="43" t="str">
        <f t="shared" si="30"/>
        <v>", "content": "</v>
      </c>
      <c r="O174" s="49" t="s">
        <v>392</v>
      </c>
      <c r="P174" s="43" t="str">
        <f t="shared" si="31"/>
        <v>", "start": "</v>
      </c>
      <c r="Q174" s="44">
        <f ca="1">S173</f>
        <v>45077</v>
      </c>
      <c r="R174" s="43" t="str">
        <f t="shared" si="32"/>
        <v>", "end": "</v>
      </c>
      <c r="S174" s="113" t="str">
        <f ca="1">IF(INDIRECT("Dashboard!M"&amp;(ROW()/3+2))="","",INDIRECT("Dashboard!M"&amp;(ROW()/3+2)))</f>
        <v>Waiting for approval from LiteON</v>
      </c>
      <c r="T174" s="117" t="str">
        <f ca="1">IF(C176="]);",LEFT(T173,2),T173)</f>
        <v>"},</v>
      </c>
      <c r="V174" s="32" t="str">
        <f t="shared" ca="1" si="33"/>
        <v>{"id": 171, "group":"8.3", "subgroup": "actual", "subgroupOrder":0, "className": "orange", "content": "Validation", "start": "2023-05-31", "end": "Waiting for approval from LiteON"},</v>
      </c>
      <c r="W174" s="37" t="s">
        <v>2</v>
      </c>
    </row>
    <row r="175" spans="1:24">
      <c r="A175" s="36"/>
      <c r="C175" s="25"/>
      <c r="D175" s="41" t="str">
        <f t="shared" si="27"/>
        <v xml:space="preserve">{"id": </v>
      </c>
      <c r="E175" s="26">
        <f t="shared" si="34"/>
        <v>172</v>
      </c>
      <c r="F175" s="41" t="str">
        <f t="shared" si="35"/>
        <v>, "group":</v>
      </c>
      <c r="G175" s="111" t="str">
        <f ca="1">CHAR(34)&amp;INDIRECT("Dashboard!A"&amp;(ROW()-1)/3+3)&amp;CHAR(34)</f>
        <v>"8.4"</v>
      </c>
      <c r="H175" s="41" t="str">
        <f t="shared" si="36"/>
        <v>, "subgroup": "</v>
      </c>
      <c r="I175" s="41" t="s">
        <v>396</v>
      </c>
      <c r="J175" s="41" t="str">
        <f t="shared" si="28"/>
        <v>", "subgroupOrder":</v>
      </c>
      <c r="K175" s="41">
        <v>1</v>
      </c>
      <c r="L175" s="41" t="str">
        <f t="shared" si="29"/>
        <v>, "className": "</v>
      </c>
      <c r="M175" s="26" t="str">
        <f t="shared" si="37"/>
        <v>gray</v>
      </c>
      <c r="N175" s="41" t="str">
        <f t="shared" si="30"/>
        <v>", "content": "</v>
      </c>
      <c r="O175" s="40" t="s">
        <v>388</v>
      </c>
      <c r="P175" s="41" t="str">
        <f t="shared" si="31"/>
        <v>", "start": "</v>
      </c>
      <c r="Q175" s="42">
        <f ca="1">IF(INDIRECT("Dashboard!I"&amp;(ROW()-1)/3+3)="","",INDIRECT("Dashboard!I"&amp;(ROW()-1)/3+3))</f>
        <v>44743</v>
      </c>
      <c r="R175" s="41" t="str">
        <f t="shared" si="32"/>
        <v>", "end": "</v>
      </c>
      <c r="S175" s="42">
        <f ca="1">IF(INDIRECT("Dashboard!J"&amp;(ROW()-1)/3+3)="","",INDIRECT("Dashboard!J"&amp;(ROW()-1)/3+3))</f>
        <v>45899</v>
      </c>
      <c r="T175" s="118" t="str">
        <f ca="1">IF(C179="]);",LEFT(T174,2),T174)</f>
        <v>"},</v>
      </c>
      <c r="V175" s="32" t="str">
        <f t="shared" ca="1" si="33"/>
        <v>{"id": 172, "group":"8.4", "subgroup": "plan", "subgroupOrder":1, "className": "gray", "content": "Planned", "start": "2022-07-01", "end": "2025-08-30"},</v>
      </c>
      <c r="W175" s="37" t="s">
        <v>2</v>
      </c>
    </row>
    <row r="176" spans="1:24">
      <c r="A176" s="36"/>
      <c r="C176" s="31" t="str">
        <f ca="1">IF(AND(Q176="", S176=""),"//","")</f>
        <v/>
      </c>
      <c r="D176" s="37" t="str">
        <f t="shared" si="27"/>
        <v xml:space="preserve">{"id": </v>
      </c>
      <c r="E176" s="32">
        <f t="shared" si="34"/>
        <v>173</v>
      </c>
      <c r="F176" s="37" t="str">
        <f t="shared" si="35"/>
        <v>, "group":</v>
      </c>
      <c r="G176" s="37" t="str">
        <f ca="1">G175</f>
        <v>"8.4"</v>
      </c>
      <c r="H176" s="37" t="str">
        <f t="shared" si="36"/>
        <v>, "subgroup": "</v>
      </c>
      <c r="I176" s="37" t="s">
        <v>397</v>
      </c>
      <c r="J176" s="37" t="str">
        <f t="shared" si="28"/>
        <v>", "subgroupOrder":</v>
      </c>
      <c r="K176" s="37">
        <v>0</v>
      </c>
      <c r="L176" s="37" t="str">
        <f t="shared" si="29"/>
        <v>, "className": "</v>
      </c>
      <c r="M176" s="32" t="str">
        <f t="shared" ca="1" si="37"/>
        <v>pink-white</v>
      </c>
      <c r="N176" s="37" t="str">
        <f t="shared" si="30"/>
        <v>", "content": "</v>
      </c>
      <c r="O176" s="34" t="str">
        <f ca="1">IF(INDIRECT("Dashboard!P"&amp;((ROW()+1)/3+2))=1,"Completed",IF(INDIRECT("Dashboard!P"&amp;((ROW()+1)/3+2))="","","Pending"))</f>
        <v>Pending</v>
      </c>
      <c r="P176" s="37" t="str">
        <f t="shared" si="31"/>
        <v>", "start": "</v>
      </c>
      <c r="Q176" s="38">
        <f ca="1">IF(INDIRECT("Dashboard!K"&amp;((ROW()+1)/3+2))="","",INDIRECT("Dashboard!K"&amp;((ROW()+1)/3+2)))</f>
        <v>44743</v>
      </c>
      <c r="R176" s="37" t="str">
        <f t="shared" si="32"/>
        <v>", "end": "</v>
      </c>
      <c r="S176" s="38">
        <f ca="1">IF(INDIRECT("Dashboard!L"&amp;((ROW()+1)/3+2))="","",INDIRECT("Dashboard!L"&amp;((ROW()+1)/3+2)))</f>
        <v>45077</v>
      </c>
      <c r="T176" s="116" t="str">
        <f ca="1">IF(C179="]);",LEFT(T175,2),T175)</f>
        <v>"},</v>
      </c>
      <c r="V176" s="32" t="str">
        <f t="shared" ca="1" si="33"/>
        <v>{"id": 173, "group":"8.4", "subgroup": "actual", "subgroupOrder":0, "className": "pink-white", "content": "Pending", "start": "2022-07-01", "end": "2023-05-31"},</v>
      </c>
      <c r="W176" s="37" t="s">
        <v>2</v>
      </c>
      <c r="X176" s="32" t="str">
        <f ca="1">G176&amp;" : "&amp;INDIRECT("Dashboard!G"&amp;((ROW()+1)/3+2))</f>
        <v>"8.4" : Deployment Procedure of the code</v>
      </c>
    </row>
    <row r="177" spans="1:24" ht="15" thickBot="1">
      <c r="A177" s="36"/>
      <c r="C177" s="28" t="str">
        <f ca="1">IF(OR(INDIRECT("Dashboard!B"&amp;(ROW()/3+2))&lt;&gt;"&gt;",AND(Q177="",S177="")),"//","")</f>
        <v/>
      </c>
      <c r="D177" s="43" t="str">
        <f t="shared" si="27"/>
        <v xml:space="preserve">{"id": </v>
      </c>
      <c r="E177" s="29">
        <f t="shared" si="34"/>
        <v>174</v>
      </c>
      <c r="F177" s="43" t="str">
        <f t="shared" si="35"/>
        <v>, "group":</v>
      </c>
      <c r="G177" s="43" t="str">
        <f ca="1">G176</f>
        <v>"8.4"</v>
      </c>
      <c r="H177" s="43" t="str">
        <f t="shared" si="36"/>
        <v>, "subgroup": "</v>
      </c>
      <c r="I177" s="43" t="s">
        <v>397</v>
      </c>
      <c r="J177" s="43" t="str">
        <f t="shared" si="28"/>
        <v>", "subgroupOrder":</v>
      </c>
      <c r="K177" s="43">
        <v>0</v>
      </c>
      <c r="L177" s="43" t="str">
        <f t="shared" si="29"/>
        <v>, "className": "</v>
      </c>
      <c r="M177" s="29" t="str">
        <f t="shared" si="37"/>
        <v>orange</v>
      </c>
      <c r="N177" s="43" t="str">
        <f t="shared" si="30"/>
        <v>", "content": "</v>
      </c>
      <c r="O177" s="49" t="s">
        <v>392</v>
      </c>
      <c r="P177" s="43" t="str">
        <f t="shared" si="31"/>
        <v>", "start": "</v>
      </c>
      <c r="Q177" s="44">
        <f ca="1">S176</f>
        <v>45077</v>
      </c>
      <c r="R177" s="43" t="str">
        <f t="shared" si="32"/>
        <v>", "end": "</v>
      </c>
      <c r="S177" s="113" t="str">
        <f ca="1">IF(INDIRECT("Dashboard!M"&amp;(ROW()/3+2))="","",INDIRECT("Dashboard!M"&amp;(ROW()/3+2)))</f>
        <v>Waiting for approval from LiteON</v>
      </c>
      <c r="T177" s="117" t="str">
        <f ca="1">IF(C179="]);",LEFT(T176,2),T176)</f>
        <v>"},</v>
      </c>
      <c r="V177" s="32" t="str">
        <f t="shared" ca="1" si="33"/>
        <v>{"id": 174, "group":"8.4", "subgroup": "actual", "subgroupOrder":0, "className": "orange", "content": "Validation", "start": "2023-05-31", "end": "Waiting for approval from LiteON"},</v>
      </c>
      <c r="W177" s="37" t="s">
        <v>2</v>
      </c>
    </row>
    <row r="178" spans="1:24">
      <c r="A178" s="36"/>
      <c r="C178" s="25"/>
      <c r="D178" s="41" t="str">
        <f t="shared" si="27"/>
        <v xml:space="preserve">{"id": </v>
      </c>
      <c r="E178" s="26">
        <f t="shared" si="34"/>
        <v>175</v>
      </c>
      <c r="F178" s="41" t="str">
        <f t="shared" si="35"/>
        <v>, "group":</v>
      </c>
      <c r="G178" s="111" t="str">
        <f ca="1">CHAR(34)&amp;INDIRECT("Dashboard!A"&amp;(ROW()-1)/3+3)&amp;CHAR(34)</f>
        <v>"8.5"</v>
      </c>
      <c r="H178" s="41" t="str">
        <f t="shared" si="36"/>
        <v>, "subgroup": "</v>
      </c>
      <c r="I178" s="41" t="s">
        <v>396</v>
      </c>
      <c r="J178" s="41" t="str">
        <f t="shared" si="28"/>
        <v>", "subgroupOrder":</v>
      </c>
      <c r="K178" s="41">
        <v>1</v>
      </c>
      <c r="L178" s="41" t="str">
        <f t="shared" si="29"/>
        <v>, "className": "</v>
      </c>
      <c r="M178" s="26" t="str">
        <f t="shared" si="37"/>
        <v>gray</v>
      </c>
      <c r="N178" s="41" t="str">
        <f t="shared" si="30"/>
        <v>", "content": "</v>
      </c>
      <c r="O178" s="40" t="s">
        <v>388</v>
      </c>
      <c r="P178" s="41" t="str">
        <f t="shared" si="31"/>
        <v>", "start": "</v>
      </c>
      <c r="Q178" s="42">
        <f ca="1">IF(INDIRECT("Dashboard!I"&amp;(ROW()-1)/3+3)="","",INDIRECT("Dashboard!I"&amp;(ROW()-1)/3+3))</f>
        <v>44743</v>
      </c>
      <c r="R178" s="41" t="str">
        <f t="shared" si="32"/>
        <v>", "end": "</v>
      </c>
      <c r="S178" s="42">
        <f ca="1">IF(INDIRECT("Dashboard!J"&amp;(ROW()-1)/3+3)="","",INDIRECT("Dashboard!J"&amp;(ROW()-1)/3+3))</f>
        <v>45899</v>
      </c>
      <c r="T178" s="118" t="str">
        <f ca="1">IF(C182="]);",LEFT(T177,2),T177)</f>
        <v>"},</v>
      </c>
      <c r="V178" s="32" t="str">
        <f t="shared" ca="1" si="33"/>
        <v>{"id": 175, "group":"8.5", "subgroup": "plan", "subgroupOrder":1, "className": "gray", "content": "Planned", "start": "2022-07-01", "end": "2025-08-30"},</v>
      </c>
      <c r="W178" s="37" t="s">
        <v>2</v>
      </c>
    </row>
    <row r="179" spans="1:24">
      <c r="A179" s="36"/>
      <c r="C179" s="31" t="str">
        <f ca="1">IF(AND(Q179="", S179=""),"//","")</f>
        <v/>
      </c>
      <c r="D179" s="37" t="str">
        <f t="shared" si="27"/>
        <v xml:space="preserve">{"id": </v>
      </c>
      <c r="E179" s="32">
        <f t="shared" si="34"/>
        <v>176</v>
      </c>
      <c r="F179" s="37" t="str">
        <f t="shared" si="35"/>
        <v>, "group":</v>
      </c>
      <c r="G179" s="37" t="str">
        <f ca="1">G178</f>
        <v>"8.5"</v>
      </c>
      <c r="H179" s="37" t="str">
        <f t="shared" si="36"/>
        <v>, "subgroup": "</v>
      </c>
      <c r="I179" s="37" t="s">
        <v>397</v>
      </c>
      <c r="J179" s="37" t="str">
        <f t="shared" si="28"/>
        <v>", "subgroupOrder":</v>
      </c>
      <c r="K179" s="37">
        <v>0</v>
      </c>
      <c r="L179" s="37" t="str">
        <f t="shared" si="29"/>
        <v>, "className": "</v>
      </c>
      <c r="M179" s="32" t="str">
        <f t="shared" ca="1" si="37"/>
        <v>pink-white</v>
      </c>
      <c r="N179" s="37" t="str">
        <f t="shared" si="30"/>
        <v>", "content": "</v>
      </c>
      <c r="O179" s="34" t="str">
        <f ca="1">IF(INDIRECT("Dashboard!P"&amp;((ROW()+1)/3+2))=1,"Completed",IF(INDIRECT("Dashboard!P"&amp;((ROW()+1)/3+2))="","","Pending"))</f>
        <v>Pending</v>
      </c>
      <c r="P179" s="37" t="str">
        <f t="shared" si="31"/>
        <v>", "start": "</v>
      </c>
      <c r="Q179" s="38">
        <f ca="1">IF(INDIRECT("Dashboard!K"&amp;((ROW()+1)/3+2))="","",INDIRECT("Dashboard!K"&amp;((ROW()+1)/3+2)))</f>
        <v>44743</v>
      </c>
      <c r="R179" s="37" t="str">
        <f t="shared" si="32"/>
        <v>", "end": "</v>
      </c>
      <c r="S179" s="38">
        <f ca="1">IF(INDIRECT("Dashboard!L"&amp;((ROW()+1)/3+2))="","",INDIRECT("Dashboard!L"&amp;((ROW()+1)/3+2)))</f>
        <v>45077</v>
      </c>
      <c r="T179" s="116" t="str">
        <f ca="1">IF(C182="]);",LEFT(T178,2),T178)</f>
        <v>"},</v>
      </c>
      <c r="V179" s="32" t="str">
        <f t="shared" ca="1" si="33"/>
        <v>{"id": 176, "group":"8.5", "subgroup": "actual", "subgroupOrder":0, "className": "pink-white", "content": "Pending", "start": "2022-07-01", "end": "2023-05-31"},</v>
      </c>
      <c r="W179" s="37" t="s">
        <v>2</v>
      </c>
      <c r="X179" s="32" t="str">
        <f ca="1">G179&amp;" : "&amp;INDIRECT("Dashboard!G"&amp;((ROW()+1)/3+2))</f>
        <v>"8.5" : Product usage guide with examples for all the functional usecases</v>
      </c>
    </row>
    <row r="180" spans="1:24" ht="15" thickBot="1">
      <c r="A180" s="36"/>
      <c r="C180" s="28" t="str">
        <f ca="1">IF(OR(INDIRECT("Dashboard!B"&amp;(ROW()/3+2))&lt;&gt;"&gt;",AND(Q180="",S180="")),"//","")</f>
        <v/>
      </c>
      <c r="D180" s="43" t="str">
        <f t="shared" si="27"/>
        <v xml:space="preserve">{"id": </v>
      </c>
      <c r="E180" s="29">
        <f t="shared" si="34"/>
        <v>177</v>
      </c>
      <c r="F180" s="43" t="str">
        <f t="shared" si="35"/>
        <v>, "group":</v>
      </c>
      <c r="G180" s="43" t="str">
        <f ca="1">G179</f>
        <v>"8.5"</v>
      </c>
      <c r="H180" s="43" t="str">
        <f t="shared" si="36"/>
        <v>, "subgroup": "</v>
      </c>
      <c r="I180" s="43" t="s">
        <v>397</v>
      </c>
      <c r="J180" s="43" t="str">
        <f t="shared" si="28"/>
        <v>", "subgroupOrder":</v>
      </c>
      <c r="K180" s="43">
        <v>0</v>
      </c>
      <c r="L180" s="43" t="str">
        <f t="shared" si="29"/>
        <v>, "className": "</v>
      </c>
      <c r="M180" s="29" t="str">
        <f t="shared" si="37"/>
        <v>orange</v>
      </c>
      <c r="N180" s="43" t="str">
        <f t="shared" si="30"/>
        <v>", "content": "</v>
      </c>
      <c r="O180" s="49" t="s">
        <v>392</v>
      </c>
      <c r="P180" s="43" t="str">
        <f t="shared" si="31"/>
        <v>", "start": "</v>
      </c>
      <c r="Q180" s="44">
        <f ca="1">S179</f>
        <v>45077</v>
      </c>
      <c r="R180" s="43" t="str">
        <f t="shared" si="32"/>
        <v>", "end": "</v>
      </c>
      <c r="S180" s="113" t="str">
        <f ca="1">IF(INDIRECT("Dashboard!M"&amp;(ROW()/3+2))="","",INDIRECT("Dashboard!M"&amp;(ROW()/3+2)))</f>
        <v>Waiting for approval from LiteON</v>
      </c>
      <c r="T180" s="117" t="str">
        <f ca="1">IF(C182="]);",LEFT(T179,2),T179)</f>
        <v>"},</v>
      </c>
      <c r="V180" s="32" t="str">
        <f t="shared" ca="1" si="33"/>
        <v>{"id": 177, "group":"8.5", "subgroup": "actual", "subgroupOrder":0, "className": "orange", "content": "Validation", "start": "2023-05-31", "end": "Waiting for approval from LiteON"},</v>
      </c>
      <c r="W180" s="37" t="s">
        <v>2</v>
      </c>
    </row>
    <row r="181" spans="1:24">
      <c r="A181" s="36"/>
      <c r="C181" s="25"/>
      <c r="D181" s="41" t="str">
        <f t="shared" si="27"/>
        <v xml:space="preserve">{"id": </v>
      </c>
      <c r="E181" s="26">
        <f t="shared" si="34"/>
        <v>178</v>
      </c>
      <c r="F181" s="41" t="str">
        <f t="shared" si="35"/>
        <v>, "group":</v>
      </c>
      <c r="G181" s="111" t="str">
        <f ca="1">CHAR(34)&amp;INDIRECT("Dashboard!A"&amp;(ROW()-1)/3+3)&amp;CHAR(34)</f>
        <v>"8.6"</v>
      </c>
      <c r="H181" s="41" t="str">
        <f t="shared" si="36"/>
        <v>, "subgroup": "</v>
      </c>
      <c r="I181" s="41" t="s">
        <v>396</v>
      </c>
      <c r="J181" s="41" t="str">
        <f t="shared" si="28"/>
        <v>", "subgroupOrder":</v>
      </c>
      <c r="K181" s="41">
        <v>1</v>
      </c>
      <c r="L181" s="41" t="str">
        <f t="shared" si="29"/>
        <v>, "className": "</v>
      </c>
      <c r="M181" s="26" t="str">
        <f t="shared" si="37"/>
        <v>gray</v>
      </c>
      <c r="N181" s="41" t="str">
        <f t="shared" si="30"/>
        <v>", "content": "</v>
      </c>
      <c r="O181" s="40" t="s">
        <v>388</v>
      </c>
      <c r="P181" s="41" t="str">
        <f t="shared" si="31"/>
        <v>", "start": "</v>
      </c>
      <c r="Q181" s="42">
        <f ca="1">IF(INDIRECT("Dashboard!I"&amp;(ROW()-1)/3+3)="","",INDIRECT("Dashboard!I"&amp;(ROW()-1)/3+3))</f>
        <v>44743</v>
      </c>
      <c r="R181" s="41" t="str">
        <f t="shared" si="32"/>
        <v>", "end": "</v>
      </c>
      <c r="S181" s="42">
        <f ca="1">IF(INDIRECT("Dashboard!J"&amp;(ROW()-1)/3+3)="","",INDIRECT("Dashboard!J"&amp;(ROW()-1)/3+3))</f>
        <v>45899</v>
      </c>
      <c r="T181" s="118" t="str">
        <f ca="1">IF(C185="]);",LEFT(T180,2),T180)</f>
        <v>"},</v>
      </c>
      <c r="V181" s="32" t="str">
        <f t="shared" ca="1" si="33"/>
        <v>{"id": 178, "group":"8.6", "subgroup": "plan", "subgroupOrder":1, "className": "gray", "content": "Planned", "start": "2022-07-01", "end": "2025-08-30"},</v>
      </c>
      <c r="W181" s="37" t="s">
        <v>2</v>
      </c>
    </row>
    <row r="182" spans="1:24">
      <c r="A182" s="36"/>
      <c r="C182" s="31" t="str">
        <f ca="1">IF(AND(Q182="", S182=""),"//","")</f>
        <v/>
      </c>
      <c r="D182" s="37" t="str">
        <f t="shared" si="27"/>
        <v xml:space="preserve">{"id": </v>
      </c>
      <c r="E182" s="32">
        <f t="shared" si="34"/>
        <v>179</v>
      </c>
      <c r="F182" s="37" t="str">
        <f t="shared" si="35"/>
        <v>, "group":</v>
      </c>
      <c r="G182" s="37" t="str">
        <f ca="1">G181</f>
        <v>"8.6"</v>
      </c>
      <c r="H182" s="37" t="str">
        <f t="shared" si="36"/>
        <v>, "subgroup": "</v>
      </c>
      <c r="I182" s="37" t="s">
        <v>397</v>
      </c>
      <c r="J182" s="37" t="str">
        <f t="shared" si="28"/>
        <v>", "subgroupOrder":</v>
      </c>
      <c r="K182" s="37">
        <v>0</v>
      </c>
      <c r="L182" s="37" t="str">
        <f t="shared" si="29"/>
        <v>, "className": "</v>
      </c>
      <c r="M182" s="32" t="str">
        <f t="shared" ca="1" si="37"/>
        <v>pink-white</v>
      </c>
      <c r="N182" s="37" t="str">
        <f t="shared" si="30"/>
        <v>", "content": "</v>
      </c>
      <c r="O182" s="34" t="str">
        <f ca="1">IF(INDIRECT("Dashboard!P"&amp;((ROW()+1)/3+2))=1,"Completed",IF(INDIRECT("Dashboard!P"&amp;((ROW()+1)/3+2))="","","Pending"))</f>
        <v>Pending</v>
      </c>
      <c r="P182" s="37" t="str">
        <f t="shared" si="31"/>
        <v>", "start": "</v>
      </c>
      <c r="Q182" s="38">
        <f ca="1">IF(INDIRECT("Dashboard!K"&amp;((ROW()+1)/3+2))="","",INDIRECT("Dashboard!K"&amp;((ROW()+1)/3+2)))</f>
        <v>44743</v>
      </c>
      <c r="R182" s="37" t="str">
        <f t="shared" si="32"/>
        <v>", "end": "</v>
      </c>
      <c r="S182" s="38">
        <f ca="1">IF(INDIRECT("Dashboard!L"&amp;((ROW()+1)/3+2))="","",INDIRECT("Dashboard!L"&amp;((ROW()+1)/3+2)))</f>
        <v>45077</v>
      </c>
      <c r="T182" s="116" t="str">
        <f ca="1">IF(C185="]);",LEFT(T181,2),T181)</f>
        <v>"},</v>
      </c>
      <c r="V182" s="32" t="str">
        <f t="shared" ca="1" si="33"/>
        <v>{"id": 179, "group":"8.6", "subgroup": "actual", "subgroupOrder":0, "className": "pink-white", "content": "Pending", "start": "2022-07-01", "end": "2023-05-31"},</v>
      </c>
      <c r="W182" s="37" t="s">
        <v>2</v>
      </c>
      <c r="X182" s="32" t="str">
        <f ca="1">G182&amp;" : "&amp;INDIRECT("Dashboard!G"&amp;((ROW()+1)/3+2))</f>
        <v xml:space="preserve">"8.6" : Test report </v>
      </c>
    </row>
    <row r="183" spans="1:24" ht="15" thickBot="1">
      <c r="A183" s="36"/>
      <c r="C183" s="28" t="str">
        <f ca="1">IF(OR(INDIRECT("Dashboard!B"&amp;(ROW()/3+2))&lt;&gt;"&gt;",AND(Q183="",S183="")),"//","")</f>
        <v/>
      </c>
      <c r="D183" s="43" t="str">
        <f t="shared" si="27"/>
        <v xml:space="preserve">{"id": </v>
      </c>
      <c r="E183" s="29">
        <f t="shared" si="34"/>
        <v>180</v>
      </c>
      <c r="F183" s="43" t="str">
        <f t="shared" si="35"/>
        <v>, "group":</v>
      </c>
      <c r="G183" s="43" t="str">
        <f ca="1">G182</f>
        <v>"8.6"</v>
      </c>
      <c r="H183" s="43" t="str">
        <f t="shared" si="36"/>
        <v>, "subgroup": "</v>
      </c>
      <c r="I183" s="43" t="s">
        <v>397</v>
      </c>
      <c r="J183" s="43" t="str">
        <f t="shared" si="28"/>
        <v>", "subgroupOrder":</v>
      </c>
      <c r="K183" s="43">
        <v>0</v>
      </c>
      <c r="L183" s="43" t="str">
        <f t="shared" si="29"/>
        <v>, "className": "</v>
      </c>
      <c r="M183" s="29" t="str">
        <f t="shared" si="37"/>
        <v>orange</v>
      </c>
      <c r="N183" s="43" t="str">
        <f t="shared" si="30"/>
        <v>", "content": "</v>
      </c>
      <c r="O183" s="49" t="s">
        <v>392</v>
      </c>
      <c r="P183" s="43" t="str">
        <f t="shared" si="31"/>
        <v>", "start": "</v>
      </c>
      <c r="Q183" s="44">
        <f ca="1">S182</f>
        <v>45077</v>
      </c>
      <c r="R183" s="43" t="str">
        <f t="shared" si="32"/>
        <v>", "end": "</v>
      </c>
      <c r="S183" s="113" t="str">
        <f ca="1">IF(INDIRECT("Dashboard!M"&amp;(ROW()/3+2))="","",INDIRECT("Dashboard!M"&amp;(ROW()/3+2)))</f>
        <v>Waiting for approval from LiteON</v>
      </c>
      <c r="T183" s="117" t="str">
        <f ca="1">IF(C185="]);",LEFT(T182,2),T182)</f>
        <v>"},</v>
      </c>
      <c r="V183" s="32" t="str">
        <f t="shared" ca="1" si="33"/>
        <v>{"id": 180, "group":"8.6", "subgroup": "actual", "subgroupOrder":0, "className": "orange", "content": "Validation", "start": "2023-05-31", "end": "Waiting for approval from LiteON"},</v>
      </c>
      <c r="W183" s="37" t="s">
        <v>2</v>
      </c>
    </row>
    <row r="184" spans="1:24">
      <c r="A184" s="36"/>
      <c r="C184" s="25"/>
      <c r="D184" s="41" t="str">
        <f t="shared" si="27"/>
        <v xml:space="preserve">{"id": </v>
      </c>
      <c r="E184" s="26">
        <f t="shared" si="34"/>
        <v>181</v>
      </c>
      <c r="F184" s="41" t="str">
        <f t="shared" si="35"/>
        <v>, "group":</v>
      </c>
      <c r="G184" s="111" t="str">
        <f ca="1">CHAR(34)&amp;INDIRECT("Dashboard!A"&amp;(ROW()-1)/3+3)&amp;CHAR(34)</f>
        <v>"9"</v>
      </c>
      <c r="H184" s="41" t="str">
        <f t="shared" si="36"/>
        <v>, "subgroup": "</v>
      </c>
      <c r="I184" s="41" t="s">
        <v>396</v>
      </c>
      <c r="J184" s="41" t="str">
        <f t="shared" si="28"/>
        <v>", "subgroupOrder":</v>
      </c>
      <c r="K184" s="41">
        <v>1</v>
      </c>
      <c r="L184" s="41" t="str">
        <f t="shared" si="29"/>
        <v>, "className": "</v>
      </c>
      <c r="M184" s="26" t="str">
        <f t="shared" si="37"/>
        <v>gray</v>
      </c>
      <c r="N184" s="41" t="str">
        <f t="shared" si="30"/>
        <v>", "content": "</v>
      </c>
      <c r="O184" s="40" t="s">
        <v>388</v>
      </c>
      <c r="P184" s="41" t="str">
        <f t="shared" si="31"/>
        <v>", "start": "</v>
      </c>
      <c r="Q184" s="42">
        <f ca="1">IF(INDIRECT("Dashboard!I"&amp;(ROW()-1)/3+3)="","",INDIRECT("Dashboard!I"&amp;(ROW()-1)/3+3))</f>
        <v>45293</v>
      </c>
      <c r="R184" s="41" t="str">
        <f t="shared" si="32"/>
        <v>", "end": "</v>
      </c>
      <c r="S184" s="42">
        <f ca="1">IF(INDIRECT("Dashboard!J"&amp;(ROW()-1)/3+3)="","",INDIRECT("Dashboard!J"&amp;(ROW()-1)/3+3))</f>
        <v>45412</v>
      </c>
      <c r="T184" s="118" t="str">
        <f ca="1">IF(C188="]);",LEFT(T183,2),T183)</f>
        <v>"},</v>
      </c>
      <c r="V184" s="32" t="str">
        <f t="shared" ca="1" si="33"/>
        <v>{"id": 181, "group":"9", "subgroup": "plan", "subgroupOrder":1, "className": "gray", "content": "Planned", "start": "2024-01-02", "end": "2024-04-30"},</v>
      </c>
      <c r="W184" s="37" t="s">
        <v>2</v>
      </c>
    </row>
    <row r="185" spans="1:24">
      <c r="A185" s="36"/>
      <c r="C185" s="31" t="str">
        <f ca="1">IF(AND(Q185="", S185=""),"//","")</f>
        <v>//</v>
      </c>
      <c r="D185" s="37" t="str">
        <f t="shared" si="27"/>
        <v xml:space="preserve">{"id": </v>
      </c>
      <c r="E185" s="32">
        <f t="shared" si="34"/>
        <v>182</v>
      </c>
      <c r="F185" s="37" t="str">
        <f t="shared" si="35"/>
        <v>, "group":</v>
      </c>
      <c r="G185" s="37" t="str">
        <f ca="1">G184</f>
        <v>"9"</v>
      </c>
      <c r="H185" s="37" t="str">
        <f t="shared" si="36"/>
        <v>, "subgroup": "</v>
      </c>
      <c r="I185" s="37" t="s">
        <v>397</v>
      </c>
      <c r="J185" s="37" t="str">
        <f t="shared" si="28"/>
        <v>", "subgroupOrder":</v>
      </c>
      <c r="K185" s="37">
        <v>0</v>
      </c>
      <c r="L185" s="37" t="str">
        <f t="shared" si="29"/>
        <v>, "className": "</v>
      </c>
      <c r="M185" s="32" t="str">
        <f t="shared" ca="1" si="37"/>
        <v>pink-white</v>
      </c>
      <c r="N185" s="37" t="str">
        <f t="shared" si="30"/>
        <v>", "content": "</v>
      </c>
      <c r="O185" s="34" t="str">
        <f ca="1">IF(INDIRECT("Dashboard!P"&amp;((ROW()+1)/3+2))=1,"Completed",IF(INDIRECT("Dashboard!P"&amp;((ROW()+1)/3+2))="","","Pending"))</f>
        <v>Pending</v>
      </c>
      <c r="P185" s="37" t="str">
        <f t="shared" si="31"/>
        <v>", "start": "</v>
      </c>
      <c r="Q185" s="38" t="str">
        <f ca="1">IF(INDIRECT("Dashboard!K"&amp;((ROW()+1)/3+2))="","",INDIRECT("Dashboard!K"&amp;((ROW()+1)/3+2)))</f>
        <v/>
      </c>
      <c r="R185" s="37" t="str">
        <f t="shared" si="32"/>
        <v>", "end": "</v>
      </c>
      <c r="S185" s="38" t="str">
        <f ca="1">IF(INDIRECT("Dashboard!L"&amp;((ROW()+1)/3+2))="","",INDIRECT("Dashboard!L"&amp;((ROW()+1)/3+2)))</f>
        <v/>
      </c>
      <c r="T185" s="116" t="str">
        <f ca="1">IF(C188="]);",LEFT(T184,2),T184)</f>
        <v>"},</v>
      </c>
      <c r="V185" s="32" t="str">
        <f t="shared" ca="1" si="33"/>
        <v/>
      </c>
      <c r="W185" s="37" t="s">
        <v>2</v>
      </c>
      <c r="X185" s="32" t="str">
        <f ca="1">G185&amp;" : "&amp;INDIRECT("Dashboard!G"&amp;((ROW()+1)/3+2))</f>
        <v>"9" : M8. Decision Engine AI/ML models - Safety and security</v>
      </c>
    </row>
    <row r="186" spans="1:24" ht="15" thickBot="1">
      <c r="A186" s="36"/>
      <c r="C186" s="28" t="str">
        <f ca="1">IF(OR(INDIRECT("Dashboard!B"&amp;(ROW()/3+2))&lt;&gt;"&gt;",AND(Q186="",S186="")),"//","")</f>
        <v>//</v>
      </c>
      <c r="D186" s="43" t="str">
        <f t="shared" si="27"/>
        <v xml:space="preserve">{"id": </v>
      </c>
      <c r="E186" s="29">
        <f t="shared" si="34"/>
        <v>183</v>
      </c>
      <c r="F186" s="43" t="str">
        <f t="shared" si="35"/>
        <v>, "group":</v>
      </c>
      <c r="G186" s="43" t="str">
        <f ca="1">G185</f>
        <v>"9"</v>
      </c>
      <c r="H186" s="43" t="str">
        <f t="shared" si="36"/>
        <v>, "subgroup": "</v>
      </c>
      <c r="I186" s="43" t="s">
        <v>397</v>
      </c>
      <c r="J186" s="43" t="str">
        <f t="shared" si="28"/>
        <v>", "subgroupOrder":</v>
      </c>
      <c r="K186" s="43">
        <v>0</v>
      </c>
      <c r="L186" s="43" t="str">
        <f t="shared" si="29"/>
        <v>, "className": "</v>
      </c>
      <c r="M186" s="29" t="str">
        <f t="shared" si="37"/>
        <v>orange</v>
      </c>
      <c r="N186" s="43" t="str">
        <f t="shared" si="30"/>
        <v>", "content": "</v>
      </c>
      <c r="O186" s="49" t="s">
        <v>392</v>
      </c>
      <c r="P186" s="43" t="str">
        <f t="shared" si="31"/>
        <v>", "start": "</v>
      </c>
      <c r="Q186" s="44" t="str">
        <f ca="1">S185</f>
        <v/>
      </c>
      <c r="R186" s="43" t="str">
        <f t="shared" si="32"/>
        <v>", "end": "</v>
      </c>
      <c r="S186" s="113" t="str">
        <f ca="1">IF(INDIRECT("Dashboard!M"&amp;(ROW()/3+2))="","",INDIRECT("Dashboard!M"&amp;(ROW()/3+2)))</f>
        <v/>
      </c>
      <c r="T186" s="117" t="str">
        <f ca="1">IF(C188="]);",LEFT(T185,2),T185)</f>
        <v>"},</v>
      </c>
      <c r="V186" s="32" t="str">
        <f t="shared" ca="1" si="33"/>
        <v/>
      </c>
      <c r="W186" s="37" t="s">
        <v>2</v>
      </c>
    </row>
    <row r="187" spans="1:24">
      <c r="A187" s="36"/>
      <c r="C187" s="25"/>
      <c r="D187" s="41" t="str">
        <f t="shared" si="27"/>
        <v xml:space="preserve">{"id": </v>
      </c>
      <c r="E187" s="26">
        <f t="shared" si="34"/>
        <v>184</v>
      </c>
      <c r="F187" s="41" t="str">
        <f t="shared" si="35"/>
        <v>, "group":</v>
      </c>
      <c r="G187" s="111" t="str">
        <f ca="1">CHAR(34)&amp;INDIRECT("Dashboard!A"&amp;(ROW()-1)/3+3)&amp;CHAR(34)</f>
        <v>"9.1"</v>
      </c>
      <c r="H187" s="41" t="str">
        <f t="shared" si="36"/>
        <v>, "subgroup": "</v>
      </c>
      <c r="I187" s="41" t="s">
        <v>396</v>
      </c>
      <c r="J187" s="41" t="str">
        <f t="shared" si="28"/>
        <v>", "subgroupOrder":</v>
      </c>
      <c r="K187" s="41">
        <v>1</v>
      </c>
      <c r="L187" s="41" t="str">
        <f t="shared" si="29"/>
        <v>, "className": "</v>
      </c>
      <c r="M187" s="26" t="str">
        <f t="shared" si="37"/>
        <v>gray</v>
      </c>
      <c r="N187" s="41" t="str">
        <f t="shared" si="30"/>
        <v>", "content": "</v>
      </c>
      <c r="O187" s="40" t="s">
        <v>388</v>
      </c>
      <c r="P187" s="41" t="str">
        <f t="shared" si="31"/>
        <v>", "start": "</v>
      </c>
      <c r="Q187" s="42" t="str">
        <f ca="1">IF(INDIRECT("Dashboard!I"&amp;(ROW()-1)/3+3)="","",INDIRECT("Dashboard!I"&amp;(ROW()-1)/3+3))</f>
        <v/>
      </c>
      <c r="R187" s="41" t="str">
        <f t="shared" si="32"/>
        <v>", "end": "</v>
      </c>
      <c r="S187" s="42" t="str">
        <f ca="1">IF(INDIRECT("Dashboard!J"&amp;(ROW()-1)/3+3)="","",INDIRECT("Dashboard!J"&amp;(ROW()-1)/3+3))</f>
        <v/>
      </c>
      <c r="T187" s="118" t="str">
        <f ca="1">IF(C191="]);",LEFT(T186,2),T186)</f>
        <v>"},</v>
      </c>
      <c r="V187" s="32" t="str">
        <f t="shared" ca="1" si="33"/>
        <v>{"id": 184, "group":"9.1", "subgroup": "plan", "subgroupOrder":1, "className": "gray", "content": "Planned", "start": "", "end": ""},</v>
      </c>
      <c r="W187" s="37" t="s">
        <v>2</v>
      </c>
    </row>
    <row r="188" spans="1:24">
      <c r="A188" s="36"/>
      <c r="C188" s="31" t="str">
        <f ca="1">IF(AND(Q188="", S188=""),"//","")</f>
        <v>//</v>
      </c>
      <c r="D188" s="37" t="str">
        <f t="shared" si="27"/>
        <v xml:space="preserve">{"id": </v>
      </c>
      <c r="E188" s="32">
        <f t="shared" si="34"/>
        <v>185</v>
      </c>
      <c r="F188" s="37" t="str">
        <f t="shared" si="35"/>
        <v>, "group":</v>
      </c>
      <c r="G188" s="37" t="str">
        <f ca="1">G187</f>
        <v>"9.1"</v>
      </c>
      <c r="H188" s="37" t="str">
        <f t="shared" si="36"/>
        <v>, "subgroup": "</v>
      </c>
      <c r="I188" s="37" t="s">
        <v>397</v>
      </c>
      <c r="J188" s="37" t="str">
        <f t="shared" si="28"/>
        <v>", "subgroupOrder":</v>
      </c>
      <c r="K188" s="37">
        <v>0</v>
      </c>
      <c r="L188" s="37" t="str">
        <f t="shared" si="29"/>
        <v>, "className": "</v>
      </c>
      <c r="M188" s="32" t="str">
        <f t="shared" ca="1" si="37"/>
        <v/>
      </c>
      <c r="N188" s="37" t="str">
        <f t="shared" si="30"/>
        <v>", "content": "</v>
      </c>
      <c r="O188" s="34" t="str">
        <f ca="1">IF(INDIRECT("Dashboard!P"&amp;((ROW()+1)/3+2))=1,"Completed",IF(INDIRECT("Dashboard!P"&amp;((ROW()+1)/3+2))="","","Pending"))</f>
        <v/>
      </c>
      <c r="P188" s="37" t="str">
        <f t="shared" si="31"/>
        <v>", "start": "</v>
      </c>
      <c r="Q188" s="38" t="str">
        <f ca="1">IF(INDIRECT("Dashboard!K"&amp;((ROW()+1)/3+2))="","",INDIRECT("Dashboard!K"&amp;((ROW()+1)/3+2)))</f>
        <v/>
      </c>
      <c r="R188" s="37" t="str">
        <f t="shared" si="32"/>
        <v>", "end": "</v>
      </c>
      <c r="S188" s="38" t="str">
        <f ca="1">IF(INDIRECT("Dashboard!L"&amp;((ROW()+1)/3+2))="","",INDIRECT("Dashboard!L"&amp;((ROW()+1)/3+2)))</f>
        <v/>
      </c>
      <c r="T188" s="116" t="str">
        <f ca="1">IF(C191="]);",LEFT(T187,2),T187)</f>
        <v>"},</v>
      </c>
      <c r="V188" s="32" t="str">
        <f t="shared" ca="1" si="33"/>
        <v/>
      </c>
      <c r="W188" s="37" t="s">
        <v>2</v>
      </c>
      <c r="X188" s="32" t="str">
        <f ca="1">G188&amp;" : "&amp;INDIRECT("Dashboard!G"&amp;((ROW()+1)/3+2))</f>
        <v>"9.1" : Note : Personnel access surveillance and safety alert</v>
      </c>
    </row>
    <row r="189" spans="1:24" ht="15" thickBot="1">
      <c r="A189" s="36"/>
      <c r="C189" s="28" t="str">
        <f ca="1">IF(OR(INDIRECT("Dashboard!B"&amp;(ROW()/3+2))&lt;&gt;"&gt;",AND(Q189="",S189="")),"//","")</f>
        <v>//</v>
      </c>
      <c r="D189" s="43" t="str">
        <f t="shared" si="27"/>
        <v xml:space="preserve">{"id": </v>
      </c>
      <c r="E189" s="29">
        <f t="shared" si="34"/>
        <v>186</v>
      </c>
      <c r="F189" s="43" t="str">
        <f t="shared" si="35"/>
        <v>, "group":</v>
      </c>
      <c r="G189" s="43" t="str">
        <f ca="1">G188</f>
        <v>"9.1"</v>
      </c>
      <c r="H189" s="43" t="str">
        <f t="shared" si="36"/>
        <v>, "subgroup": "</v>
      </c>
      <c r="I189" s="43" t="s">
        <v>397</v>
      </c>
      <c r="J189" s="43" t="str">
        <f t="shared" si="28"/>
        <v>", "subgroupOrder":</v>
      </c>
      <c r="K189" s="43">
        <v>0</v>
      </c>
      <c r="L189" s="43" t="str">
        <f t="shared" si="29"/>
        <v>, "className": "</v>
      </c>
      <c r="M189" s="29" t="str">
        <f t="shared" si="37"/>
        <v>orange</v>
      </c>
      <c r="N189" s="43" t="str">
        <f t="shared" si="30"/>
        <v>", "content": "</v>
      </c>
      <c r="O189" s="49" t="s">
        <v>392</v>
      </c>
      <c r="P189" s="43" t="str">
        <f t="shared" si="31"/>
        <v>", "start": "</v>
      </c>
      <c r="Q189" s="44" t="str">
        <f ca="1">S188</f>
        <v/>
      </c>
      <c r="R189" s="43" t="str">
        <f t="shared" si="32"/>
        <v>", "end": "</v>
      </c>
      <c r="S189" s="113" t="str">
        <f ca="1">IF(INDIRECT("Dashboard!M"&amp;(ROW()/3+2))="","",INDIRECT("Dashboard!M"&amp;(ROW()/3+2)))</f>
        <v/>
      </c>
      <c r="T189" s="117" t="str">
        <f ca="1">IF(C191="]);",LEFT(T188,2),T188)</f>
        <v>"},</v>
      </c>
      <c r="V189" s="32" t="str">
        <f t="shared" ca="1" si="33"/>
        <v/>
      </c>
      <c r="W189" s="37" t="s">
        <v>2</v>
      </c>
    </row>
    <row r="190" spans="1:24">
      <c r="A190" s="36"/>
      <c r="C190" s="25"/>
      <c r="D190" s="41" t="str">
        <f t="shared" si="27"/>
        <v xml:space="preserve">{"id": </v>
      </c>
      <c r="E190" s="26">
        <f t="shared" si="34"/>
        <v>187</v>
      </c>
      <c r="F190" s="41" t="str">
        <f t="shared" si="35"/>
        <v>, "group":</v>
      </c>
      <c r="G190" s="111" t="str">
        <f ca="1">CHAR(34)&amp;INDIRECT("Dashboard!A"&amp;(ROW()-1)/3+3)&amp;CHAR(34)</f>
        <v>"9.2"</v>
      </c>
      <c r="H190" s="41" t="str">
        <f t="shared" si="36"/>
        <v>, "subgroup": "</v>
      </c>
      <c r="I190" s="41" t="s">
        <v>396</v>
      </c>
      <c r="J190" s="41" t="str">
        <f t="shared" si="28"/>
        <v>", "subgroupOrder":</v>
      </c>
      <c r="K190" s="41">
        <v>1</v>
      </c>
      <c r="L190" s="41" t="str">
        <f t="shared" si="29"/>
        <v>, "className": "</v>
      </c>
      <c r="M190" s="26" t="str">
        <f t="shared" si="37"/>
        <v>gray</v>
      </c>
      <c r="N190" s="41" t="str">
        <f t="shared" si="30"/>
        <v>", "content": "</v>
      </c>
      <c r="O190" s="40" t="s">
        <v>388</v>
      </c>
      <c r="P190" s="41" t="str">
        <f t="shared" si="31"/>
        <v>", "start": "</v>
      </c>
      <c r="Q190" s="42" t="str">
        <f ca="1">IF(INDIRECT("Dashboard!I"&amp;(ROW()-1)/3+3)="","",INDIRECT("Dashboard!I"&amp;(ROW()-1)/3+3))</f>
        <v/>
      </c>
      <c r="R190" s="41" t="str">
        <f t="shared" si="32"/>
        <v>", "end": "</v>
      </c>
      <c r="S190" s="42" t="str">
        <f ca="1">IF(INDIRECT("Dashboard!J"&amp;(ROW()-1)/3+3)="","",INDIRECT("Dashboard!J"&amp;(ROW()-1)/3+3))</f>
        <v/>
      </c>
      <c r="T190" s="118" t="str">
        <f ca="1">IF(C194="]);",LEFT(T189,2),T189)</f>
        <v>"},</v>
      </c>
      <c r="V190" s="32" t="str">
        <f t="shared" ca="1" si="33"/>
        <v>{"id": 187, "group":"9.2", "subgroup": "plan", "subgroupOrder":1, "className": "gray", "content": "Planned", "start": "", "end": ""},</v>
      </c>
      <c r="W190" s="37" t="s">
        <v>2</v>
      </c>
    </row>
    <row r="191" spans="1:24">
      <c r="A191" s="36"/>
      <c r="C191" s="31" t="str">
        <f ca="1">IF(AND(Q191="", S191=""),"//","")</f>
        <v>//</v>
      </c>
      <c r="D191" s="37" t="str">
        <f t="shared" si="27"/>
        <v xml:space="preserve">{"id": </v>
      </c>
      <c r="E191" s="32">
        <f t="shared" si="34"/>
        <v>188</v>
      </c>
      <c r="F191" s="37" t="str">
        <f t="shared" si="35"/>
        <v>, "group":</v>
      </c>
      <c r="G191" s="37" t="str">
        <f ca="1">G190</f>
        <v>"9.2"</v>
      </c>
      <c r="H191" s="37" t="str">
        <f t="shared" si="36"/>
        <v>, "subgroup": "</v>
      </c>
      <c r="I191" s="37" t="s">
        <v>397</v>
      </c>
      <c r="J191" s="37" t="str">
        <f t="shared" si="28"/>
        <v>", "subgroupOrder":</v>
      </c>
      <c r="K191" s="37">
        <v>0</v>
      </c>
      <c r="L191" s="37" t="str">
        <f t="shared" si="29"/>
        <v>, "className": "</v>
      </c>
      <c r="M191" s="32" t="str">
        <f t="shared" ca="1" si="37"/>
        <v/>
      </c>
      <c r="N191" s="37" t="str">
        <f t="shared" si="30"/>
        <v>", "content": "</v>
      </c>
      <c r="O191" s="34" t="str">
        <f ca="1">IF(INDIRECT("Dashboard!P"&amp;((ROW()+1)/3+2))=1,"Completed",IF(INDIRECT("Dashboard!P"&amp;((ROW()+1)/3+2))="","","Pending"))</f>
        <v/>
      </c>
      <c r="P191" s="37" t="str">
        <f t="shared" si="31"/>
        <v>", "start": "</v>
      </c>
      <c r="Q191" s="38" t="str">
        <f ca="1">IF(INDIRECT("Dashboard!K"&amp;((ROW()+1)/3+2))="","",INDIRECT("Dashboard!K"&amp;((ROW()+1)/3+2)))</f>
        <v/>
      </c>
      <c r="R191" s="37" t="str">
        <f t="shared" si="32"/>
        <v>", "end": "</v>
      </c>
      <c r="S191" s="38" t="str">
        <f ca="1">IF(INDIRECT("Dashboard!L"&amp;((ROW()+1)/3+2))="","",INDIRECT("Dashboard!L"&amp;((ROW()+1)/3+2)))</f>
        <v/>
      </c>
      <c r="T191" s="116" t="str">
        <f ca="1">IF(C194="]);",LEFT(T190,2),T190)</f>
        <v>"},</v>
      </c>
      <c r="V191" s="32" t="str">
        <f t="shared" ca="1" si="33"/>
        <v/>
      </c>
      <c r="W191" s="37" t="s">
        <v>2</v>
      </c>
      <c r="X191" s="32" t="str">
        <f ca="1">G191&amp;" : "&amp;INDIRECT("Dashboard!G"&amp;((ROW()+1)/3+2))</f>
        <v>"9.2" : Note : 1. Face detection technology for customers and guest entering their premises</v>
      </c>
    </row>
    <row r="192" spans="1:24" ht="15" thickBot="1">
      <c r="A192" s="36"/>
      <c r="C192" s="28" t="str">
        <f ca="1">IF(OR(INDIRECT("Dashboard!B"&amp;(ROW()/3+2))&lt;&gt;"&gt;",AND(Q192="",S192="")),"//","")</f>
        <v>//</v>
      </c>
      <c r="D192" s="43" t="str">
        <f t="shared" si="27"/>
        <v xml:space="preserve">{"id": </v>
      </c>
      <c r="E192" s="29">
        <f t="shared" si="34"/>
        <v>189</v>
      </c>
      <c r="F192" s="43" t="str">
        <f t="shared" si="35"/>
        <v>, "group":</v>
      </c>
      <c r="G192" s="43" t="str">
        <f ca="1">G191</f>
        <v>"9.2"</v>
      </c>
      <c r="H192" s="43" t="str">
        <f t="shared" si="36"/>
        <v>, "subgroup": "</v>
      </c>
      <c r="I192" s="43" t="s">
        <v>397</v>
      </c>
      <c r="J192" s="43" t="str">
        <f t="shared" si="28"/>
        <v>", "subgroupOrder":</v>
      </c>
      <c r="K192" s="43">
        <v>0</v>
      </c>
      <c r="L192" s="43" t="str">
        <f t="shared" si="29"/>
        <v>, "className": "</v>
      </c>
      <c r="M192" s="29" t="str">
        <f t="shared" si="37"/>
        <v>orange</v>
      </c>
      <c r="N192" s="43" t="str">
        <f t="shared" si="30"/>
        <v>", "content": "</v>
      </c>
      <c r="O192" s="49" t="s">
        <v>392</v>
      </c>
      <c r="P192" s="43" t="str">
        <f t="shared" si="31"/>
        <v>", "start": "</v>
      </c>
      <c r="Q192" s="44" t="str">
        <f ca="1">S191</f>
        <v/>
      </c>
      <c r="R192" s="43" t="str">
        <f t="shared" si="32"/>
        <v>", "end": "</v>
      </c>
      <c r="S192" s="113" t="str">
        <f ca="1">IF(INDIRECT("Dashboard!M"&amp;(ROW()/3+2))="","",INDIRECT("Dashboard!M"&amp;(ROW()/3+2)))</f>
        <v/>
      </c>
      <c r="T192" s="117" t="str">
        <f ca="1">IF(C194="]);",LEFT(T191,2),T191)</f>
        <v>"},</v>
      </c>
      <c r="V192" s="32" t="str">
        <f t="shared" ca="1" si="33"/>
        <v/>
      </c>
      <c r="W192" s="37" t="s">
        <v>2</v>
      </c>
    </row>
    <row r="193" spans="1:24">
      <c r="A193" s="36"/>
      <c r="C193" s="25"/>
      <c r="D193" s="41" t="str">
        <f t="shared" si="27"/>
        <v xml:space="preserve">{"id": </v>
      </c>
      <c r="E193" s="26">
        <f t="shared" si="34"/>
        <v>190</v>
      </c>
      <c r="F193" s="41" t="str">
        <f t="shared" si="35"/>
        <v>, "group":</v>
      </c>
      <c r="G193" s="111" t="str">
        <f ca="1">CHAR(34)&amp;INDIRECT("Dashboard!A"&amp;(ROW()-1)/3+3)&amp;CHAR(34)</f>
        <v>"9.3"</v>
      </c>
      <c r="H193" s="41" t="str">
        <f t="shared" si="36"/>
        <v>, "subgroup": "</v>
      </c>
      <c r="I193" s="41" t="s">
        <v>396</v>
      </c>
      <c r="J193" s="41" t="str">
        <f t="shared" si="28"/>
        <v>", "subgroupOrder":</v>
      </c>
      <c r="K193" s="41">
        <v>1</v>
      </c>
      <c r="L193" s="41" t="str">
        <f t="shared" si="29"/>
        <v>, "className": "</v>
      </c>
      <c r="M193" s="26" t="str">
        <f t="shared" si="37"/>
        <v>gray</v>
      </c>
      <c r="N193" s="41" t="str">
        <f t="shared" si="30"/>
        <v>", "content": "</v>
      </c>
      <c r="O193" s="40" t="s">
        <v>388</v>
      </c>
      <c r="P193" s="41" t="str">
        <f t="shared" si="31"/>
        <v>", "start": "</v>
      </c>
      <c r="Q193" s="42" t="str">
        <f ca="1">IF(INDIRECT("Dashboard!I"&amp;(ROW()-1)/3+3)="","",INDIRECT("Dashboard!I"&amp;(ROW()-1)/3+3))</f>
        <v/>
      </c>
      <c r="R193" s="41" t="str">
        <f t="shared" si="32"/>
        <v>", "end": "</v>
      </c>
      <c r="S193" s="42" t="str">
        <f ca="1">IF(INDIRECT("Dashboard!J"&amp;(ROW()-1)/3+3)="","",INDIRECT("Dashboard!J"&amp;(ROW()-1)/3+3))</f>
        <v/>
      </c>
      <c r="T193" s="118" t="str">
        <f ca="1">IF(C197="]);",LEFT(T192,2),T192)</f>
        <v>"},</v>
      </c>
      <c r="V193" s="32" t="str">
        <f t="shared" ca="1" si="33"/>
        <v>{"id": 190, "group":"9.3", "subgroup": "plan", "subgroupOrder":1, "className": "gray", "content": "Planned", "start": "", "end": ""},</v>
      </c>
      <c r="W193" s="37" t="s">
        <v>2</v>
      </c>
    </row>
    <row r="194" spans="1:24">
      <c r="A194" s="36"/>
      <c r="C194" s="31" t="str">
        <f ca="1">IF(AND(Q194="", S194=""),"//","")</f>
        <v>//</v>
      </c>
      <c r="D194" s="37" t="str">
        <f t="shared" si="27"/>
        <v xml:space="preserve">{"id": </v>
      </c>
      <c r="E194" s="32">
        <f t="shared" si="34"/>
        <v>191</v>
      </c>
      <c r="F194" s="37" t="str">
        <f t="shared" si="35"/>
        <v>, "group":</v>
      </c>
      <c r="G194" s="37" t="str">
        <f ca="1">G193</f>
        <v>"9.3"</v>
      </c>
      <c r="H194" s="37" t="str">
        <f t="shared" si="36"/>
        <v>, "subgroup": "</v>
      </c>
      <c r="I194" s="37" t="s">
        <v>397</v>
      </c>
      <c r="J194" s="37" t="str">
        <f t="shared" si="28"/>
        <v>", "subgroupOrder":</v>
      </c>
      <c r="K194" s="37">
        <v>0</v>
      </c>
      <c r="L194" s="37" t="str">
        <f t="shared" si="29"/>
        <v>, "className": "</v>
      </c>
      <c r="M194" s="32" t="str">
        <f t="shared" ca="1" si="37"/>
        <v/>
      </c>
      <c r="N194" s="37" t="str">
        <f t="shared" si="30"/>
        <v>", "content": "</v>
      </c>
      <c r="O194" s="34" t="str">
        <f ca="1">IF(INDIRECT("Dashboard!P"&amp;((ROW()+1)/3+2))=1,"Completed",IF(INDIRECT("Dashboard!P"&amp;((ROW()+1)/3+2))="","","Pending"))</f>
        <v/>
      </c>
      <c r="P194" s="37" t="str">
        <f t="shared" si="31"/>
        <v>", "start": "</v>
      </c>
      <c r="Q194" s="38" t="str">
        <f ca="1">IF(INDIRECT("Dashboard!K"&amp;((ROW()+1)/3+2))="","",INDIRECT("Dashboard!K"&amp;((ROW()+1)/3+2)))</f>
        <v/>
      </c>
      <c r="R194" s="37" t="str">
        <f t="shared" si="32"/>
        <v>", "end": "</v>
      </c>
      <c r="S194" s="38" t="str">
        <f ca="1">IF(INDIRECT("Dashboard!L"&amp;((ROW()+1)/3+2))="","",INDIRECT("Dashboard!L"&amp;((ROW()+1)/3+2)))</f>
        <v/>
      </c>
      <c r="T194" s="116" t="str">
        <f ca="1">IF(C197="]);",LEFT(T193,2),T193)</f>
        <v>"},</v>
      </c>
      <c r="V194" s="32" t="str">
        <f t="shared" ca="1" si="33"/>
        <v/>
      </c>
      <c r="W194" s="37" t="s">
        <v>2</v>
      </c>
      <c r="X194" s="32" t="str">
        <f ca="1">G194&amp;" : "&amp;INDIRECT("Dashboard!G"&amp;((ROW()+1)/3+2))</f>
        <v>"9.3" : Note : 2. unauthorized intrusion (humans and other animals, Fire, smoke and other object to be evaluated). For other details, refer usecase document.</v>
      </c>
    </row>
    <row r="195" spans="1:24" ht="15" thickBot="1">
      <c r="A195" s="36"/>
      <c r="C195" s="28" t="str">
        <f ca="1">IF(OR(INDIRECT("Dashboard!B"&amp;(ROW()/3+2))&lt;&gt;"&gt;",AND(Q195="",S195="")),"//","")</f>
        <v>//</v>
      </c>
      <c r="D195" s="43" t="str">
        <f t="shared" si="27"/>
        <v xml:space="preserve">{"id": </v>
      </c>
      <c r="E195" s="29">
        <f t="shared" si="34"/>
        <v>192</v>
      </c>
      <c r="F195" s="43" t="str">
        <f t="shared" si="35"/>
        <v>, "group":</v>
      </c>
      <c r="G195" s="43" t="str">
        <f ca="1">G194</f>
        <v>"9.3"</v>
      </c>
      <c r="H195" s="43" t="str">
        <f t="shared" si="36"/>
        <v>, "subgroup": "</v>
      </c>
      <c r="I195" s="43" t="s">
        <v>397</v>
      </c>
      <c r="J195" s="43" t="str">
        <f t="shared" si="28"/>
        <v>", "subgroupOrder":</v>
      </c>
      <c r="K195" s="43">
        <v>0</v>
      </c>
      <c r="L195" s="43" t="str">
        <f t="shared" si="29"/>
        <v>, "className": "</v>
      </c>
      <c r="M195" s="29" t="str">
        <f t="shared" si="37"/>
        <v>orange</v>
      </c>
      <c r="N195" s="43" t="str">
        <f t="shared" si="30"/>
        <v>", "content": "</v>
      </c>
      <c r="O195" s="49" t="s">
        <v>392</v>
      </c>
      <c r="P195" s="43" t="str">
        <f t="shared" si="31"/>
        <v>", "start": "</v>
      </c>
      <c r="Q195" s="44" t="str">
        <f ca="1">S194</f>
        <v/>
      </c>
      <c r="R195" s="43" t="str">
        <f t="shared" si="32"/>
        <v>", "end": "</v>
      </c>
      <c r="S195" s="113" t="str">
        <f ca="1">IF(INDIRECT("Dashboard!M"&amp;(ROW()/3+2))="","",INDIRECT("Dashboard!M"&amp;(ROW()/3+2)))</f>
        <v/>
      </c>
      <c r="T195" s="117" t="str">
        <f ca="1">IF(C197="]);",LEFT(T194,2),T194)</f>
        <v>"},</v>
      </c>
      <c r="V195" s="32" t="str">
        <f t="shared" ca="1" si="33"/>
        <v/>
      </c>
      <c r="W195" s="37" t="s">
        <v>2</v>
      </c>
    </row>
    <row r="196" spans="1:24">
      <c r="A196" s="36"/>
      <c r="C196" s="25"/>
      <c r="D196" s="41" t="str">
        <f t="shared" si="27"/>
        <v xml:space="preserve">{"id": </v>
      </c>
      <c r="E196" s="26">
        <f t="shared" si="34"/>
        <v>193</v>
      </c>
      <c r="F196" s="41" t="str">
        <f t="shared" si="35"/>
        <v>, "group":</v>
      </c>
      <c r="G196" s="111" t="str">
        <f ca="1">CHAR(34)&amp;INDIRECT("Dashboard!A"&amp;(ROW()-1)/3+3)&amp;CHAR(34)</f>
        <v>"9.4"</v>
      </c>
      <c r="H196" s="41" t="str">
        <f t="shared" si="36"/>
        <v>, "subgroup": "</v>
      </c>
      <c r="I196" s="41" t="s">
        <v>396</v>
      </c>
      <c r="J196" s="41" t="str">
        <f t="shared" si="28"/>
        <v>", "subgroupOrder":</v>
      </c>
      <c r="K196" s="41">
        <v>1</v>
      </c>
      <c r="L196" s="41" t="str">
        <f t="shared" si="29"/>
        <v>, "className": "</v>
      </c>
      <c r="M196" s="26" t="str">
        <f t="shared" si="37"/>
        <v>gray</v>
      </c>
      <c r="N196" s="41" t="str">
        <f t="shared" si="30"/>
        <v>", "content": "</v>
      </c>
      <c r="O196" s="40" t="s">
        <v>388</v>
      </c>
      <c r="P196" s="41" t="str">
        <f t="shared" si="31"/>
        <v>", "start": "</v>
      </c>
      <c r="Q196" s="42">
        <f ca="1">IF(INDIRECT("Dashboard!I"&amp;(ROW()-1)/3+3)="","",INDIRECT("Dashboard!I"&amp;(ROW()-1)/3+3))</f>
        <v>45293</v>
      </c>
      <c r="R196" s="41" t="str">
        <f t="shared" si="32"/>
        <v>", "end": "</v>
      </c>
      <c r="S196" s="42">
        <f ca="1">IF(INDIRECT("Dashboard!J"&amp;(ROW()-1)/3+3)="","",INDIRECT("Dashboard!J"&amp;(ROW()-1)/3+3))</f>
        <v>45412</v>
      </c>
      <c r="T196" s="118" t="str">
        <f ca="1">IF(C200="]);",LEFT(T195,2),T195)</f>
        <v>"},</v>
      </c>
      <c r="V196" s="32" t="str">
        <f t="shared" ca="1" si="33"/>
        <v>{"id": 193, "group":"9.4", "subgroup": "plan", "subgroupOrder":1, "className": "gray", "content": "Planned", "start": "2024-01-02", "end": "2024-04-30"},</v>
      </c>
      <c r="W196" s="37" t="s">
        <v>2</v>
      </c>
    </row>
    <row r="197" spans="1:24">
      <c r="A197" s="36"/>
      <c r="C197" s="31" t="str">
        <f ca="1">IF(AND(Q197="", S197=""),"//","")</f>
        <v>//</v>
      </c>
      <c r="D197" s="37" t="str">
        <f t="shared" ref="D197:D260" si="38">D196</f>
        <v xml:space="preserve">{"id": </v>
      </c>
      <c r="E197" s="32">
        <f t="shared" si="34"/>
        <v>194</v>
      </c>
      <c r="F197" s="37" t="str">
        <f t="shared" si="35"/>
        <v>, "group":</v>
      </c>
      <c r="G197" s="37" t="str">
        <f ca="1">G196</f>
        <v>"9.4"</v>
      </c>
      <c r="H197" s="37" t="str">
        <f t="shared" si="36"/>
        <v>, "subgroup": "</v>
      </c>
      <c r="I197" s="37" t="s">
        <v>397</v>
      </c>
      <c r="J197" s="37" t="str">
        <f t="shared" ref="J197:J260" si="39">J196</f>
        <v>", "subgroupOrder":</v>
      </c>
      <c r="K197" s="37">
        <v>0</v>
      </c>
      <c r="L197" s="37" t="str">
        <f t="shared" ref="L197:L260" si="40">L196</f>
        <v>, "className": "</v>
      </c>
      <c r="M197" s="32" t="str">
        <f t="shared" ca="1" si="37"/>
        <v>pink-white</v>
      </c>
      <c r="N197" s="37" t="str">
        <f t="shared" ref="N197:N260" si="41">N196</f>
        <v>", "content": "</v>
      </c>
      <c r="O197" s="34" t="str">
        <f ca="1">IF(INDIRECT("Dashboard!P"&amp;((ROW()+1)/3+2))=1,"Completed",IF(INDIRECT("Dashboard!P"&amp;((ROW()+1)/3+2))="","","Pending"))</f>
        <v>Pending</v>
      </c>
      <c r="P197" s="37" t="str">
        <f t="shared" ref="P197:P260" si="42">P196</f>
        <v>", "start": "</v>
      </c>
      <c r="Q197" s="38" t="str">
        <f ca="1">IF(INDIRECT("Dashboard!K"&amp;((ROW()+1)/3+2))="","",INDIRECT("Dashboard!K"&amp;((ROW()+1)/3+2)))</f>
        <v/>
      </c>
      <c r="R197" s="37" t="str">
        <f t="shared" ref="R197:R260" si="43">R196</f>
        <v>", "end": "</v>
      </c>
      <c r="S197" s="38" t="str">
        <f ca="1">IF(INDIRECT("Dashboard!L"&amp;((ROW()+1)/3+2))="","",INDIRECT("Dashboard!L"&amp;((ROW()+1)/3+2)))</f>
        <v/>
      </c>
      <c r="T197" s="116" t="str">
        <f ca="1">IF(C200="]);",LEFT(T196,2),T196)</f>
        <v>"},</v>
      </c>
      <c r="V197" s="32" t="str">
        <f t="shared" ref="V197:V260" ca="1" si="44">IF(C197&lt;&gt;"//",D197&amp;E197&amp;F197&amp;G197&amp;H197&amp;I197&amp;J197&amp;K197&amp;L197&amp;M197&amp;N197&amp;O197&amp;P197&amp;TEXT(Q197,"yyyy-mm-dd")&amp;R197&amp;TEXT(S197,"yyyy-mm-dd")&amp;T197,"")</f>
        <v/>
      </c>
      <c r="W197" s="37" t="s">
        <v>2</v>
      </c>
      <c r="X197" s="32" t="str">
        <f ca="1">G197&amp;" : "&amp;INDIRECT("Dashboard!G"&amp;((ROW()+1)/3+2))</f>
        <v>"9.4" : Technical design document explaining the data schema and algorithm</v>
      </c>
    </row>
    <row r="198" spans="1:24" ht="15" thickBot="1">
      <c r="A198" s="36"/>
      <c r="C198" s="28" t="str">
        <f ca="1">IF(OR(INDIRECT("Dashboard!B"&amp;(ROW()/3+2))&lt;&gt;"&gt;",AND(Q198="",S198="")),"//","")</f>
        <v>//</v>
      </c>
      <c r="D198" s="43" t="str">
        <f t="shared" si="38"/>
        <v xml:space="preserve">{"id": </v>
      </c>
      <c r="E198" s="29">
        <f t="shared" si="34"/>
        <v>195</v>
      </c>
      <c r="F198" s="43" t="str">
        <f t="shared" si="35"/>
        <v>, "group":</v>
      </c>
      <c r="G198" s="43" t="str">
        <f ca="1">G197</f>
        <v>"9.4"</v>
      </c>
      <c r="H198" s="43" t="str">
        <f t="shared" si="36"/>
        <v>, "subgroup": "</v>
      </c>
      <c r="I198" s="43" t="s">
        <v>397</v>
      </c>
      <c r="J198" s="43" t="str">
        <f t="shared" si="39"/>
        <v>", "subgroupOrder":</v>
      </c>
      <c r="K198" s="43">
        <v>0</v>
      </c>
      <c r="L198" s="43" t="str">
        <f t="shared" si="40"/>
        <v>, "className": "</v>
      </c>
      <c r="M198" s="29" t="str">
        <f t="shared" si="37"/>
        <v>orange</v>
      </c>
      <c r="N198" s="43" t="str">
        <f t="shared" si="41"/>
        <v>", "content": "</v>
      </c>
      <c r="O198" s="49" t="s">
        <v>392</v>
      </c>
      <c r="P198" s="43" t="str">
        <f t="shared" si="42"/>
        <v>", "start": "</v>
      </c>
      <c r="Q198" s="44" t="str">
        <f ca="1">S197</f>
        <v/>
      </c>
      <c r="R198" s="43" t="str">
        <f t="shared" si="43"/>
        <v>", "end": "</v>
      </c>
      <c r="S198" s="113" t="str">
        <f ca="1">IF(INDIRECT("Dashboard!M"&amp;(ROW()/3+2))="","",INDIRECT("Dashboard!M"&amp;(ROW()/3+2)))</f>
        <v/>
      </c>
      <c r="T198" s="117" t="str">
        <f ca="1">IF(C200="]);",LEFT(T197,2),T197)</f>
        <v>"},</v>
      </c>
      <c r="V198" s="32" t="str">
        <f t="shared" ca="1" si="44"/>
        <v/>
      </c>
      <c r="W198" s="37" t="s">
        <v>2</v>
      </c>
    </row>
    <row r="199" spans="1:24">
      <c r="A199" s="36"/>
      <c r="C199" s="25"/>
      <c r="D199" s="41" t="str">
        <f t="shared" si="38"/>
        <v xml:space="preserve">{"id": </v>
      </c>
      <c r="E199" s="26">
        <f t="shared" ref="E199:E262" si="45">E198+1</f>
        <v>196</v>
      </c>
      <c r="F199" s="41" t="str">
        <f t="shared" ref="F199:F262" si="46">F198</f>
        <v>, "group":</v>
      </c>
      <c r="G199" s="111" t="str">
        <f ca="1">CHAR(34)&amp;INDIRECT("Dashboard!A"&amp;(ROW()-1)/3+3)&amp;CHAR(34)</f>
        <v>"9.5"</v>
      </c>
      <c r="H199" s="41" t="str">
        <f t="shared" ref="H199:H262" si="47">H198</f>
        <v>, "subgroup": "</v>
      </c>
      <c r="I199" s="41" t="s">
        <v>396</v>
      </c>
      <c r="J199" s="41" t="str">
        <f t="shared" si="39"/>
        <v>", "subgroupOrder":</v>
      </c>
      <c r="K199" s="41">
        <v>1</v>
      </c>
      <c r="L199" s="41" t="str">
        <f t="shared" si="40"/>
        <v>, "className": "</v>
      </c>
      <c r="M199" s="26" t="str">
        <f t="shared" si="37"/>
        <v>gray</v>
      </c>
      <c r="N199" s="41" t="str">
        <f t="shared" si="41"/>
        <v>", "content": "</v>
      </c>
      <c r="O199" s="40" t="s">
        <v>388</v>
      </c>
      <c r="P199" s="41" t="str">
        <f t="shared" si="42"/>
        <v>", "start": "</v>
      </c>
      <c r="Q199" s="42">
        <f ca="1">IF(INDIRECT("Dashboard!I"&amp;(ROW()-1)/3+3)="","",INDIRECT("Dashboard!I"&amp;(ROW()-1)/3+3))</f>
        <v>45293</v>
      </c>
      <c r="R199" s="41" t="str">
        <f t="shared" si="43"/>
        <v>", "end": "</v>
      </c>
      <c r="S199" s="42">
        <f ca="1">IF(INDIRECT("Dashboard!J"&amp;(ROW()-1)/3+3)="","",INDIRECT("Dashboard!J"&amp;(ROW()-1)/3+3))</f>
        <v>45412</v>
      </c>
      <c r="T199" s="118" t="str">
        <f ca="1">IF(C203="]);",LEFT(T198,2),T198)</f>
        <v>"},</v>
      </c>
      <c r="V199" s="32" t="str">
        <f t="shared" ca="1" si="44"/>
        <v>{"id": 196, "group":"9.5", "subgroup": "plan", "subgroupOrder":1, "className": "gray", "content": "Planned", "start": "2024-01-02", "end": "2024-04-30"},</v>
      </c>
      <c r="W199" s="37" t="s">
        <v>2</v>
      </c>
    </row>
    <row r="200" spans="1:24">
      <c r="A200" s="36"/>
      <c r="C200" s="31" t="str">
        <f ca="1">IF(AND(Q200="", S200=""),"//","")</f>
        <v>//</v>
      </c>
      <c r="D200" s="37" t="str">
        <f t="shared" si="38"/>
        <v xml:space="preserve">{"id": </v>
      </c>
      <c r="E200" s="32">
        <f t="shared" si="45"/>
        <v>197</v>
      </c>
      <c r="F200" s="37" t="str">
        <f t="shared" si="46"/>
        <v>, "group":</v>
      </c>
      <c r="G200" s="37" t="str">
        <f ca="1">G199</f>
        <v>"9.5"</v>
      </c>
      <c r="H200" s="37" t="str">
        <f t="shared" si="47"/>
        <v>, "subgroup": "</v>
      </c>
      <c r="I200" s="37" t="s">
        <v>397</v>
      </c>
      <c r="J200" s="37" t="str">
        <f t="shared" si="39"/>
        <v>", "subgroupOrder":</v>
      </c>
      <c r="K200" s="37">
        <v>0</v>
      </c>
      <c r="L200" s="37" t="str">
        <f t="shared" si="40"/>
        <v>, "className": "</v>
      </c>
      <c r="M200" s="32" t="str">
        <f t="shared" ca="1" si="37"/>
        <v>pink-white</v>
      </c>
      <c r="N200" s="37" t="str">
        <f t="shared" si="41"/>
        <v>", "content": "</v>
      </c>
      <c r="O200" s="34" t="str">
        <f ca="1">IF(INDIRECT("Dashboard!P"&amp;((ROW()+1)/3+2))=1,"Completed",IF(INDIRECT("Dashboard!P"&amp;((ROW()+1)/3+2))="","","Pending"))</f>
        <v>Pending</v>
      </c>
      <c r="P200" s="37" t="str">
        <f t="shared" si="42"/>
        <v>", "start": "</v>
      </c>
      <c r="Q200" s="38" t="str">
        <f ca="1">IF(INDIRECT("Dashboard!K"&amp;((ROW()+1)/3+2))="","",INDIRECT("Dashboard!K"&amp;((ROW()+1)/3+2)))</f>
        <v/>
      </c>
      <c r="R200" s="37" t="str">
        <f t="shared" si="43"/>
        <v>", "end": "</v>
      </c>
      <c r="S200" s="38" t="str">
        <f ca="1">IF(INDIRECT("Dashboard!L"&amp;((ROW()+1)/3+2))="","",INDIRECT("Dashboard!L"&amp;((ROW()+1)/3+2)))</f>
        <v/>
      </c>
      <c r="T200" s="116" t="str">
        <f ca="1">IF(C203="]);",LEFT(T199,2),T199)</f>
        <v>"},</v>
      </c>
      <c r="V200" s="32" t="str">
        <f t="shared" ca="1" si="44"/>
        <v/>
      </c>
      <c r="W200" s="37" t="s">
        <v>2</v>
      </c>
      <c r="X200" s="32" t="str">
        <f ca="1">G200&amp;" : "&amp;INDIRECT("Dashboard!G"&amp;((ROW()+1)/3+2))</f>
        <v>"9.5" : Software Code</v>
      </c>
    </row>
    <row r="201" spans="1:24" ht="15" thickBot="1">
      <c r="A201" s="36"/>
      <c r="C201" s="28" t="str">
        <f ca="1">IF(OR(INDIRECT("Dashboard!B"&amp;(ROW()/3+2))&lt;&gt;"&gt;",AND(Q201="",S201="")),"//","")</f>
        <v>//</v>
      </c>
      <c r="D201" s="43" t="str">
        <f t="shared" si="38"/>
        <v xml:space="preserve">{"id": </v>
      </c>
      <c r="E201" s="29">
        <f t="shared" si="45"/>
        <v>198</v>
      </c>
      <c r="F201" s="43" t="str">
        <f t="shared" si="46"/>
        <v>, "group":</v>
      </c>
      <c r="G201" s="43" t="str">
        <f ca="1">G200</f>
        <v>"9.5"</v>
      </c>
      <c r="H201" s="43" t="str">
        <f t="shared" si="47"/>
        <v>, "subgroup": "</v>
      </c>
      <c r="I201" s="43" t="s">
        <v>397</v>
      </c>
      <c r="J201" s="43" t="str">
        <f t="shared" si="39"/>
        <v>", "subgroupOrder":</v>
      </c>
      <c r="K201" s="43">
        <v>0</v>
      </c>
      <c r="L201" s="43" t="str">
        <f t="shared" si="40"/>
        <v>, "className": "</v>
      </c>
      <c r="M201" s="29" t="str">
        <f t="shared" si="37"/>
        <v>orange</v>
      </c>
      <c r="N201" s="43" t="str">
        <f t="shared" si="41"/>
        <v>", "content": "</v>
      </c>
      <c r="O201" s="49" t="s">
        <v>392</v>
      </c>
      <c r="P201" s="43" t="str">
        <f t="shared" si="42"/>
        <v>", "start": "</v>
      </c>
      <c r="Q201" s="44" t="str">
        <f ca="1">S200</f>
        <v/>
      </c>
      <c r="R201" s="43" t="str">
        <f t="shared" si="43"/>
        <v>", "end": "</v>
      </c>
      <c r="S201" s="113" t="str">
        <f ca="1">IF(INDIRECT("Dashboard!M"&amp;(ROW()/3+2))="","",INDIRECT("Dashboard!M"&amp;(ROW()/3+2)))</f>
        <v/>
      </c>
      <c r="T201" s="117" t="str">
        <f ca="1">IF(C203="]);",LEFT(T200,2),T200)</f>
        <v>"},</v>
      </c>
      <c r="V201" s="32" t="str">
        <f t="shared" ca="1" si="44"/>
        <v/>
      </c>
      <c r="W201" s="37" t="s">
        <v>2</v>
      </c>
    </row>
    <row r="202" spans="1:24">
      <c r="A202" s="36"/>
      <c r="C202" s="25"/>
      <c r="D202" s="41" t="str">
        <f t="shared" si="38"/>
        <v xml:space="preserve">{"id": </v>
      </c>
      <c r="E202" s="26">
        <f t="shared" si="45"/>
        <v>199</v>
      </c>
      <c r="F202" s="41" t="str">
        <f t="shared" si="46"/>
        <v>, "group":</v>
      </c>
      <c r="G202" s="111" t="str">
        <f ca="1">CHAR(34)&amp;INDIRECT("Dashboard!A"&amp;(ROW()-1)/3+3)&amp;CHAR(34)</f>
        <v>"9.6"</v>
      </c>
      <c r="H202" s="41" t="str">
        <f t="shared" si="47"/>
        <v>, "subgroup": "</v>
      </c>
      <c r="I202" s="41" t="s">
        <v>396</v>
      </c>
      <c r="J202" s="41" t="str">
        <f t="shared" si="39"/>
        <v>", "subgroupOrder":</v>
      </c>
      <c r="K202" s="41">
        <v>1</v>
      </c>
      <c r="L202" s="41" t="str">
        <f t="shared" si="40"/>
        <v>, "className": "</v>
      </c>
      <c r="M202" s="26" t="str">
        <f t="shared" si="37"/>
        <v>gray</v>
      </c>
      <c r="N202" s="41" t="str">
        <f t="shared" si="41"/>
        <v>", "content": "</v>
      </c>
      <c r="O202" s="40" t="s">
        <v>388</v>
      </c>
      <c r="P202" s="41" t="str">
        <f t="shared" si="42"/>
        <v>", "start": "</v>
      </c>
      <c r="Q202" s="42">
        <f ca="1">IF(INDIRECT("Dashboard!I"&amp;(ROW()-1)/3+3)="","",INDIRECT("Dashboard!I"&amp;(ROW()-1)/3+3))</f>
        <v>45293</v>
      </c>
      <c r="R202" s="41" t="str">
        <f t="shared" si="43"/>
        <v>", "end": "</v>
      </c>
      <c r="S202" s="42">
        <f ca="1">IF(INDIRECT("Dashboard!J"&amp;(ROW()-1)/3+3)="","",INDIRECT("Dashboard!J"&amp;(ROW()-1)/3+3))</f>
        <v>45412</v>
      </c>
      <c r="T202" s="118" t="str">
        <f ca="1">IF(C206="]);",LEFT(T201,2),T201)</f>
        <v>"},</v>
      </c>
      <c r="V202" s="32" t="str">
        <f t="shared" ca="1" si="44"/>
        <v>{"id": 199, "group":"9.6", "subgroup": "plan", "subgroupOrder":1, "className": "gray", "content": "Planned", "start": "2024-01-02", "end": "2024-04-30"},</v>
      </c>
      <c r="W202" s="37" t="s">
        <v>2</v>
      </c>
    </row>
    <row r="203" spans="1:24">
      <c r="A203" s="36"/>
      <c r="C203" s="31" t="str">
        <f ca="1">IF(AND(Q203="", S203=""),"//","")</f>
        <v>//</v>
      </c>
      <c r="D203" s="37" t="str">
        <f t="shared" si="38"/>
        <v xml:space="preserve">{"id": </v>
      </c>
      <c r="E203" s="32">
        <f t="shared" si="45"/>
        <v>200</v>
      </c>
      <c r="F203" s="37" t="str">
        <f t="shared" si="46"/>
        <v>, "group":</v>
      </c>
      <c r="G203" s="37" t="str">
        <f ca="1">G202</f>
        <v>"9.6"</v>
      </c>
      <c r="H203" s="37" t="str">
        <f t="shared" si="47"/>
        <v>, "subgroup": "</v>
      </c>
      <c r="I203" s="37" t="s">
        <v>397</v>
      </c>
      <c r="J203" s="37" t="str">
        <f t="shared" si="39"/>
        <v>", "subgroupOrder":</v>
      </c>
      <c r="K203" s="37">
        <v>0</v>
      </c>
      <c r="L203" s="37" t="str">
        <f t="shared" si="40"/>
        <v>, "className": "</v>
      </c>
      <c r="M203" s="32" t="str">
        <f t="shared" ca="1" si="37"/>
        <v>pink-white</v>
      </c>
      <c r="N203" s="37" t="str">
        <f t="shared" si="41"/>
        <v>", "content": "</v>
      </c>
      <c r="O203" s="34" t="str">
        <f ca="1">IF(INDIRECT("Dashboard!P"&amp;((ROW()+1)/3+2))=1,"Completed",IF(INDIRECT("Dashboard!P"&amp;((ROW()+1)/3+2))="","","Pending"))</f>
        <v>Pending</v>
      </c>
      <c r="P203" s="37" t="str">
        <f t="shared" si="42"/>
        <v>", "start": "</v>
      </c>
      <c r="Q203" s="38" t="str">
        <f ca="1">IF(INDIRECT("Dashboard!K"&amp;((ROW()+1)/3+2))="","",INDIRECT("Dashboard!K"&amp;((ROW()+1)/3+2)))</f>
        <v/>
      </c>
      <c r="R203" s="37" t="str">
        <f t="shared" si="43"/>
        <v>", "end": "</v>
      </c>
      <c r="S203" s="38" t="str">
        <f ca="1">IF(INDIRECT("Dashboard!L"&amp;((ROW()+1)/3+2))="","",INDIRECT("Dashboard!L"&amp;((ROW()+1)/3+2)))</f>
        <v/>
      </c>
      <c r="T203" s="116" t="str">
        <f ca="1">IF(C206="]);",LEFT(T202,2),T202)</f>
        <v>"},</v>
      </c>
      <c r="V203" s="32" t="str">
        <f t="shared" ca="1" si="44"/>
        <v/>
      </c>
      <c r="W203" s="37" t="s">
        <v>2</v>
      </c>
      <c r="X203" s="32" t="str">
        <f ca="1">G203&amp;" : "&amp;INDIRECT("Dashboard!G"&amp;((ROW()+1)/3+2))</f>
        <v>"9.6" : Deployment Procedure of the code</v>
      </c>
    </row>
    <row r="204" spans="1:24" ht="15" thickBot="1">
      <c r="A204" s="36"/>
      <c r="C204" s="28" t="str">
        <f ca="1">IF(OR(INDIRECT("Dashboard!B"&amp;(ROW()/3+2))&lt;&gt;"&gt;",AND(Q204="",S204="")),"//","")</f>
        <v>//</v>
      </c>
      <c r="D204" s="43" t="str">
        <f t="shared" si="38"/>
        <v xml:space="preserve">{"id": </v>
      </c>
      <c r="E204" s="29">
        <f t="shared" si="45"/>
        <v>201</v>
      </c>
      <c r="F204" s="43" t="str">
        <f t="shared" si="46"/>
        <v>, "group":</v>
      </c>
      <c r="G204" s="43" t="str">
        <f ca="1">G203</f>
        <v>"9.6"</v>
      </c>
      <c r="H204" s="43" t="str">
        <f t="shared" si="47"/>
        <v>, "subgroup": "</v>
      </c>
      <c r="I204" s="43" t="s">
        <v>397</v>
      </c>
      <c r="J204" s="43" t="str">
        <f t="shared" si="39"/>
        <v>", "subgroupOrder":</v>
      </c>
      <c r="K204" s="43">
        <v>0</v>
      </c>
      <c r="L204" s="43" t="str">
        <f t="shared" si="40"/>
        <v>, "className": "</v>
      </c>
      <c r="M204" s="29" t="str">
        <f t="shared" si="37"/>
        <v>orange</v>
      </c>
      <c r="N204" s="43" t="str">
        <f t="shared" si="41"/>
        <v>", "content": "</v>
      </c>
      <c r="O204" s="49" t="s">
        <v>392</v>
      </c>
      <c r="P204" s="43" t="str">
        <f t="shared" si="42"/>
        <v>", "start": "</v>
      </c>
      <c r="Q204" s="44" t="str">
        <f ca="1">S203</f>
        <v/>
      </c>
      <c r="R204" s="43" t="str">
        <f t="shared" si="43"/>
        <v>", "end": "</v>
      </c>
      <c r="S204" s="113" t="str">
        <f ca="1">IF(INDIRECT("Dashboard!M"&amp;(ROW()/3+2))="","",INDIRECT("Dashboard!M"&amp;(ROW()/3+2)))</f>
        <v/>
      </c>
      <c r="T204" s="117" t="str">
        <f ca="1">IF(C206="]);",LEFT(T203,2),T203)</f>
        <v>"},</v>
      </c>
      <c r="V204" s="32" t="str">
        <f t="shared" ca="1" si="44"/>
        <v/>
      </c>
      <c r="W204" s="37" t="s">
        <v>2</v>
      </c>
    </row>
    <row r="205" spans="1:24">
      <c r="A205" s="36"/>
      <c r="C205" s="25"/>
      <c r="D205" s="41" t="str">
        <f t="shared" si="38"/>
        <v xml:space="preserve">{"id": </v>
      </c>
      <c r="E205" s="26">
        <f t="shared" si="45"/>
        <v>202</v>
      </c>
      <c r="F205" s="41" t="str">
        <f t="shared" si="46"/>
        <v>, "group":</v>
      </c>
      <c r="G205" s="111" t="str">
        <f ca="1">CHAR(34)&amp;INDIRECT("Dashboard!A"&amp;(ROW()-1)/3+3)&amp;CHAR(34)</f>
        <v>"9.7"</v>
      </c>
      <c r="H205" s="41" t="str">
        <f t="shared" si="47"/>
        <v>, "subgroup": "</v>
      </c>
      <c r="I205" s="41" t="s">
        <v>396</v>
      </c>
      <c r="J205" s="41" t="str">
        <f t="shared" si="39"/>
        <v>", "subgroupOrder":</v>
      </c>
      <c r="K205" s="41">
        <v>1</v>
      </c>
      <c r="L205" s="41" t="str">
        <f t="shared" si="40"/>
        <v>, "className": "</v>
      </c>
      <c r="M205" s="26" t="str">
        <f t="shared" si="37"/>
        <v>gray</v>
      </c>
      <c r="N205" s="41" t="str">
        <f t="shared" si="41"/>
        <v>", "content": "</v>
      </c>
      <c r="O205" s="40" t="s">
        <v>388</v>
      </c>
      <c r="P205" s="41" t="str">
        <f t="shared" si="42"/>
        <v>", "start": "</v>
      </c>
      <c r="Q205" s="42">
        <f ca="1">IF(INDIRECT("Dashboard!I"&amp;(ROW()-1)/3+3)="","",INDIRECT("Dashboard!I"&amp;(ROW()-1)/3+3))</f>
        <v>45293</v>
      </c>
      <c r="R205" s="41" t="str">
        <f t="shared" si="43"/>
        <v>", "end": "</v>
      </c>
      <c r="S205" s="42">
        <f ca="1">IF(INDIRECT("Dashboard!J"&amp;(ROW()-1)/3+3)="","",INDIRECT("Dashboard!J"&amp;(ROW()-1)/3+3))</f>
        <v>45412</v>
      </c>
      <c r="T205" s="118" t="str">
        <f ca="1">IF(C209="]);",LEFT(T204,2),T204)</f>
        <v>"},</v>
      </c>
      <c r="V205" s="32" t="str">
        <f t="shared" ca="1" si="44"/>
        <v>{"id": 202, "group":"9.7", "subgroup": "plan", "subgroupOrder":1, "className": "gray", "content": "Planned", "start": "2024-01-02", "end": "2024-04-30"},</v>
      </c>
      <c r="W205" s="37" t="s">
        <v>2</v>
      </c>
    </row>
    <row r="206" spans="1:24">
      <c r="A206" s="36"/>
      <c r="C206" s="31" t="str">
        <f ca="1">IF(AND(Q206="", S206=""),"//","")</f>
        <v>//</v>
      </c>
      <c r="D206" s="37" t="str">
        <f t="shared" si="38"/>
        <v xml:space="preserve">{"id": </v>
      </c>
      <c r="E206" s="32">
        <f t="shared" si="45"/>
        <v>203</v>
      </c>
      <c r="F206" s="37" t="str">
        <f t="shared" si="46"/>
        <v>, "group":</v>
      </c>
      <c r="G206" s="37" t="str">
        <f ca="1">G205</f>
        <v>"9.7"</v>
      </c>
      <c r="H206" s="37" t="str">
        <f t="shared" si="47"/>
        <v>, "subgroup": "</v>
      </c>
      <c r="I206" s="37" t="s">
        <v>397</v>
      </c>
      <c r="J206" s="37" t="str">
        <f t="shared" si="39"/>
        <v>", "subgroupOrder":</v>
      </c>
      <c r="K206" s="37">
        <v>0</v>
      </c>
      <c r="L206" s="37" t="str">
        <f t="shared" si="40"/>
        <v>, "className": "</v>
      </c>
      <c r="M206" s="32" t="str">
        <f t="shared" ca="1" si="37"/>
        <v>pink-white</v>
      </c>
      <c r="N206" s="37" t="str">
        <f t="shared" si="41"/>
        <v>", "content": "</v>
      </c>
      <c r="O206" s="34" t="str">
        <f ca="1">IF(INDIRECT("Dashboard!P"&amp;((ROW()+1)/3+2))=1,"Completed",IF(INDIRECT("Dashboard!P"&amp;((ROW()+1)/3+2))="","","Pending"))</f>
        <v>Pending</v>
      </c>
      <c r="P206" s="37" t="str">
        <f t="shared" si="42"/>
        <v>", "start": "</v>
      </c>
      <c r="Q206" s="38" t="str">
        <f ca="1">IF(INDIRECT("Dashboard!K"&amp;((ROW()+1)/3+2))="","",INDIRECT("Dashboard!K"&amp;((ROW()+1)/3+2)))</f>
        <v/>
      </c>
      <c r="R206" s="37" t="str">
        <f t="shared" si="43"/>
        <v>", "end": "</v>
      </c>
      <c r="S206" s="38" t="str">
        <f ca="1">IF(INDIRECT("Dashboard!L"&amp;((ROW()+1)/3+2))="","",INDIRECT("Dashboard!L"&amp;((ROW()+1)/3+2)))</f>
        <v/>
      </c>
      <c r="T206" s="116" t="str">
        <f ca="1">IF(C209="]);",LEFT(T205,2),T205)</f>
        <v>"},</v>
      </c>
      <c r="V206" s="32" t="str">
        <f t="shared" ca="1" si="44"/>
        <v/>
      </c>
      <c r="W206" s="37" t="s">
        <v>2</v>
      </c>
      <c r="X206" s="32" t="str">
        <f ca="1">G206&amp;" : "&amp;INDIRECT("Dashboard!G"&amp;((ROW()+1)/3+2))</f>
        <v>"9.7" : Product usage guide with examples for all the functional usecases</v>
      </c>
    </row>
    <row r="207" spans="1:24" ht="15" thickBot="1">
      <c r="A207" s="36"/>
      <c r="C207" s="28" t="str">
        <f ca="1">IF(OR(INDIRECT("Dashboard!B"&amp;(ROW()/3+2))&lt;&gt;"&gt;",AND(Q207="",S207="")),"//","")</f>
        <v>//</v>
      </c>
      <c r="D207" s="43" t="str">
        <f t="shared" si="38"/>
        <v xml:space="preserve">{"id": </v>
      </c>
      <c r="E207" s="29">
        <f t="shared" si="45"/>
        <v>204</v>
      </c>
      <c r="F207" s="43" t="str">
        <f t="shared" si="46"/>
        <v>, "group":</v>
      </c>
      <c r="G207" s="43" t="str">
        <f ca="1">G206</f>
        <v>"9.7"</v>
      </c>
      <c r="H207" s="43" t="str">
        <f t="shared" si="47"/>
        <v>, "subgroup": "</v>
      </c>
      <c r="I207" s="43" t="s">
        <v>397</v>
      </c>
      <c r="J207" s="43" t="str">
        <f t="shared" si="39"/>
        <v>", "subgroupOrder":</v>
      </c>
      <c r="K207" s="43">
        <v>0</v>
      </c>
      <c r="L207" s="43" t="str">
        <f t="shared" si="40"/>
        <v>, "className": "</v>
      </c>
      <c r="M207" s="29" t="str">
        <f t="shared" si="37"/>
        <v>orange</v>
      </c>
      <c r="N207" s="43" t="str">
        <f t="shared" si="41"/>
        <v>", "content": "</v>
      </c>
      <c r="O207" s="49" t="s">
        <v>392</v>
      </c>
      <c r="P207" s="43" t="str">
        <f t="shared" si="42"/>
        <v>", "start": "</v>
      </c>
      <c r="Q207" s="44" t="str">
        <f ca="1">S206</f>
        <v/>
      </c>
      <c r="R207" s="43" t="str">
        <f t="shared" si="43"/>
        <v>", "end": "</v>
      </c>
      <c r="S207" s="113" t="str">
        <f ca="1">IF(INDIRECT("Dashboard!M"&amp;(ROW()/3+2))="","",INDIRECT("Dashboard!M"&amp;(ROW()/3+2)))</f>
        <v/>
      </c>
      <c r="T207" s="117" t="str">
        <f ca="1">IF(C209="]);",LEFT(T206,2),T206)</f>
        <v>"},</v>
      </c>
      <c r="V207" s="32" t="str">
        <f t="shared" ca="1" si="44"/>
        <v/>
      </c>
      <c r="W207" s="37" t="s">
        <v>2</v>
      </c>
    </row>
    <row r="208" spans="1:24">
      <c r="A208" s="36"/>
      <c r="C208" s="25"/>
      <c r="D208" s="41" t="str">
        <f t="shared" si="38"/>
        <v xml:space="preserve">{"id": </v>
      </c>
      <c r="E208" s="26">
        <f t="shared" si="45"/>
        <v>205</v>
      </c>
      <c r="F208" s="41" t="str">
        <f t="shared" si="46"/>
        <v>, "group":</v>
      </c>
      <c r="G208" s="111" t="str">
        <f ca="1">CHAR(34)&amp;INDIRECT("Dashboard!A"&amp;(ROW()-1)/3+3)&amp;CHAR(34)</f>
        <v>"9.8"</v>
      </c>
      <c r="H208" s="41" t="str">
        <f t="shared" si="47"/>
        <v>, "subgroup": "</v>
      </c>
      <c r="I208" s="41" t="s">
        <v>396</v>
      </c>
      <c r="J208" s="41" t="str">
        <f t="shared" si="39"/>
        <v>", "subgroupOrder":</v>
      </c>
      <c r="K208" s="41">
        <v>1</v>
      </c>
      <c r="L208" s="41" t="str">
        <f t="shared" si="40"/>
        <v>, "className": "</v>
      </c>
      <c r="M208" s="26" t="str">
        <f t="shared" si="37"/>
        <v>gray</v>
      </c>
      <c r="N208" s="41" t="str">
        <f t="shared" si="41"/>
        <v>", "content": "</v>
      </c>
      <c r="O208" s="40" t="s">
        <v>388</v>
      </c>
      <c r="P208" s="41" t="str">
        <f t="shared" si="42"/>
        <v>", "start": "</v>
      </c>
      <c r="Q208" s="42">
        <f ca="1">IF(INDIRECT("Dashboard!I"&amp;(ROW()-1)/3+3)="","",INDIRECT("Dashboard!I"&amp;(ROW()-1)/3+3))</f>
        <v>45293</v>
      </c>
      <c r="R208" s="41" t="str">
        <f t="shared" si="43"/>
        <v>", "end": "</v>
      </c>
      <c r="S208" s="42">
        <f ca="1">IF(INDIRECT("Dashboard!J"&amp;(ROW()-1)/3+3)="","",INDIRECT("Dashboard!J"&amp;(ROW()-1)/3+3))</f>
        <v>45412</v>
      </c>
      <c r="T208" s="118" t="str">
        <f ca="1">IF(C212="]);",LEFT(T207,2),T207)</f>
        <v>"},</v>
      </c>
      <c r="V208" s="32" t="str">
        <f t="shared" ca="1" si="44"/>
        <v>{"id": 205, "group":"9.8", "subgroup": "plan", "subgroupOrder":1, "className": "gray", "content": "Planned", "start": "2024-01-02", "end": "2024-04-30"},</v>
      </c>
      <c r="W208" s="37" t="s">
        <v>2</v>
      </c>
    </row>
    <row r="209" spans="1:24">
      <c r="A209" s="36"/>
      <c r="C209" s="31" t="str">
        <f ca="1">IF(AND(Q209="", S209=""),"//","")</f>
        <v>//</v>
      </c>
      <c r="D209" s="37" t="str">
        <f t="shared" si="38"/>
        <v xml:space="preserve">{"id": </v>
      </c>
      <c r="E209" s="32">
        <f t="shared" si="45"/>
        <v>206</v>
      </c>
      <c r="F209" s="37" t="str">
        <f t="shared" si="46"/>
        <v>, "group":</v>
      </c>
      <c r="G209" s="37" t="str">
        <f ca="1">G208</f>
        <v>"9.8"</v>
      </c>
      <c r="H209" s="37" t="str">
        <f t="shared" si="47"/>
        <v>, "subgroup": "</v>
      </c>
      <c r="I209" s="37" t="s">
        <v>397</v>
      </c>
      <c r="J209" s="37" t="str">
        <f t="shared" si="39"/>
        <v>", "subgroupOrder":</v>
      </c>
      <c r="K209" s="37">
        <v>0</v>
      </c>
      <c r="L209" s="37" t="str">
        <f t="shared" si="40"/>
        <v>, "className": "</v>
      </c>
      <c r="M209" s="32" t="str">
        <f t="shared" ca="1" si="37"/>
        <v>pink-white</v>
      </c>
      <c r="N209" s="37" t="str">
        <f t="shared" si="41"/>
        <v>", "content": "</v>
      </c>
      <c r="O209" s="34" t="str">
        <f ca="1">IF(INDIRECT("Dashboard!P"&amp;((ROW()+1)/3+2))=1,"Completed",IF(INDIRECT("Dashboard!P"&amp;((ROW()+1)/3+2))="","","Pending"))</f>
        <v>Pending</v>
      </c>
      <c r="P209" s="37" t="str">
        <f t="shared" si="42"/>
        <v>", "start": "</v>
      </c>
      <c r="Q209" s="38" t="str">
        <f ca="1">IF(INDIRECT("Dashboard!K"&amp;((ROW()+1)/3+2))="","",INDIRECT("Dashboard!K"&amp;((ROW()+1)/3+2)))</f>
        <v/>
      </c>
      <c r="R209" s="37" t="str">
        <f t="shared" si="43"/>
        <v>", "end": "</v>
      </c>
      <c r="S209" s="38" t="str">
        <f ca="1">IF(INDIRECT("Dashboard!L"&amp;((ROW()+1)/3+2))="","",INDIRECT("Dashboard!L"&amp;((ROW()+1)/3+2)))</f>
        <v/>
      </c>
      <c r="T209" s="116" t="str">
        <f ca="1">IF(C212="]);",LEFT(T208,2),T208)</f>
        <v>"},</v>
      </c>
      <c r="V209" s="32" t="str">
        <f t="shared" ca="1" si="44"/>
        <v/>
      </c>
      <c r="W209" s="37" t="s">
        <v>2</v>
      </c>
      <c r="X209" s="32" t="str">
        <f ca="1">G209&amp;" : "&amp;INDIRECT("Dashboard!G"&amp;((ROW()+1)/3+2))</f>
        <v xml:space="preserve">"9.8" : Test report </v>
      </c>
    </row>
    <row r="210" spans="1:24" ht="15" thickBot="1">
      <c r="A210" s="36"/>
      <c r="C210" s="28" t="str">
        <f ca="1">IF(OR(INDIRECT("Dashboard!B"&amp;(ROW()/3+2))&lt;&gt;"&gt;",AND(Q210="",S210="")),"//","")</f>
        <v>//</v>
      </c>
      <c r="D210" s="43" t="str">
        <f t="shared" si="38"/>
        <v xml:space="preserve">{"id": </v>
      </c>
      <c r="E210" s="29">
        <f t="shared" si="45"/>
        <v>207</v>
      </c>
      <c r="F210" s="43" t="str">
        <f t="shared" si="46"/>
        <v>, "group":</v>
      </c>
      <c r="G210" s="43" t="str">
        <f ca="1">G209</f>
        <v>"9.8"</v>
      </c>
      <c r="H210" s="43" t="str">
        <f t="shared" si="47"/>
        <v>, "subgroup": "</v>
      </c>
      <c r="I210" s="43" t="s">
        <v>397</v>
      </c>
      <c r="J210" s="43" t="str">
        <f t="shared" si="39"/>
        <v>", "subgroupOrder":</v>
      </c>
      <c r="K210" s="43">
        <v>0</v>
      </c>
      <c r="L210" s="43" t="str">
        <f t="shared" si="40"/>
        <v>, "className": "</v>
      </c>
      <c r="M210" s="29" t="str">
        <f t="shared" si="37"/>
        <v>orange</v>
      </c>
      <c r="N210" s="43" t="str">
        <f t="shared" si="41"/>
        <v>", "content": "</v>
      </c>
      <c r="O210" s="49" t="s">
        <v>392</v>
      </c>
      <c r="P210" s="43" t="str">
        <f t="shared" si="42"/>
        <v>", "start": "</v>
      </c>
      <c r="Q210" s="44" t="str">
        <f ca="1">S209</f>
        <v/>
      </c>
      <c r="R210" s="43" t="str">
        <f t="shared" si="43"/>
        <v>", "end": "</v>
      </c>
      <c r="S210" s="113" t="str">
        <f ca="1">IF(INDIRECT("Dashboard!M"&amp;(ROW()/3+2))="","",INDIRECT("Dashboard!M"&amp;(ROW()/3+2)))</f>
        <v/>
      </c>
      <c r="T210" s="117" t="str">
        <f ca="1">IF(C212="]);",LEFT(T209,2),T209)</f>
        <v>"},</v>
      </c>
      <c r="V210" s="32" t="str">
        <f t="shared" ca="1" si="44"/>
        <v/>
      </c>
      <c r="W210" s="37" t="s">
        <v>2</v>
      </c>
    </row>
    <row r="211" spans="1:24">
      <c r="A211" s="36"/>
      <c r="C211" s="25"/>
      <c r="D211" s="41" t="str">
        <f t="shared" si="38"/>
        <v xml:space="preserve">{"id": </v>
      </c>
      <c r="E211" s="26">
        <f t="shared" si="45"/>
        <v>208</v>
      </c>
      <c r="F211" s="41" t="str">
        <f t="shared" si="46"/>
        <v>, "group":</v>
      </c>
      <c r="G211" s="111" t="str">
        <f ca="1">CHAR(34)&amp;INDIRECT("Dashboard!A"&amp;(ROW()-1)/3+3)&amp;CHAR(34)</f>
        <v>"10"</v>
      </c>
      <c r="H211" s="41" t="str">
        <f t="shared" si="47"/>
        <v>, "subgroup": "</v>
      </c>
      <c r="I211" s="41" t="s">
        <v>396</v>
      </c>
      <c r="J211" s="41" t="str">
        <f t="shared" si="39"/>
        <v>", "subgroupOrder":</v>
      </c>
      <c r="K211" s="41">
        <v>1</v>
      </c>
      <c r="L211" s="41" t="str">
        <f t="shared" si="40"/>
        <v>, "className": "</v>
      </c>
      <c r="M211" s="26" t="str">
        <f t="shared" si="37"/>
        <v>gray</v>
      </c>
      <c r="N211" s="41" t="str">
        <f t="shared" si="41"/>
        <v>", "content": "</v>
      </c>
      <c r="O211" s="40" t="s">
        <v>388</v>
      </c>
      <c r="P211" s="41" t="str">
        <f t="shared" si="42"/>
        <v>", "start": "</v>
      </c>
      <c r="Q211" s="42">
        <f ca="1">IF(INDIRECT("Dashboard!I"&amp;(ROW()-1)/3+3)="","",INDIRECT("Dashboard!I"&amp;(ROW()-1)/3+3))</f>
        <v>45017</v>
      </c>
      <c r="R211" s="41" t="str">
        <f t="shared" si="43"/>
        <v>", "end": "</v>
      </c>
      <c r="S211" s="42">
        <f ca="1">IF(INDIRECT("Dashboard!J"&amp;(ROW()-1)/3+3)="","",INDIRECT("Dashboard!J"&amp;(ROW()-1)/3+3))</f>
        <v>45169</v>
      </c>
      <c r="T211" s="118" t="str">
        <f ca="1">IF(C215="]);",LEFT(T210,2),T210)</f>
        <v>"},</v>
      </c>
      <c r="V211" s="32" t="str">
        <f t="shared" ca="1" si="44"/>
        <v>{"id": 208, "group":"10", "subgroup": "plan", "subgroupOrder":1, "className": "gray", "content": "Planned", "start": "2023-04-01", "end": "2023-08-31"},</v>
      </c>
      <c r="W211" s="37" t="s">
        <v>2</v>
      </c>
    </row>
    <row r="212" spans="1:24">
      <c r="A212" s="36"/>
      <c r="C212" s="31" t="str">
        <f ca="1">IF(AND(Q212="", S212=""),"//","")</f>
        <v>//</v>
      </c>
      <c r="D212" s="37" t="str">
        <f t="shared" si="38"/>
        <v xml:space="preserve">{"id": </v>
      </c>
      <c r="E212" s="32">
        <f t="shared" si="45"/>
        <v>209</v>
      </c>
      <c r="F212" s="37" t="str">
        <f t="shared" si="46"/>
        <v>, "group":</v>
      </c>
      <c r="G212" s="37" t="str">
        <f ca="1">G211</f>
        <v>"10"</v>
      </c>
      <c r="H212" s="37" t="str">
        <f t="shared" si="47"/>
        <v>, "subgroup": "</v>
      </c>
      <c r="I212" s="37" t="s">
        <v>397</v>
      </c>
      <c r="J212" s="37" t="str">
        <f t="shared" si="39"/>
        <v>", "subgroupOrder":</v>
      </c>
      <c r="K212" s="37">
        <v>0</v>
      </c>
      <c r="L212" s="37" t="str">
        <f t="shared" si="40"/>
        <v>, "className": "</v>
      </c>
      <c r="M212" s="32" t="str">
        <f t="shared" ca="1" si="37"/>
        <v>pink-white</v>
      </c>
      <c r="N212" s="37" t="str">
        <f t="shared" si="41"/>
        <v>", "content": "</v>
      </c>
      <c r="O212" s="34" t="str">
        <f ca="1">IF(INDIRECT("Dashboard!P"&amp;((ROW()+1)/3+2))=1,"Completed",IF(INDIRECT("Dashboard!P"&amp;((ROW()+1)/3+2))="","","Pending"))</f>
        <v>Pending</v>
      </c>
      <c r="P212" s="37" t="str">
        <f t="shared" si="42"/>
        <v>", "start": "</v>
      </c>
      <c r="Q212" s="38" t="str">
        <f ca="1">IF(INDIRECT("Dashboard!K"&amp;((ROW()+1)/3+2))="","",INDIRECT("Dashboard!K"&amp;((ROW()+1)/3+2)))</f>
        <v/>
      </c>
      <c r="R212" s="37" t="str">
        <f t="shared" si="43"/>
        <v>", "end": "</v>
      </c>
      <c r="S212" s="38" t="str">
        <f ca="1">IF(INDIRECT("Dashboard!L"&amp;((ROW()+1)/3+2))="","",INDIRECT("Dashboard!L"&amp;((ROW()+1)/3+2)))</f>
        <v/>
      </c>
      <c r="T212" s="116" t="str">
        <f ca="1">IF(C215="]);",LEFT(T211,2),T211)</f>
        <v>"},</v>
      </c>
      <c r="V212" s="32" t="str">
        <f t="shared" ca="1" si="44"/>
        <v/>
      </c>
      <c r="W212" s="37" t="s">
        <v>2</v>
      </c>
      <c r="X212" s="32" t="str">
        <f ca="1">G212&amp;" : "&amp;INDIRECT("Dashboard!G"&amp;((ROW()+1)/3+2))</f>
        <v>"10" : M9. Decision Engine AI/ML models - NIDS</v>
      </c>
    </row>
    <row r="213" spans="1:24" ht="15" thickBot="1">
      <c r="A213" s="36"/>
      <c r="C213" s="28" t="str">
        <f ca="1">IF(OR(INDIRECT("Dashboard!B"&amp;(ROW()/3+2))&lt;&gt;"&gt;",AND(Q213="",S213="")),"//","")</f>
        <v>//</v>
      </c>
      <c r="D213" s="43" t="str">
        <f t="shared" si="38"/>
        <v xml:space="preserve">{"id": </v>
      </c>
      <c r="E213" s="29">
        <f t="shared" si="45"/>
        <v>210</v>
      </c>
      <c r="F213" s="43" t="str">
        <f t="shared" si="46"/>
        <v>, "group":</v>
      </c>
      <c r="G213" s="43" t="str">
        <f ca="1">G212</f>
        <v>"10"</v>
      </c>
      <c r="H213" s="43" t="str">
        <f t="shared" si="47"/>
        <v>, "subgroup": "</v>
      </c>
      <c r="I213" s="43" t="s">
        <v>397</v>
      </c>
      <c r="J213" s="43" t="str">
        <f t="shared" si="39"/>
        <v>", "subgroupOrder":</v>
      </c>
      <c r="K213" s="43">
        <v>0</v>
      </c>
      <c r="L213" s="43" t="str">
        <f t="shared" si="40"/>
        <v>, "className": "</v>
      </c>
      <c r="M213" s="29" t="str">
        <f t="shared" si="37"/>
        <v>orange</v>
      </c>
      <c r="N213" s="43" t="str">
        <f t="shared" si="41"/>
        <v>", "content": "</v>
      </c>
      <c r="O213" s="49" t="s">
        <v>392</v>
      </c>
      <c r="P213" s="43" t="str">
        <f t="shared" si="42"/>
        <v>", "start": "</v>
      </c>
      <c r="Q213" s="44" t="str">
        <f ca="1">S212</f>
        <v/>
      </c>
      <c r="R213" s="43" t="str">
        <f t="shared" si="43"/>
        <v>", "end": "</v>
      </c>
      <c r="S213" s="113" t="str">
        <f ca="1">IF(INDIRECT("Dashboard!M"&amp;(ROW()/3+2))="","",INDIRECT("Dashboard!M"&amp;(ROW()/3+2)))</f>
        <v/>
      </c>
      <c r="T213" s="117" t="str">
        <f ca="1">IF(C215="]);",LEFT(T212,2),T212)</f>
        <v>"},</v>
      </c>
      <c r="V213" s="32" t="str">
        <f t="shared" ca="1" si="44"/>
        <v/>
      </c>
      <c r="W213" s="37" t="s">
        <v>2</v>
      </c>
    </row>
    <row r="214" spans="1:24">
      <c r="A214" s="36"/>
      <c r="C214" s="25"/>
      <c r="D214" s="41" t="str">
        <f t="shared" si="38"/>
        <v xml:space="preserve">{"id": </v>
      </c>
      <c r="E214" s="26">
        <f t="shared" si="45"/>
        <v>211</v>
      </c>
      <c r="F214" s="41" t="str">
        <f t="shared" si="46"/>
        <v>, "group":</v>
      </c>
      <c r="G214" s="111" t="str">
        <f ca="1">CHAR(34)&amp;INDIRECT("Dashboard!A"&amp;(ROW()-1)/3+3)&amp;CHAR(34)</f>
        <v>"10.1"</v>
      </c>
      <c r="H214" s="41" t="str">
        <f t="shared" si="47"/>
        <v>, "subgroup": "</v>
      </c>
      <c r="I214" s="41" t="s">
        <v>396</v>
      </c>
      <c r="J214" s="41" t="str">
        <f t="shared" si="39"/>
        <v>", "subgroupOrder":</v>
      </c>
      <c r="K214" s="41">
        <v>1</v>
      </c>
      <c r="L214" s="41" t="str">
        <f t="shared" si="40"/>
        <v>, "className": "</v>
      </c>
      <c r="M214" s="26" t="str">
        <f t="shared" si="37"/>
        <v>gray</v>
      </c>
      <c r="N214" s="41" t="str">
        <f t="shared" si="41"/>
        <v>", "content": "</v>
      </c>
      <c r="O214" s="40" t="s">
        <v>388</v>
      </c>
      <c r="P214" s="41" t="str">
        <f t="shared" si="42"/>
        <v>", "start": "</v>
      </c>
      <c r="Q214" s="42" t="str">
        <f ca="1">IF(INDIRECT("Dashboard!I"&amp;(ROW()-1)/3+3)="","",INDIRECT("Dashboard!I"&amp;(ROW()-1)/3+3))</f>
        <v/>
      </c>
      <c r="R214" s="41" t="str">
        <f t="shared" si="43"/>
        <v>", "end": "</v>
      </c>
      <c r="S214" s="42" t="str">
        <f ca="1">IF(INDIRECT("Dashboard!J"&amp;(ROW()-1)/3+3)="","",INDIRECT("Dashboard!J"&amp;(ROW()-1)/3+3))</f>
        <v/>
      </c>
      <c r="T214" s="118" t="str">
        <f ca="1">IF(C218="]);",LEFT(T213,2),T213)</f>
        <v>"},</v>
      </c>
      <c r="V214" s="32" t="str">
        <f t="shared" ca="1" si="44"/>
        <v>{"id": 211, "group":"10.1", "subgroup": "plan", "subgroupOrder":1, "className": "gray", "content": "Planned", "start": "", "end": ""},</v>
      </c>
      <c r="W214" s="37" t="s">
        <v>2</v>
      </c>
    </row>
    <row r="215" spans="1:24">
      <c r="A215" s="36"/>
      <c r="C215" s="31" t="str">
        <f ca="1">IF(AND(Q215="", S215=""),"//","")</f>
        <v>//</v>
      </c>
      <c r="D215" s="37" t="str">
        <f t="shared" si="38"/>
        <v xml:space="preserve">{"id": </v>
      </c>
      <c r="E215" s="32">
        <f t="shared" si="45"/>
        <v>212</v>
      </c>
      <c r="F215" s="37" t="str">
        <f t="shared" si="46"/>
        <v>, "group":</v>
      </c>
      <c r="G215" s="37" t="str">
        <f ca="1">G214</f>
        <v>"10.1"</v>
      </c>
      <c r="H215" s="37" t="str">
        <f t="shared" si="47"/>
        <v>, "subgroup": "</v>
      </c>
      <c r="I215" s="37" t="s">
        <v>397</v>
      </c>
      <c r="J215" s="37" t="str">
        <f t="shared" si="39"/>
        <v>", "subgroupOrder":</v>
      </c>
      <c r="K215" s="37">
        <v>0</v>
      </c>
      <c r="L215" s="37" t="str">
        <f t="shared" si="40"/>
        <v>, "className": "</v>
      </c>
      <c r="M215" s="32" t="str">
        <f t="shared" ca="1" si="37"/>
        <v/>
      </c>
      <c r="N215" s="37" t="str">
        <f t="shared" si="41"/>
        <v>", "content": "</v>
      </c>
      <c r="O215" s="34" t="str">
        <f ca="1">IF(INDIRECT("Dashboard!P"&amp;((ROW()+1)/3+2))=1,"Completed",IF(INDIRECT("Dashboard!P"&amp;((ROW()+1)/3+2))="","","Pending"))</f>
        <v/>
      </c>
      <c r="P215" s="37" t="str">
        <f t="shared" si="42"/>
        <v>", "start": "</v>
      </c>
      <c r="Q215" s="38" t="str">
        <f ca="1">IF(INDIRECT("Dashboard!K"&amp;((ROW()+1)/3+2))="","",INDIRECT("Dashboard!K"&amp;((ROW()+1)/3+2)))</f>
        <v/>
      </c>
      <c r="R215" s="37" t="str">
        <f t="shared" si="43"/>
        <v>", "end": "</v>
      </c>
      <c r="S215" s="38" t="str">
        <f ca="1">IF(INDIRECT("Dashboard!L"&amp;((ROW()+1)/3+2))="","",INDIRECT("Dashboard!L"&amp;((ROW()+1)/3+2)))</f>
        <v/>
      </c>
      <c r="T215" s="116" t="str">
        <f ca="1">IF(C218="]);",LEFT(T214,2),T214)</f>
        <v>"},</v>
      </c>
      <c r="V215" s="32" t="str">
        <f t="shared" ca="1" si="44"/>
        <v/>
      </c>
      <c r="W215" s="37" t="s">
        <v>2</v>
      </c>
      <c r="X215" s="32" t="str">
        <f ca="1">G215&amp;" : "&amp;INDIRECT("Dashboard!G"&amp;((ROW()+1)/3+2))</f>
        <v>"10.1" : Note : Network intrusion detection model</v>
      </c>
    </row>
    <row r="216" spans="1:24" ht="15" thickBot="1">
      <c r="A216" s="36"/>
      <c r="C216" s="28" t="str">
        <f ca="1">IF(OR(INDIRECT("Dashboard!B"&amp;(ROW()/3+2))&lt;&gt;"&gt;",AND(Q216="",S216="")),"//","")</f>
        <v>//</v>
      </c>
      <c r="D216" s="43" t="str">
        <f t="shared" si="38"/>
        <v xml:space="preserve">{"id": </v>
      </c>
      <c r="E216" s="29">
        <f t="shared" si="45"/>
        <v>213</v>
      </c>
      <c r="F216" s="43" t="str">
        <f t="shared" si="46"/>
        <v>, "group":</v>
      </c>
      <c r="G216" s="43" t="str">
        <f ca="1">G215</f>
        <v>"10.1"</v>
      </c>
      <c r="H216" s="43" t="str">
        <f t="shared" si="47"/>
        <v>, "subgroup": "</v>
      </c>
      <c r="I216" s="43" t="s">
        <v>397</v>
      </c>
      <c r="J216" s="43" t="str">
        <f t="shared" si="39"/>
        <v>", "subgroupOrder":</v>
      </c>
      <c r="K216" s="43">
        <v>0</v>
      </c>
      <c r="L216" s="43" t="str">
        <f t="shared" si="40"/>
        <v>, "className": "</v>
      </c>
      <c r="M216" s="29" t="str">
        <f t="shared" si="37"/>
        <v>orange</v>
      </c>
      <c r="N216" s="43" t="str">
        <f t="shared" si="41"/>
        <v>", "content": "</v>
      </c>
      <c r="O216" s="49" t="s">
        <v>392</v>
      </c>
      <c r="P216" s="43" t="str">
        <f t="shared" si="42"/>
        <v>", "start": "</v>
      </c>
      <c r="Q216" s="44" t="str">
        <f ca="1">S215</f>
        <v/>
      </c>
      <c r="R216" s="43" t="str">
        <f t="shared" si="43"/>
        <v>", "end": "</v>
      </c>
      <c r="S216" s="113" t="str">
        <f ca="1">IF(INDIRECT("Dashboard!M"&amp;(ROW()/3+2))="","",INDIRECT("Dashboard!M"&amp;(ROW()/3+2)))</f>
        <v/>
      </c>
      <c r="T216" s="117" t="str">
        <f ca="1">IF(C218="]);",LEFT(T215,2),T215)</f>
        <v>"},</v>
      </c>
      <c r="V216" s="32" t="str">
        <f t="shared" ca="1" si="44"/>
        <v/>
      </c>
      <c r="W216" s="37" t="s">
        <v>2</v>
      </c>
    </row>
    <row r="217" spans="1:24">
      <c r="A217" s="36"/>
      <c r="C217" s="25"/>
      <c r="D217" s="41" t="str">
        <f t="shared" si="38"/>
        <v xml:space="preserve">{"id": </v>
      </c>
      <c r="E217" s="26">
        <f t="shared" si="45"/>
        <v>214</v>
      </c>
      <c r="F217" s="41" t="str">
        <f t="shared" si="46"/>
        <v>, "group":</v>
      </c>
      <c r="G217" s="111" t="str">
        <f ca="1">CHAR(34)&amp;INDIRECT("Dashboard!A"&amp;(ROW()-1)/3+3)&amp;CHAR(34)</f>
        <v>"10.2"</v>
      </c>
      <c r="H217" s="41" t="str">
        <f t="shared" si="47"/>
        <v>, "subgroup": "</v>
      </c>
      <c r="I217" s="41" t="s">
        <v>396</v>
      </c>
      <c r="J217" s="41" t="str">
        <f t="shared" si="39"/>
        <v>", "subgroupOrder":</v>
      </c>
      <c r="K217" s="41">
        <v>1</v>
      </c>
      <c r="L217" s="41" t="str">
        <f t="shared" si="40"/>
        <v>, "className": "</v>
      </c>
      <c r="M217" s="26" t="str">
        <f t="shared" si="37"/>
        <v>gray</v>
      </c>
      <c r="N217" s="41" t="str">
        <f t="shared" si="41"/>
        <v>", "content": "</v>
      </c>
      <c r="O217" s="40" t="s">
        <v>388</v>
      </c>
      <c r="P217" s="41" t="str">
        <f t="shared" si="42"/>
        <v>", "start": "</v>
      </c>
      <c r="Q217" s="42" t="str">
        <f ca="1">IF(INDIRECT("Dashboard!I"&amp;(ROW()-1)/3+3)="","",INDIRECT("Dashboard!I"&amp;(ROW()-1)/3+3))</f>
        <v/>
      </c>
      <c r="R217" s="41" t="str">
        <f t="shared" si="43"/>
        <v>", "end": "</v>
      </c>
      <c r="S217" s="42" t="str">
        <f ca="1">IF(INDIRECT("Dashboard!J"&amp;(ROW()-1)/3+3)="","",INDIRECT("Dashboard!J"&amp;(ROW()-1)/3+3))</f>
        <v/>
      </c>
      <c r="T217" s="118" t="str">
        <f ca="1">IF(C221="]);",LEFT(T216,2),T216)</f>
        <v>"},</v>
      </c>
      <c r="V217" s="32" t="str">
        <f t="shared" ca="1" si="44"/>
        <v>{"id": 214, "group":"10.2", "subgroup": "plan", "subgroupOrder":1, "className": "gray", "content": "Planned", "start": "", "end": ""},</v>
      </c>
      <c r="W217" s="37" t="s">
        <v>2</v>
      </c>
    </row>
    <row r="218" spans="1:24">
      <c r="A218" s="36"/>
      <c r="C218" s="31" t="str">
        <f ca="1">IF(AND(Q218="", S218=""),"//","")</f>
        <v>//</v>
      </c>
      <c r="D218" s="37" t="str">
        <f t="shared" si="38"/>
        <v xml:space="preserve">{"id": </v>
      </c>
      <c r="E218" s="32">
        <f t="shared" si="45"/>
        <v>215</v>
      </c>
      <c r="F218" s="37" t="str">
        <f t="shared" si="46"/>
        <v>, "group":</v>
      </c>
      <c r="G218" s="37" t="str">
        <f ca="1">G217</f>
        <v>"10.2"</v>
      </c>
      <c r="H218" s="37" t="str">
        <f t="shared" si="47"/>
        <v>, "subgroup": "</v>
      </c>
      <c r="I218" s="37" t="s">
        <v>397</v>
      </c>
      <c r="J218" s="37" t="str">
        <f t="shared" si="39"/>
        <v>", "subgroupOrder":</v>
      </c>
      <c r="K218" s="37">
        <v>0</v>
      </c>
      <c r="L218" s="37" t="str">
        <f t="shared" si="40"/>
        <v>, "className": "</v>
      </c>
      <c r="M218" s="32" t="str">
        <f t="shared" ca="1" si="37"/>
        <v/>
      </c>
      <c r="N218" s="37" t="str">
        <f t="shared" si="41"/>
        <v>", "content": "</v>
      </c>
      <c r="O218" s="34" t="str">
        <f ca="1">IF(INDIRECT("Dashboard!P"&amp;((ROW()+1)/3+2))=1,"Completed",IF(INDIRECT("Dashboard!P"&amp;((ROW()+1)/3+2))="","","Pending"))</f>
        <v/>
      </c>
      <c r="P218" s="37" t="str">
        <f t="shared" si="42"/>
        <v>", "start": "</v>
      </c>
      <c r="Q218" s="38" t="str">
        <f ca="1">IF(INDIRECT("Dashboard!K"&amp;((ROW()+1)/3+2))="","",INDIRECT("Dashboard!K"&amp;((ROW()+1)/3+2)))</f>
        <v/>
      </c>
      <c r="R218" s="37" t="str">
        <f t="shared" si="43"/>
        <v>", "end": "</v>
      </c>
      <c r="S218" s="38" t="str">
        <f ca="1">IF(INDIRECT("Dashboard!L"&amp;((ROW()+1)/3+2))="","",INDIRECT("Dashboard!L"&amp;((ROW()+1)/3+2)))</f>
        <v/>
      </c>
      <c r="T218" s="116" t="str">
        <f ca="1">IF(C221="]);",LEFT(T217,2),T217)</f>
        <v>"},</v>
      </c>
      <c r="V218" s="32" t="str">
        <f t="shared" ca="1" si="44"/>
        <v/>
      </c>
      <c r="W218" s="37" t="s">
        <v>2</v>
      </c>
      <c r="X218" s="32" t="str">
        <f ca="1">G218&amp;" : "&amp;INDIRECT("Dashboard!G"&amp;((ROW()+1)/3+2))</f>
        <v>"10.2" : Note : (round truth data will be provided by LiteOn. Based on which NTU shall come up with model for anomaly detection system)</v>
      </c>
    </row>
    <row r="219" spans="1:24" ht="15" thickBot="1">
      <c r="A219" s="36"/>
      <c r="C219" s="28" t="str">
        <f ca="1">IF(OR(INDIRECT("Dashboard!B"&amp;(ROW()/3+2))&lt;&gt;"&gt;",AND(Q219="",S219="")),"//","")</f>
        <v>//</v>
      </c>
      <c r="D219" s="43" t="str">
        <f t="shared" si="38"/>
        <v xml:space="preserve">{"id": </v>
      </c>
      <c r="E219" s="29">
        <f t="shared" si="45"/>
        <v>216</v>
      </c>
      <c r="F219" s="43" t="str">
        <f t="shared" si="46"/>
        <v>, "group":</v>
      </c>
      <c r="G219" s="43" t="str">
        <f ca="1">G218</f>
        <v>"10.2"</v>
      </c>
      <c r="H219" s="43" t="str">
        <f t="shared" si="47"/>
        <v>, "subgroup": "</v>
      </c>
      <c r="I219" s="43" t="s">
        <v>397</v>
      </c>
      <c r="J219" s="43" t="str">
        <f t="shared" si="39"/>
        <v>", "subgroupOrder":</v>
      </c>
      <c r="K219" s="43">
        <v>0</v>
      </c>
      <c r="L219" s="43" t="str">
        <f t="shared" si="40"/>
        <v>, "className": "</v>
      </c>
      <c r="M219" s="29" t="str">
        <f t="shared" si="37"/>
        <v>orange</v>
      </c>
      <c r="N219" s="43" t="str">
        <f t="shared" si="41"/>
        <v>", "content": "</v>
      </c>
      <c r="O219" s="49" t="s">
        <v>392</v>
      </c>
      <c r="P219" s="43" t="str">
        <f t="shared" si="42"/>
        <v>", "start": "</v>
      </c>
      <c r="Q219" s="44" t="str">
        <f ca="1">S218</f>
        <v/>
      </c>
      <c r="R219" s="43" t="str">
        <f t="shared" si="43"/>
        <v>", "end": "</v>
      </c>
      <c r="S219" s="113" t="str">
        <f ca="1">IF(INDIRECT("Dashboard!M"&amp;(ROW()/3+2))="","",INDIRECT("Dashboard!M"&amp;(ROW()/3+2)))</f>
        <v/>
      </c>
      <c r="T219" s="117" t="str">
        <f ca="1">IF(C221="]);",LEFT(T218,2),T218)</f>
        <v>"},</v>
      </c>
      <c r="V219" s="32" t="str">
        <f t="shared" ca="1" si="44"/>
        <v/>
      </c>
      <c r="W219" s="37" t="s">
        <v>2</v>
      </c>
    </row>
    <row r="220" spans="1:24">
      <c r="A220" s="36"/>
      <c r="C220" s="25"/>
      <c r="D220" s="41" t="str">
        <f t="shared" si="38"/>
        <v xml:space="preserve">{"id": </v>
      </c>
      <c r="E220" s="26">
        <f t="shared" si="45"/>
        <v>217</v>
      </c>
      <c r="F220" s="41" t="str">
        <f t="shared" si="46"/>
        <v>, "group":</v>
      </c>
      <c r="G220" s="111" t="str">
        <f ca="1">CHAR(34)&amp;INDIRECT("Dashboard!A"&amp;(ROW()-1)/3+3)&amp;CHAR(34)</f>
        <v>"10.3"</v>
      </c>
      <c r="H220" s="41" t="str">
        <f t="shared" si="47"/>
        <v>, "subgroup": "</v>
      </c>
      <c r="I220" s="41" t="s">
        <v>396</v>
      </c>
      <c r="J220" s="41" t="str">
        <f t="shared" si="39"/>
        <v>", "subgroupOrder":</v>
      </c>
      <c r="K220" s="41">
        <v>1</v>
      </c>
      <c r="L220" s="41" t="str">
        <f t="shared" si="40"/>
        <v>, "className": "</v>
      </c>
      <c r="M220" s="26" t="str">
        <f t="shared" si="37"/>
        <v>gray</v>
      </c>
      <c r="N220" s="41" t="str">
        <f t="shared" si="41"/>
        <v>", "content": "</v>
      </c>
      <c r="O220" s="40" t="s">
        <v>388</v>
      </c>
      <c r="P220" s="41" t="str">
        <f t="shared" si="42"/>
        <v>", "start": "</v>
      </c>
      <c r="Q220" s="42" t="str">
        <f ca="1">IF(INDIRECT("Dashboard!I"&amp;(ROW()-1)/3+3)="","",INDIRECT("Dashboard!I"&amp;(ROW()-1)/3+3))</f>
        <v/>
      </c>
      <c r="R220" s="41" t="str">
        <f t="shared" si="43"/>
        <v>", "end": "</v>
      </c>
      <c r="S220" s="42" t="str">
        <f ca="1">IF(INDIRECT("Dashboard!J"&amp;(ROW()-1)/3+3)="","",INDIRECT("Dashboard!J"&amp;(ROW()-1)/3+3))</f>
        <v/>
      </c>
      <c r="T220" s="118" t="str">
        <f ca="1">IF(C224="]);",LEFT(T219,2),T219)</f>
        <v>"},</v>
      </c>
      <c r="V220" s="32" t="str">
        <f t="shared" ca="1" si="44"/>
        <v>{"id": 217, "group":"10.3", "subgroup": "plan", "subgroupOrder":1, "className": "gray", "content": "Planned", "start": "", "end": ""},</v>
      </c>
      <c r="W220" s="37" t="s">
        <v>2</v>
      </c>
    </row>
    <row r="221" spans="1:24">
      <c r="A221" s="36"/>
      <c r="C221" s="31" t="str">
        <f ca="1">IF(AND(Q221="", S221=""),"//","")</f>
        <v>//</v>
      </c>
      <c r="D221" s="37" t="str">
        <f t="shared" si="38"/>
        <v xml:space="preserve">{"id": </v>
      </c>
      <c r="E221" s="32">
        <f t="shared" si="45"/>
        <v>218</v>
      </c>
      <c r="F221" s="37" t="str">
        <f t="shared" si="46"/>
        <v>, "group":</v>
      </c>
      <c r="G221" s="37" t="str">
        <f ca="1">G220</f>
        <v>"10.3"</v>
      </c>
      <c r="H221" s="37" t="str">
        <f t="shared" si="47"/>
        <v>, "subgroup": "</v>
      </c>
      <c r="I221" s="37" t="s">
        <v>397</v>
      </c>
      <c r="J221" s="37" t="str">
        <f t="shared" si="39"/>
        <v>", "subgroupOrder":</v>
      </c>
      <c r="K221" s="37">
        <v>0</v>
      </c>
      <c r="L221" s="37" t="str">
        <f t="shared" si="40"/>
        <v>, "className": "</v>
      </c>
      <c r="M221" s="32" t="str">
        <f t="shared" ca="1" si="37"/>
        <v/>
      </c>
      <c r="N221" s="37" t="str">
        <f t="shared" si="41"/>
        <v>", "content": "</v>
      </c>
      <c r="O221" s="34" t="str">
        <f ca="1">IF(INDIRECT("Dashboard!P"&amp;((ROW()+1)/3+2))=1,"Completed",IF(INDIRECT("Dashboard!P"&amp;((ROW()+1)/3+2))="","","Pending"))</f>
        <v/>
      </c>
      <c r="P221" s="37" t="str">
        <f t="shared" si="42"/>
        <v>", "start": "</v>
      </c>
      <c r="Q221" s="38" t="str">
        <f ca="1">IF(INDIRECT("Dashboard!K"&amp;((ROW()+1)/3+2))="","",INDIRECT("Dashboard!K"&amp;((ROW()+1)/3+2)))</f>
        <v/>
      </c>
      <c r="R221" s="37" t="str">
        <f t="shared" si="43"/>
        <v>", "end": "</v>
      </c>
      <c r="S221" s="38" t="str">
        <f ca="1">IF(INDIRECT("Dashboard!L"&amp;((ROW()+1)/3+2))="","",INDIRECT("Dashboard!L"&amp;((ROW()+1)/3+2)))</f>
        <v/>
      </c>
      <c r="T221" s="116" t="str">
        <f ca="1">IF(C224="]);",LEFT(T220,2),T220)</f>
        <v>"},</v>
      </c>
      <c r="V221" s="32" t="str">
        <f t="shared" ca="1" si="44"/>
        <v/>
      </c>
      <c r="W221" s="37" t="s">
        <v>2</v>
      </c>
      <c r="X221" s="32" t="str">
        <f ca="1">G221&amp;" : "&amp;INDIRECT("Dashboard!G"&amp;((ROW()+1)/3+2))</f>
        <v>"10.3" : Note : (Might extend till 2024)</v>
      </c>
    </row>
    <row r="222" spans="1:24" ht="15" thickBot="1">
      <c r="A222" s="36"/>
      <c r="C222" s="28" t="str">
        <f ca="1">IF(OR(INDIRECT("Dashboard!B"&amp;(ROW()/3+2))&lt;&gt;"&gt;",AND(Q222="",S222="")),"//","")</f>
        <v>//</v>
      </c>
      <c r="D222" s="43" t="str">
        <f t="shared" si="38"/>
        <v xml:space="preserve">{"id": </v>
      </c>
      <c r="E222" s="29">
        <f t="shared" si="45"/>
        <v>219</v>
      </c>
      <c r="F222" s="43" t="str">
        <f t="shared" si="46"/>
        <v>, "group":</v>
      </c>
      <c r="G222" s="43" t="str">
        <f ca="1">G221</f>
        <v>"10.3"</v>
      </c>
      <c r="H222" s="43" t="str">
        <f t="shared" si="47"/>
        <v>, "subgroup": "</v>
      </c>
      <c r="I222" s="43" t="s">
        <v>397</v>
      </c>
      <c r="J222" s="43" t="str">
        <f t="shared" si="39"/>
        <v>", "subgroupOrder":</v>
      </c>
      <c r="K222" s="43">
        <v>0</v>
      </c>
      <c r="L222" s="43" t="str">
        <f t="shared" si="40"/>
        <v>, "className": "</v>
      </c>
      <c r="M222" s="29" t="str">
        <f t="shared" si="37"/>
        <v>orange</v>
      </c>
      <c r="N222" s="43" t="str">
        <f t="shared" si="41"/>
        <v>", "content": "</v>
      </c>
      <c r="O222" s="49" t="s">
        <v>392</v>
      </c>
      <c r="P222" s="43" t="str">
        <f t="shared" si="42"/>
        <v>", "start": "</v>
      </c>
      <c r="Q222" s="44" t="str">
        <f ca="1">S221</f>
        <v/>
      </c>
      <c r="R222" s="43" t="str">
        <f t="shared" si="43"/>
        <v>", "end": "</v>
      </c>
      <c r="S222" s="113" t="str">
        <f ca="1">IF(INDIRECT("Dashboard!M"&amp;(ROW()/3+2))="","",INDIRECT("Dashboard!M"&amp;(ROW()/3+2)))</f>
        <v/>
      </c>
      <c r="T222" s="117" t="str">
        <f ca="1">IF(C224="]);",LEFT(T221,2),T221)</f>
        <v>"},</v>
      </c>
      <c r="V222" s="32" t="str">
        <f t="shared" ca="1" si="44"/>
        <v/>
      </c>
      <c r="W222" s="37" t="s">
        <v>2</v>
      </c>
    </row>
    <row r="223" spans="1:24">
      <c r="A223" s="36"/>
      <c r="C223" s="25"/>
      <c r="D223" s="41" t="str">
        <f t="shared" si="38"/>
        <v xml:space="preserve">{"id": </v>
      </c>
      <c r="E223" s="26">
        <f t="shared" si="45"/>
        <v>220</v>
      </c>
      <c r="F223" s="41" t="str">
        <f t="shared" si="46"/>
        <v>, "group":</v>
      </c>
      <c r="G223" s="111" t="str">
        <f ca="1">CHAR(34)&amp;INDIRECT("Dashboard!A"&amp;(ROW()-1)/3+3)&amp;CHAR(34)</f>
        <v>"10.4"</v>
      </c>
      <c r="H223" s="41" t="str">
        <f t="shared" si="47"/>
        <v>, "subgroup": "</v>
      </c>
      <c r="I223" s="41" t="s">
        <v>396</v>
      </c>
      <c r="J223" s="41" t="str">
        <f t="shared" si="39"/>
        <v>", "subgroupOrder":</v>
      </c>
      <c r="K223" s="41">
        <v>1</v>
      </c>
      <c r="L223" s="41" t="str">
        <f t="shared" si="40"/>
        <v>, "className": "</v>
      </c>
      <c r="M223" s="26" t="str">
        <f t="shared" si="37"/>
        <v>gray</v>
      </c>
      <c r="N223" s="41" t="str">
        <f t="shared" si="41"/>
        <v>", "content": "</v>
      </c>
      <c r="O223" s="40" t="s">
        <v>388</v>
      </c>
      <c r="P223" s="41" t="str">
        <f t="shared" si="42"/>
        <v>", "start": "</v>
      </c>
      <c r="Q223" s="42">
        <f ca="1">IF(INDIRECT("Dashboard!I"&amp;(ROW()-1)/3+3)="","",INDIRECT("Dashboard!I"&amp;(ROW()-1)/3+3))</f>
        <v>45017</v>
      </c>
      <c r="R223" s="41" t="str">
        <f t="shared" si="43"/>
        <v>", "end": "</v>
      </c>
      <c r="S223" s="42">
        <f ca="1">IF(INDIRECT("Dashboard!J"&amp;(ROW()-1)/3+3)="","",INDIRECT("Dashboard!J"&amp;(ROW()-1)/3+3))</f>
        <v>45169</v>
      </c>
      <c r="T223" s="118" t="str">
        <f ca="1">IF(C227="]);",LEFT(T222,2),T222)</f>
        <v>"},</v>
      </c>
      <c r="V223" s="32" t="str">
        <f t="shared" ca="1" si="44"/>
        <v>{"id": 220, "group":"10.4", "subgroup": "plan", "subgroupOrder":1, "className": "gray", "content": "Planned", "start": "2023-04-01", "end": "2023-08-31"},</v>
      </c>
      <c r="W223" s="37" t="s">
        <v>2</v>
      </c>
    </row>
    <row r="224" spans="1:24">
      <c r="A224" s="36"/>
      <c r="C224" s="31" t="str">
        <f ca="1">IF(AND(Q224="", S224=""),"//","")</f>
        <v>//</v>
      </c>
      <c r="D224" s="37" t="str">
        <f t="shared" si="38"/>
        <v xml:space="preserve">{"id": </v>
      </c>
      <c r="E224" s="32">
        <f t="shared" si="45"/>
        <v>221</v>
      </c>
      <c r="F224" s="37" t="str">
        <f t="shared" si="46"/>
        <v>, "group":</v>
      </c>
      <c r="G224" s="37" t="str">
        <f ca="1">G223</f>
        <v>"10.4"</v>
      </c>
      <c r="H224" s="37" t="str">
        <f t="shared" si="47"/>
        <v>, "subgroup": "</v>
      </c>
      <c r="I224" s="37" t="s">
        <v>397</v>
      </c>
      <c r="J224" s="37" t="str">
        <f t="shared" si="39"/>
        <v>", "subgroupOrder":</v>
      </c>
      <c r="K224" s="37">
        <v>0</v>
      </c>
      <c r="L224" s="37" t="str">
        <f t="shared" si="40"/>
        <v>, "className": "</v>
      </c>
      <c r="M224" s="32" t="str">
        <f t="shared" ca="1" si="37"/>
        <v>pink-white</v>
      </c>
      <c r="N224" s="37" t="str">
        <f t="shared" si="41"/>
        <v>", "content": "</v>
      </c>
      <c r="O224" s="34" t="str">
        <f ca="1">IF(INDIRECT("Dashboard!P"&amp;((ROW()+1)/3+2))=1,"Completed",IF(INDIRECT("Dashboard!P"&amp;((ROW()+1)/3+2))="","","Pending"))</f>
        <v>Pending</v>
      </c>
      <c r="P224" s="37" t="str">
        <f t="shared" si="42"/>
        <v>", "start": "</v>
      </c>
      <c r="Q224" s="38" t="str">
        <f ca="1">IF(INDIRECT("Dashboard!K"&amp;((ROW()+1)/3+2))="","",INDIRECT("Dashboard!K"&amp;((ROW()+1)/3+2)))</f>
        <v/>
      </c>
      <c r="R224" s="37" t="str">
        <f t="shared" si="43"/>
        <v>", "end": "</v>
      </c>
      <c r="S224" s="38" t="str">
        <f ca="1">IF(INDIRECT("Dashboard!L"&amp;((ROW()+1)/3+2))="","",INDIRECT("Dashboard!L"&amp;((ROW()+1)/3+2)))</f>
        <v/>
      </c>
      <c r="T224" s="116" t="str">
        <f ca="1">IF(C227="]);",LEFT(T223,2),T223)</f>
        <v>"},</v>
      </c>
      <c r="V224" s="32" t="str">
        <f t="shared" ca="1" si="44"/>
        <v/>
      </c>
      <c r="W224" s="37" t="s">
        <v>2</v>
      </c>
      <c r="X224" s="32" t="str">
        <f ca="1">G224&amp;" : "&amp;INDIRECT("Dashboard!G"&amp;((ROW()+1)/3+2))</f>
        <v>"10.4" : Technical design document explaining the data schema and algorithm</v>
      </c>
    </row>
    <row r="225" spans="1:24" ht="15" thickBot="1">
      <c r="A225" s="36"/>
      <c r="C225" s="28" t="str">
        <f ca="1">IF(OR(INDIRECT("Dashboard!B"&amp;(ROW()/3+2))&lt;&gt;"&gt;",AND(Q225="",S225="")),"//","")</f>
        <v>//</v>
      </c>
      <c r="D225" s="43" t="str">
        <f t="shared" si="38"/>
        <v xml:space="preserve">{"id": </v>
      </c>
      <c r="E225" s="29">
        <f t="shared" si="45"/>
        <v>222</v>
      </c>
      <c r="F225" s="43" t="str">
        <f t="shared" si="46"/>
        <v>, "group":</v>
      </c>
      <c r="G225" s="43" t="str">
        <f ca="1">G224</f>
        <v>"10.4"</v>
      </c>
      <c r="H225" s="43" t="str">
        <f t="shared" si="47"/>
        <v>, "subgroup": "</v>
      </c>
      <c r="I225" s="43" t="s">
        <v>397</v>
      </c>
      <c r="J225" s="43" t="str">
        <f t="shared" si="39"/>
        <v>", "subgroupOrder":</v>
      </c>
      <c r="K225" s="43">
        <v>0</v>
      </c>
      <c r="L225" s="43" t="str">
        <f t="shared" si="40"/>
        <v>, "className": "</v>
      </c>
      <c r="M225" s="29" t="str">
        <f t="shared" si="37"/>
        <v>orange</v>
      </c>
      <c r="N225" s="43" t="str">
        <f t="shared" si="41"/>
        <v>", "content": "</v>
      </c>
      <c r="O225" s="49" t="s">
        <v>392</v>
      </c>
      <c r="P225" s="43" t="str">
        <f t="shared" si="42"/>
        <v>", "start": "</v>
      </c>
      <c r="Q225" s="44" t="str">
        <f ca="1">S224</f>
        <v/>
      </c>
      <c r="R225" s="43" t="str">
        <f t="shared" si="43"/>
        <v>", "end": "</v>
      </c>
      <c r="S225" s="113" t="str">
        <f ca="1">IF(INDIRECT("Dashboard!M"&amp;(ROW()/3+2))="","",INDIRECT("Dashboard!M"&amp;(ROW()/3+2)))</f>
        <v/>
      </c>
      <c r="T225" s="117" t="str">
        <f ca="1">IF(C227="]);",LEFT(T224,2),T224)</f>
        <v>"},</v>
      </c>
      <c r="V225" s="32" t="str">
        <f t="shared" ca="1" si="44"/>
        <v/>
      </c>
      <c r="W225" s="37" t="s">
        <v>2</v>
      </c>
    </row>
    <row r="226" spans="1:24">
      <c r="A226" s="36"/>
      <c r="C226" s="25"/>
      <c r="D226" s="41" t="str">
        <f t="shared" si="38"/>
        <v xml:space="preserve">{"id": </v>
      </c>
      <c r="E226" s="26">
        <f t="shared" si="45"/>
        <v>223</v>
      </c>
      <c r="F226" s="41" t="str">
        <f t="shared" si="46"/>
        <v>, "group":</v>
      </c>
      <c r="G226" s="111" t="str">
        <f ca="1">CHAR(34)&amp;INDIRECT("Dashboard!A"&amp;(ROW()-1)/3+3)&amp;CHAR(34)</f>
        <v>"10.5"</v>
      </c>
      <c r="H226" s="41" t="str">
        <f t="shared" si="47"/>
        <v>, "subgroup": "</v>
      </c>
      <c r="I226" s="41" t="s">
        <v>396</v>
      </c>
      <c r="J226" s="41" t="str">
        <f t="shared" si="39"/>
        <v>", "subgroupOrder":</v>
      </c>
      <c r="K226" s="41">
        <v>1</v>
      </c>
      <c r="L226" s="41" t="str">
        <f t="shared" si="40"/>
        <v>, "className": "</v>
      </c>
      <c r="M226" s="26" t="str">
        <f t="shared" ref="M226:M289" si="48">IF(ISNA(VLOOKUP(O226,$X$1:$Y$4,2,FALSE)),"",VLOOKUP(O226,$X$1:$Y$4,2,FALSE))</f>
        <v>gray</v>
      </c>
      <c r="N226" s="41" t="str">
        <f t="shared" si="41"/>
        <v>", "content": "</v>
      </c>
      <c r="O226" s="40" t="s">
        <v>388</v>
      </c>
      <c r="P226" s="41" t="str">
        <f t="shared" si="42"/>
        <v>", "start": "</v>
      </c>
      <c r="Q226" s="42">
        <f ca="1">IF(INDIRECT("Dashboard!I"&amp;(ROW()-1)/3+3)="","",INDIRECT("Dashboard!I"&amp;(ROW()-1)/3+3))</f>
        <v>45017</v>
      </c>
      <c r="R226" s="41" t="str">
        <f t="shared" si="43"/>
        <v>", "end": "</v>
      </c>
      <c r="S226" s="42">
        <f ca="1">IF(INDIRECT("Dashboard!J"&amp;(ROW()-1)/3+3)="","",INDIRECT("Dashboard!J"&amp;(ROW()-1)/3+3))</f>
        <v>45169</v>
      </c>
      <c r="T226" s="118" t="str">
        <f ca="1">IF(C230="]);",LEFT(T225,2),T225)</f>
        <v>"},</v>
      </c>
      <c r="V226" s="32" t="str">
        <f t="shared" ca="1" si="44"/>
        <v>{"id": 223, "group":"10.5", "subgroup": "plan", "subgroupOrder":1, "className": "gray", "content": "Planned", "start": "2023-04-01", "end": "2023-08-31"},</v>
      </c>
      <c r="W226" s="37" t="s">
        <v>2</v>
      </c>
    </row>
    <row r="227" spans="1:24">
      <c r="A227" s="36"/>
      <c r="C227" s="31" t="str">
        <f ca="1">IF(AND(Q227="", S227=""),"//","")</f>
        <v>//</v>
      </c>
      <c r="D227" s="37" t="str">
        <f t="shared" si="38"/>
        <v xml:space="preserve">{"id": </v>
      </c>
      <c r="E227" s="32">
        <f t="shared" si="45"/>
        <v>224</v>
      </c>
      <c r="F227" s="37" t="str">
        <f t="shared" si="46"/>
        <v>, "group":</v>
      </c>
      <c r="G227" s="37" t="str">
        <f ca="1">G226</f>
        <v>"10.5"</v>
      </c>
      <c r="H227" s="37" t="str">
        <f t="shared" si="47"/>
        <v>, "subgroup": "</v>
      </c>
      <c r="I227" s="37" t="s">
        <v>397</v>
      </c>
      <c r="J227" s="37" t="str">
        <f t="shared" si="39"/>
        <v>", "subgroupOrder":</v>
      </c>
      <c r="K227" s="37">
        <v>0</v>
      </c>
      <c r="L227" s="37" t="str">
        <f t="shared" si="40"/>
        <v>, "className": "</v>
      </c>
      <c r="M227" s="32" t="str">
        <f t="shared" ca="1" si="48"/>
        <v>pink-white</v>
      </c>
      <c r="N227" s="37" t="str">
        <f t="shared" si="41"/>
        <v>", "content": "</v>
      </c>
      <c r="O227" s="34" t="str">
        <f ca="1">IF(INDIRECT("Dashboard!P"&amp;((ROW()+1)/3+2))=1,"Completed",IF(INDIRECT("Dashboard!P"&amp;((ROW()+1)/3+2))="","","Pending"))</f>
        <v>Pending</v>
      </c>
      <c r="P227" s="37" t="str">
        <f t="shared" si="42"/>
        <v>", "start": "</v>
      </c>
      <c r="Q227" s="38" t="str">
        <f ca="1">IF(INDIRECT("Dashboard!K"&amp;((ROW()+1)/3+2))="","",INDIRECT("Dashboard!K"&amp;((ROW()+1)/3+2)))</f>
        <v/>
      </c>
      <c r="R227" s="37" t="str">
        <f t="shared" si="43"/>
        <v>", "end": "</v>
      </c>
      <c r="S227" s="38" t="str">
        <f ca="1">IF(INDIRECT("Dashboard!L"&amp;((ROW()+1)/3+2))="","",INDIRECT("Dashboard!L"&amp;((ROW()+1)/3+2)))</f>
        <v/>
      </c>
      <c r="T227" s="116" t="str">
        <f ca="1">IF(C230="]);",LEFT(T226,2),T226)</f>
        <v>"},</v>
      </c>
      <c r="V227" s="32" t="str">
        <f t="shared" ca="1" si="44"/>
        <v/>
      </c>
      <c r="W227" s="37" t="s">
        <v>2</v>
      </c>
      <c r="X227" s="32" t="str">
        <f ca="1">G227&amp;" : "&amp;INDIRECT("Dashboard!G"&amp;((ROW()+1)/3+2))</f>
        <v>"10.5" : Software Code</v>
      </c>
    </row>
    <row r="228" spans="1:24" ht="15" thickBot="1">
      <c r="A228" s="36"/>
      <c r="C228" s="28" t="str">
        <f ca="1">IF(OR(INDIRECT("Dashboard!B"&amp;(ROW()/3+2))&lt;&gt;"&gt;",AND(Q228="",S228="")),"//","")</f>
        <v>//</v>
      </c>
      <c r="D228" s="43" t="str">
        <f t="shared" si="38"/>
        <v xml:space="preserve">{"id": </v>
      </c>
      <c r="E228" s="29">
        <f t="shared" si="45"/>
        <v>225</v>
      </c>
      <c r="F228" s="43" t="str">
        <f t="shared" si="46"/>
        <v>, "group":</v>
      </c>
      <c r="G228" s="43" t="str">
        <f ca="1">G227</f>
        <v>"10.5"</v>
      </c>
      <c r="H228" s="43" t="str">
        <f t="shared" si="47"/>
        <v>, "subgroup": "</v>
      </c>
      <c r="I228" s="43" t="s">
        <v>397</v>
      </c>
      <c r="J228" s="43" t="str">
        <f t="shared" si="39"/>
        <v>", "subgroupOrder":</v>
      </c>
      <c r="K228" s="43">
        <v>0</v>
      </c>
      <c r="L228" s="43" t="str">
        <f t="shared" si="40"/>
        <v>, "className": "</v>
      </c>
      <c r="M228" s="29" t="str">
        <f t="shared" si="48"/>
        <v>orange</v>
      </c>
      <c r="N228" s="43" t="str">
        <f t="shared" si="41"/>
        <v>", "content": "</v>
      </c>
      <c r="O228" s="49" t="s">
        <v>392</v>
      </c>
      <c r="P228" s="43" t="str">
        <f t="shared" si="42"/>
        <v>", "start": "</v>
      </c>
      <c r="Q228" s="44" t="str">
        <f ca="1">S227</f>
        <v/>
      </c>
      <c r="R228" s="43" t="str">
        <f t="shared" si="43"/>
        <v>", "end": "</v>
      </c>
      <c r="S228" s="113" t="str">
        <f ca="1">IF(INDIRECT("Dashboard!M"&amp;(ROW()/3+2))="","",INDIRECT("Dashboard!M"&amp;(ROW()/3+2)))</f>
        <v/>
      </c>
      <c r="T228" s="117" t="str">
        <f ca="1">IF(C230="]);",LEFT(T227,2),T227)</f>
        <v>"},</v>
      </c>
      <c r="V228" s="32" t="str">
        <f t="shared" ca="1" si="44"/>
        <v/>
      </c>
      <c r="W228" s="37" t="s">
        <v>2</v>
      </c>
    </row>
    <row r="229" spans="1:24">
      <c r="A229" s="36"/>
      <c r="C229" s="25"/>
      <c r="D229" s="41" t="str">
        <f t="shared" si="38"/>
        <v xml:space="preserve">{"id": </v>
      </c>
      <c r="E229" s="26">
        <f t="shared" si="45"/>
        <v>226</v>
      </c>
      <c r="F229" s="41" t="str">
        <f t="shared" si="46"/>
        <v>, "group":</v>
      </c>
      <c r="G229" s="111" t="str">
        <f ca="1">CHAR(34)&amp;INDIRECT("Dashboard!A"&amp;(ROW()-1)/3+3)&amp;CHAR(34)</f>
        <v>"10.6"</v>
      </c>
      <c r="H229" s="41" t="str">
        <f t="shared" si="47"/>
        <v>, "subgroup": "</v>
      </c>
      <c r="I229" s="41" t="s">
        <v>396</v>
      </c>
      <c r="J229" s="41" t="str">
        <f t="shared" si="39"/>
        <v>", "subgroupOrder":</v>
      </c>
      <c r="K229" s="41">
        <v>1</v>
      </c>
      <c r="L229" s="41" t="str">
        <f t="shared" si="40"/>
        <v>, "className": "</v>
      </c>
      <c r="M229" s="26" t="str">
        <f t="shared" si="48"/>
        <v>gray</v>
      </c>
      <c r="N229" s="41" t="str">
        <f t="shared" si="41"/>
        <v>", "content": "</v>
      </c>
      <c r="O229" s="40" t="s">
        <v>388</v>
      </c>
      <c r="P229" s="41" t="str">
        <f t="shared" si="42"/>
        <v>", "start": "</v>
      </c>
      <c r="Q229" s="42">
        <f ca="1">IF(INDIRECT("Dashboard!I"&amp;(ROW()-1)/3+3)="","",INDIRECT("Dashboard!I"&amp;(ROW()-1)/3+3))</f>
        <v>45017</v>
      </c>
      <c r="R229" s="41" t="str">
        <f t="shared" si="43"/>
        <v>", "end": "</v>
      </c>
      <c r="S229" s="42">
        <f ca="1">IF(INDIRECT("Dashboard!J"&amp;(ROW()-1)/3+3)="","",INDIRECT("Dashboard!J"&amp;(ROW()-1)/3+3))</f>
        <v>45169</v>
      </c>
      <c r="T229" s="118" t="str">
        <f ca="1">IF(C233="]);",LEFT(T228,2),T228)</f>
        <v>"},</v>
      </c>
      <c r="V229" s="32" t="str">
        <f t="shared" ca="1" si="44"/>
        <v>{"id": 226, "group":"10.6", "subgroup": "plan", "subgroupOrder":1, "className": "gray", "content": "Planned", "start": "2023-04-01", "end": "2023-08-31"},</v>
      </c>
      <c r="W229" s="37" t="s">
        <v>2</v>
      </c>
    </row>
    <row r="230" spans="1:24">
      <c r="A230" s="36"/>
      <c r="C230" s="31" t="str">
        <f ca="1">IF(AND(Q230="", S230=""),"//","")</f>
        <v>//</v>
      </c>
      <c r="D230" s="37" t="str">
        <f t="shared" si="38"/>
        <v xml:space="preserve">{"id": </v>
      </c>
      <c r="E230" s="32">
        <f t="shared" si="45"/>
        <v>227</v>
      </c>
      <c r="F230" s="37" t="str">
        <f t="shared" si="46"/>
        <v>, "group":</v>
      </c>
      <c r="G230" s="37" t="str">
        <f ca="1">G229</f>
        <v>"10.6"</v>
      </c>
      <c r="H230" s="37" t="str">
        <f t="shared" si="47"/>
        <v>, "subgroup": "</v>
      </c>
      <c r="I230" s="37" t="s">
        <v>397</v>
      </c>
      <c r="J230" s="37" t="str">
        <f t="shared" si="39"/>
        <v>", "subgroupOrder":</v>
      </c>
      <c r="K230" s="37">
        <v>0</v>
      </c>
      <c r="L230" s="37" t="str">
        <f t="shared" si="40"/>
        <v>, "className": "</v>
      </c>
      <c r="M230" s="32" t="str">
        <f t="shared" ca="1" si="48"/>
        <v>pink-white</v>
      </c>
      <c r="N230" s="37" t="str">
        <f t="shared" si="41"/>
        <v>", "content": "</v>
      </c>
      <c r="O230" s="34" t="str">
        <f ca="1">IF(INDIRECT("Dashboard!P"&amp;((ROW()+1)/3+2))=1,"Completed",IF(INDIRECT("Dashboard!P"&amp;((ROW()+1)/3+2))="","","Pending"))</f>
        <v>Pending</v>
      </c>
      <c r="P230" s="37" t="str">
        <f t="shared" si="42"/>
        <v>", "start": "</v>
      </c>
      <c r="Q230" s="38" t="str">
        <f ca="1">IF(INDIRECT("Dashboard!K"&amp;((ROW()+1)/3+2))="","",INDIRECT("Dashboard!K"&amp;((ROW()+1)/3+2)))</f>
        <v/>
      </c>
      <c r="R230" s="37" t="str">
        <f t="shared" si="43"/>
        <v>", "end": "</v>
      </c>
      <c r="S230" s="38" t="str">
        <f ca="1">IF(INDIRECT("Dashboard!L"&amp;((ROW()+1)/3+2))="","",INDIRECT("Dashboard!L"&amp;((ROW()+1)/3+2)))</f>
        <v/>
      </c>
      <c r="T230" s="116" t="str">
        <f ca="1">IF(C233="]);",LEFT(T229,2),T229)</f>
        <v>"},</v>
      </c>
      <c r="V230" s="32" t="str">
        <f t="shared" ca="1" si="44"/>
        <v/>
      </c>
      <c r="W230" s="37" t="s">
        <v>2</v>
      </c>
      <c r="X230" s="32" t="str">
        <f ca="1">G230&amp;" : "&amp;INDIRECT("Dashboard!G"&amp;((ROW()+1)/3+2))</f>
        <v>"10.6" : Deployment Procedure of the code</v>
      </c>
    </row>
    <row r="231" spans="1:24" ht="15" thickBot="1">
      <c r="A231" s="36"/>
      <c r="C231" s="28" t="str">
        <f ca="1">IF(OR(INDIRECT("Dashboard!B"&amp;(ROW()/3+2))&lt;&gt;"&gt;",AND(Q231="",S231="")),"//","")</f>
        <v>//</v>
      </c>
      <c r="D231" s="43" t="str">
        <f t="shared" si="38"/>
        <v xml:space="preserve">{"id": </v>
      </c>
      <c r="E231" s="29">
        <f t="shared" si="45"/>
        <v>228</v>
      </c>
      <c r="F231" s="43" t="str">
        <f t="shared" si="46"/>
        <v>, "group":</v>
      </c>
      <c r="G231" s="43" t="str">
        <f ca="1">G230</f>
        <v>"10.6"</v>
      </c>
      <c r="H231" s="43" t="str">
        <f t="shared" si="47"/>
        <v>, "subgroup": "</v>
      </c>
      <c r="I231" s="43" t="s">
        <v>397</v>
      </c>
      <c r="J231" s="43" t="str">
        <f t="shared" si="39"/>
        <v>", "subgroupOrder":</v>
      </c>
      <c r="K231" s="43">
        <v>0</v>
      </c>
      <c r="L231" s="43" t="str">
        <f t="shared" si="40"/>
        <v>, "className": "</v>
      </c>
      <c r="M231" s="29" t="str">
        <f t="shared" si="48"/>
        <v>orange</v>
      </c>
      <c r="N231" s="43" t="str">
        <f t="shared" si="41"/>
        <v>", "content": "</v>
      </c>
      <c r="O231" s="49" t="s">
        <v>392</v>
      </c>
      <c r="P231" s="43" t="str">
        <f t="shared" si="42"/>
        <v>", "start": "</v>
      </c>
      <c r="Q231" s="44" t="str">
        <f ca="1">S230</f>
        <v/>
      </c>
      <c r="R231" s="43" t="str">
        <f t="shared" si="43"/>
        <v>", "end": "</v>
      </c>
      <c r="S231" s="113" t="str">
        <f ca="1">IF(INDIRECT("Dashboard!M"&amp;(ROW()/3+2))="","",INDIRECT("Dashboard!M"&amp;(ROW()/3+2)))</f>
        <v/>
      </c>
      <c r="T231" s="117" t="str">
        <f ca="1">IF(C233="]);",LEFT(T230,2),T230)</f>
        <v>"},</v>
      </c>
      <c r="V231" s="32" t="str">
        <f t="shared" ca="1" si="44"/>
        <v/>
      </c>
      <c r="W231" s="37" t="s">
        <v>2</v>
      </c>
    </row>
    <row r="232" spans="1:24">
      <c r="A232" s="36"/>
      <c r="C232" s="25"/>
      <c r="D232" s="41" t="str">
        <f t="shared" si="38"/>
        <v xml:space="preserve">{"id": </v>
      </c>
      <c r="E232" s="26">
        <f t="shared" si="45"/>
        <v>229</v>
      </c>
      <c r="F232" s="41" t="str">
        <f t="shared" si="46"/>
        <v>, "group":</v>
      </c>
      <c r="G232" s="111" t="str">
        <f ca="1">CHAR(34)&amp;INDIRECT("Dashboard!A"&amp;(ROW()-1)/3+3)&amp;CHAR(34)</f>
        <v>"10.7"</v>
      </c>
      <c r="H232" s="41" t="str">
        <f t="shared" si="47"/>
        <v>, "subgroup": "</v>
      </c>
      <c r="I232" s="41" t="s">
        <v>396</v>
      </c>
      <c r="J232" s="41" t="str">
        <f t="shared" si="39"/>
        <v>", "subgroupOrder":</v>
      </c>
      <c r="K232" s="41">
        <v>1</v>
      </c>
      <c r="L232" s="41" t="str">
        <f t="shared" si="40"/>
        <v>, "className": "</v>
      </c>
      <c r="M232" s="26" t="str">
        <f t="shared" si="48"/>
        <v>gray</v>
      </c>
      <c r="N232" s="41" t="str">
        <f t="shared" si="41"/>
        <v>", "content": "</v>
      </c>
      <c r="O232" s="40" t="s">
        <v>388</v>
      </c>
      <c r="P232" s="41" t="str">
        <f t="shared" si="42"/>
        <v>", "start": "</v>
      </c>
      <c r="Q232" s="42">
        <f ca="1">IF(INDIRECT("Dashboard!I"&amp;(ROW()-1)/3+3)="","",INDIRECT("Dashboard!I"&amp;(ROW()-1)/3+3))</f>
        <v>45017</v>
      </c>
      <c r="R232" s="41" t="str">
        <f t="shared" si="43"/>
        <v>", "end": "</v>
      </c>
      <c r="S232" s="42">
        <f ca="1">IF(INDIRECT("Dashboard!J"&amp;(ROW()-1)/3+3)="","",INDIRECT("Dashboard!J"&amp;(ROW()-1)/3+3))</f>
        <v>45169</v>
      </c>
      <c r="T232" s="118" t="str">
        <f ca="1">IF(C236="]);",LEFT(T231,2),T231)</f>
        <v>"},</v>
      </c>
      <c r="V232" s="32" t="str">
        <f t="shared" ca="1" si="44"/>
        <v>{"id": 229, "group":"10.7", "subgroup": "plan", "subgroupOrder":1, "className": "gray", "content": "Planned", "start": "2023-04-01", "end": "2023-08-31"},</v>
      </c>
      <c r="W232" s="37" t="s">
        <v>2</v>
      </c>
    </row>
    <row r="233" spans="1:24">
      <c r="A233" s="36"/>
      <c r="C233" s="31" t="str">
        <f ca="1">IF(AND(Q233="", S233=""),"//","")</f>
        <v>//</v>
      </c>
      <c r="D233" s="37" t="str">
        <f t="shared" si="38"/>
        <v xml:space="preserve">{"id": </v>
      </c>
      <c r="E233" s="32">
        <f t="shared" si="45"/>
        <v>230</v>
      </c>
      <c r="F233" s="37" t="str">
        <f t="shared" si="46"/>
        <v>, "group":</v>
      </c>
      <c r="G233" s="37" t="str">
        <f ca="1">G232</f>
        <v>"10.7"</v>
      </c>
      <c r="H233" s="37" t="str">
        <f t="shared" si="47"/>
        <v>, "subgroup": "</v>
      </c>
      <c r="I233" s="37" t="s">
        <v>397</v>
      </c>
      <c r="J233" s="37" t="str">
        <f t="shared" si="39"/>
        <v>", "subgroupOrder":</v>
      </c>
      <c r="K233" s="37">
        <v>0</v>
      </c>
      <c r="L233" s="37" t="str">
        <f t="shared" si="40"/>
        <v>, "className": "</v>
      </c>
      <c r="M233" s="32" t="str">
        <f t="shared" ca="1" si="48"/>
        <v>pink-white</v>
      </c>
      <c r="N233" s="37" t="str">
        <f t="shared" si="41"/>
        <v>", "content": "</v>
      </c>
      <c r="O233" s="34" t="str">
        <f ca="1">IF(INDIRECT("Dashboard!P"&amp;((ROW()+1)/3+2))=1,"Completed",IF(INDIRECT("Dashboard!P"&amp;((ROW()+1)/3+2))="","","Pending"))</f>
        <v>Pending</v>
      </c>
      <c r="P233" s="37" t="str">
        <f t="shared" si="42"/>
        <v>", "start": "</v>
      </c>
      <c r="Q233" s="38" t="str">
        <f ca="1">IF(INDIRECT("Dashboard!K"&amp;((ROW()+1)/3+2))="","",INDIRECT("Dashboard!K"&amp;((ROW()+1)/3+2)))</f>
        <v/>
      </c>
      <c r="R233" s="37" t="str">
        <f t="shared" si="43"/>
        <v>", "end": "</v>
      </c>
      <c r="S233" s="38" t="str">
        <f ca="1">IF(INDIRECT("Dashboard!L"&amp;((ROW()+1)/3+2))="","",INDIRECT("Dashboard!L"&amp;((ROW()+1)/3+2)))</f>
        <v/>
      </c>
      <c r="T233" s="116" t="str">
        <f ca="1">IF(C236="]);",LEFT(T232,2),T232)</f>
        <v>"},</v>
      </c>
      <c r="V233" s="32" t="str">
        <f t="shared" ca="1" si="44"/>
        <v/>
      </c>
      <c r="W233" s="37" t="s">
        <v>2</v>
      </c>
      <c r="X233" s="32" t="str">
        <f ca="1">G233&amp;" : "&amp;INDIRECT("Dashboard!G"&amp;((ROW()+1)/3+2))</f>
        <v>"10.7" : Product usage guide with examples for all the functional usecases</v>
      </c>
    </row>
    <row r="234" spans="1:24" ht="15" thickBot="1">
      <c r="A234" s="36"/>
      <c r="C234" s="28" t="str">
        <f ca="1">IF(OR(INDIRECT("Dashboard!B"&amp;(ROW()/3+2))&lt;&gt;"&gt;",AND(Q234="",S234="")),"//","")</f>
        <v>//</v>
      </c>
      <c r="D234" s="43" t="str">
        <f t="shared" si="38"/>
        <v xml:space="preserve">{"id": </v>
      </c>
      <c r="E234" s="29">
        <f t="shared" si="45"/>
        <v>231</v>
      </c>
      <c r="F234" s="43" t="str">
        <f t="shared" si="46"/>
        <v>, "group":</v>
      </c>
      <c r="G234" s="43" t="str">
        <f ca="1">G233</f>
        <v>"10.7"</v>
      </c>
      <c r="H234" s="43" t="str">
        <f t="shared" si="47"/>
        <v>, "subgroup": "</v>
      </c>
      <c r="I234" s="43" t="s">
        <v>397</v>
      </c>
      <c r="J234" s="43" t="str">
        <f t="shared" si="39"/>
        <v>", "subgroupOrder":</v>
      </c>
      <c r="K234" s="43">
        <v>0</v>
      </c>
      <c r="L234" s="43" t="str">
        <f t="shared" si="40"/>
        <v>, "className": "</v>
      </c>
      <c r="M234" s="29" t="str">
        <f t="shared" si="48"/>
        <v>orange</v>
      </c>
      <c r="N234" s="43" t="str">
        <f t="shared" si="41"/>
        <v>", "content": "</v>
      </c>
      <c r="O234" s="49" t="s">
        <v>392</v>
      </c>
      <c r="P234" s="43" t="str">
        <f t="shared" si="42"/>
        <v>", "start": "</v>
      </c>
      <c r="Q234" s="44" t="str">
        <f ca="1">S233</f>
        <v/>
      </c>
      <c r="R234" s="43" t="str">
        <f t="shared" si="43"/>
        <v>", "end": "</v>
      </c>
      <c r="S234" s="113" t="str">
        <f ca="1">IF(INDIRECT("Dashboard!M"&amp;(ROW()/3+2))="","",INDIRECT("Dashboard!M"&amp;(ROW()/3+2)))</f>
        <v/>
      </c>
      <c r="T234" s="117" t="str">
        <f ca="1">IF(C236="]);",LEFT(T233,2),T233)</f>
        <v>"},</v>
      </c>
      <c r="V234" s="32" t="str">
        <f t="shared" ca="1" si="44"/>
        <v/>
      </c>
      <c r="W234" s="37" t="s">
        <v>2</v>
      </c>
    </row>
    <row r="235" spans="1:24">
      <c r="A235" s="36"/>
      <c r="C235" s="25"/>
      <c r="D235" s="41" t="str">
        <f t="shared" si="38"/>
        <v xml:space="preserve">{"id": </v>
      </c>
      <c r="E235" s="26">
        <f t="shared" si="45"/>
        <v>232</v>
      </c>
      <c r="F235" s="41" t="str">
        <f t="shared" si="46"/>
        <v>, "group":</v>
      </c>
      <c r="G235" s="111" t="str">
        <f ca="1">CHAR(34)&amp;INDIRECT("Dashboard!A"&amp;(ROW()-1)/3+3)&amp;CHAR(34)</f>
        <v>"10.8"</v>
      </c>
      <c r="H235" s="41" t="str">
        <f t="shared" si="47"/>
        <v>, "subgroup": "</v>
      </c>
      <c r="I235" s="41" t="s">
        <v>396</v>
      </c>
      <c r="J235" s="41" t="str">
        <f t="shared" si="39"/>
        <v>", "subgroupOrder":</v>
      </c>
      <c r="K235" s="41">
        <v>1</v>
      </c>
      <c r="L235" s="41" t="str">
        <f t="shared" si="40"/>
        <v>, "className": "</v>
      </c>
      <c r="M235" s="26" t="str">
        <f t="shared" si="48"/>
        <v>gray</v>
      </c>
      <c r="N235" s="41" t="str">
        <f t="shared" si="41"/>
        <v>", "content": "</v>
      </c>
      <c r="O235" s="40" t="s">
        <v>388</v>
      </c>
      <c r="P235" s="41" t="str">
        <f t="shared" si="42"/>
        <v>", "start": "</v>
      </c>
      <c r="Q235" s="42">
        <f ca="1">IF(INDIRECT("Dashboard!I"&amp;(ROW()-1)/3+3)="","",INDIRECT("Dashboard!I"&amp;(ROW()-1)/3+3))</f>
        <v>45017</v>
      </c>
      <c r="R235" s="41" t="str">
        <f t="shared" si="43"/>
        <v>", "end": "</v>
      </c>
      <c r="S235" s="42">
        <f ca="1">IF(INDIRECT("Dashboard!J"&amp;(ROW()-1)/3+3)="","",INDIRECT("Dashboard!J"&amp;(ROW()-1)/3+3))</f>
        <v>45169</v>
      </c>
      <c r="T235" s="118" t="str">
        <f ca="1">IF(C239="]);",LEFT(T234,2),T234)</f>
        <v>"},</v>
      </c>
      <c r="V235" s="32" t="str">
        <f t="shared" ca="1" si="44"/>
        <v>{"id": 232, "group":"10.8", "subgroup": "plan", "subgroupOrder":1, "className": "gray", "content": "Planned", "start": "2023-04-01", "end": "2023-08-31"},</v>
      </c>
      <c r="W235" s="37" t="s">
        <v>2</v>
      </c>
    </row>
    <row r="236" spans="1:24">
      <c r="A236" s="36"/>
      <c r="C236" s="31" t="str">
        <f ca="1">IF(AND(Q236="", S236=""),"//","")</f>
        <v>//</v>
      </c>
      <c r="D236" s="37" t="str">
        <f t="shared" si="38"/>
        <v xml:space="preserve">{"id": </v>
      </c>
      <c r="E236" s="32">
        <f t="shared" si="45"/>
        <v>233</v>
      </c>
      <c r="F236" s="37" t="str">
        <f t="shared" si="46"/>
        <v>, "group":</v>
      </c>
      <c r="G236" s="37" t="str">
        <f ca="1">G235</f>
        <v>"10.8"</v>
      </c>
      <c r="H236" s="37" t="str">
        <f t="shared" si="47"/>
        <v>, "subgroup": "</v>
      </c>
      <c r="I236" s="37" t="s">
        <v>397</v>
      </c>
      <c r="J236" s="37" t="str">
        <f t="shared" si="39"/>
        <v>", "subgroupOrder":</v>
      </c>
      <c r="K236" s="37">
        <v>0</v>
      </c>
      <c r="L236" s="37" t="str">
        <f t="shared" si="40"/>
        <v>, "className": "</v>
      </c>
      <c r="M236" s="32" t="str">
        <f t="shared" ca="1" si="48"/>
        <v>pink-white</v>
      </c>
      <c r="N236" s="37" t="str">
        <f t="shared" si="41"/>
        <v>", "content": "</v>
      </c>
      <c r="O236" s="34" t="str">
        <f ca="1">IF(INDIRECT("Dashboard!P"&amp;((ROW()+1)/3+2))=1,"Completed",IF(INDIRECT("Dashboard!P"&amp;((ROW()+1)/3+2))="","","Pending"))</f>
        <v>Pending</v>
      </c>
      <c r="P236" s="37" t="str">
        <f t="shared" si="42"/>
        <v>", "start": "</v>
      </c>
      <c r="Q236" s="38" t="str">
        <f ca="1">IF(INDIRECT("Dashboard!K"&amp;((ROW()+1)/3+2))="","",INDIRECT("Dashboard!K"&amp;((ROW()+1)/3+2)))</f>
        <v/>
      </c>
      <c r="R236" s="37" t="str">
        <f t="shared" si="43"/>
        <v>", "end": "</v>
      </c>
      <c r="S236" s="38" t="str">
        <f ca="1">IF(INDIRECT("Dashboard!L"&amp;((ROW()+1)/3+2))="","",INDIRECT("Dashboard!L"&amp;((ROW()+1)/3+2)))</f>
        <v/>
      </c>
      <c r="T236" s="116" t="str">
        <f ca="1">IF(C239="]);",LEFT(T235,2),T235)</f>
        <v>"},</v>
      </c>
      <c r="V236" s="32" t="str">
        <f t="shared" ca="1" si="44"/>
        <v/>
      </c>
      <c r="W236" s="37" t="s">
        <v>2</v>
      </c>
      <c r="X236" s="32" t="str">
        <f ca="1">G236&amp;" : "&amp;INDIRECT("Dashboard!G"&amp;((ROW()+1)/3+2))</f>
        <v xml:space="preserve">"10.8" : Test report </v>
      </c>
    </row>
    <row r="237" spans="1:24" ht="15" thickBot="1">
      <c r="A237" s="36"/>
      <c r="C237" s="28" t="str">
        <f ca="1">IF(OR(INDIRECT("Dashboard!B"&amp;(ROW()/3+2))&lt;&gt;"&gt;",AND(Q237="",S237="")),"//","")</f>
        <v>//</v>
      </c>
      <c r="D237" s="43" t="str">
        <f t="shared" si="38"/>
        <v xml:space="preserve">{"id": </v>
      </c>
      <c r="E237" s="29">
        <f t="shared" si="45"/>
        <v>234</v>
      </c>
      <c r="F237" s="43" t="str">
        <f t="shared" si="46"/>
        <v>, "group":</v>
      </c>
      <c r="G237" s="43" t="str">
        <f ca="1">G236</f>
        <v>"10.8"</v>
      </c>
      <c r="H237" s="43" t="str">
        <f t="shared" si="47"/>
        <v>, "subgroup": "</v>
      </c>
      <c r="I237" s="43" t="s">
        <v>397</v>
      </c>
      <c r="J237" s="43" t="str">
        <f t="shared" si="39"/>
        <v>", "subgroupOrder":</v>
      </c>
      <c r="K237" s="43">
        <v>0</v>
      </c>
      <c r="L237" s="43" t="str">
        <f t="shared" si="40"/>
        <v>, "className": "</v>
      </c>
      <c r="M237" s="29" t="str">
        <f t="shared" si="48"/>
        <v>orange</v>
      </c>
      <c r="N237" s="43" t="str">
        <f t="shared" si="41"/>
        <v>", "content": "</v>
      </c>
      <c r="O237" s="49" t="s">
        <v>392</v>
      </c>
      <c r="P237" s="43" t="str">
        <f t="shared" si="42"/>
        <v>", "start": "</v>
      </c>
      <c r="Q237" s="44" t="str">
        <f ca="1">S236</f>
        <v/>
      </c>
      <c r="R237" s="43" t="str">
        <f t="shared" si="43"/>
        <v>", "end": "</v>
      </c>
      <c r="S237" s="113" t="str">
        <f ca="1">IF(INDIRECT("Dashboard!M"&amp;(ROW()/3+2))="","",INDIRECT("Dashboard!M"&amp;(ROW()/3+2)))</f>
        <v/>
      </c>
      <c r="T237" s="117" t="str">
        <f ca="1">IF(C239="]);",LEFT(T236,2),T236)</f>
        <v>"},</v>
      </c>
      <c r="V237" s="32" t="str">
        <f t="shared" ca="1" si="44"/>
        <v/>
      </c>
      <c r="W237" s="37" t="s">
        <v>2</v>
      </c>
    </row>
    <row r="238" spans="1:24">
      <c r="A238" s="36"/>
      <c r="C238" s="25"/>
      <c r="D238" s="41" t="str">
        <f t="shared" si="38"/>
        <v xml:space="preserve">{"id": </v>
      </c>
      <c r="E238" s="26">
        <f t="shared" si="45"/>
        <v>235</v>
      </c>
      <c r="F238" s="41" t="str">
        <f t="shared" si="46"/>
        <v>, "group":</v>
      </c>
      <c r="G238" s="111" t="str">
        <f ca="1">CHAR(34)&amp;INDIRECT("Dashboard!A"&amp;(ROW()-1)/3+3)&amp;CHAR(34)</f>
        <v>"11"</v>
      </c>
      <c r="H238" s="41" t="str">
        <f t="shared" si="47"/>
        <v>, "subgroup": "</v>
      </c>
      <c r="I238" s="41" t="s">
        <v>396</v>
      </c>
      <c r="J238" s="41" t="str">
        <f t="shared" si="39"/>
        <v>", "subgroupOrder":</v>
      </c>
      <c r="K238" s="41">
        <v>1</v>
      </c>
      <c r="L238" s="41" t="str">
        <f t="shared" si="40"/>
        <v>, "className": "</v>
      </c>
      <c r="M238" s="26" t="str">
        <f t="shared" si="48"/>
        <v>gray</v>
      </c>
      <c r="N238" s="41" t="str">
        <f t="shared" si="41"/>
        <v>", "content": "</v>
      </c>
      <c r="O238" s="40" t="s">
        <v>388</v>
      </c>
      <c r="P238" s="41" t="str">
        <f t="shared" si="42"/>
        <v>", "start": "</v>
      </c>
      <c r="Q238" s="42">
        <f ca="1">IF(INDIRECT("Dashboard!I"&amp;(ROW()-1)/3+3)="","",INDIRECT("Dashboard!I"&amp;(ROW()-1)/3+3))</f>
        <v>45078</v>
      </c>
      <c r="R238" s="41" t="str">
        <f t="shared" si="43"/>
        <v>", "end": "</v>
      </c>
      <c r="S238" s="42">
        <f ca="1">IF(INDIRECT("Dashboard!J"&amp;(ROW()-1)/3+3)="","",INDIRECT("Dashboard!J"&amp;(ROW()-1)/3+3))</f>
        <v>45291</v>
      </c>
      <c r="T238" s="118" t="str">
        <f ca="1">IF(C242="]);",LEFT(T237,2),T237)</f>
        <v>"},</v>
      </c>
      <c r="V238" s="32" t="str">
        <f t="shared" ca="1" si="44"/>
        <v>{"id": 235, "group":"11", "subgroup": "plan", "subgroupOrder":1, "className": "gray", "content": "Planned", "start": "2023-06-01", "end": "2023-12-31"},</v>
      </c>
      <c r="W238" s="37" t="s">
        <v>2</v>
      </c>
    </row>
    <row r="239" spans="1:24">
      <c r="A239" s="36"/>
      <c r="C239" s="31" t="str">
        <f ca="1">IF(AND(Q239="", S239=""),"//","")</f>
        <v>//</v>
      </c>
      <c r="D239" s="37" t="str">
        <f t="shared" si="38"/>
        <v xml:space="preserve">{"id": </v>
      </c>
      <c r="E239" s="32">
        <f t="shared" si="45"/>
        <v>236</v>
      </c>
      <c r="F239" s="37" t="str">
        <f t="shared" si="46"/>
        <v>, "group":</v>
      </c>
      <c r="G239" s="37" t="str">
        <f ca="1">G238</f>
        <v>"11"</v>
      </c>
      <c r="H239" s="37" t="str">
        <f t="shared" si="47"/>
        <v>, "subgroup": "</v>
      </c>
      <c r="I239" s="37" t="s">
        <v>397</v>
      </c>
      <c r="J239" s="37" t="str">
        <f t="shared" si="39"/>
        <v>", "subgroupOrder":</v>
      </c>
      <c r="K239" s="37">
        <v>0</v>
      </c>
      <c r="L239" s="37" t="str">
        <f t="shared" si="40"/>
        <v>, "className": "</v>
      </c>
      <c r="M239" s="32" t="str">
        <f t="shared" ca="1" si="48"/>
        <v>pink-white</v>
      </c>
      <c r="N239" s="37" t="str">
        <f t="shared" si="41"/>
        <v>", "content": "</v>
      </c>
      <c r="O239" s="34" t="str">
        <f ca="1">IF(INDIRECT("Dashboard!P"&amp;((ROW()+1)/3+2))=1,"Completed",IF(INDIRECT("Dashboard!P"&amp;((ROW()+1)/3+2))="","","Pending"))</f>
        <v>Pending</v>
      </c>
      <c r="P239" s="37" t="str">
        <f t="shared" si="42"/>
        <v>", "start": "</v>
      </c>
      <c r="Q239" s="38" t="str">
        <f ca="1">IF(INDIRECT("Dashboard!K"&amp;((ROW()+1)/3+2))="","",INDIRECT("Dashboard!K"&amp;((ROW()+1)/3+2)))</f>
        <v/>
      </c>
      <c r="R239" s="37" t="str">
        <f t="shared" si="43"/>
        <v>", "end": "</v>
      </c>
      <c r="S239" s="38" t="str">
        <f ca="1">IF(INDIRECT("Dashboard!L"&amp;((ROW()+1)/3+2))="","",INDIRECT("Dashboard!L"&amp;((ROW()+1)/3+2)))</f>
        <v/>
      </c>
      <c r="T239" s="116" t="str">
        <f ca="1">IF(C242="]);",LEFT(T238,2),T238)</f>
        <v>"},</v>
      </c>
      <c r="V239" s="32" t="str">
        <f t="shared" ca="1" si="44"/>
        <v/>
      </c>
      <c r="W239" s="37" t="s">
        <v>2</v>
      </c>
      <c r="X239" s="32" t="str">
        <f ca="1">G239&amp;" : "&amp;INDIRECT("Dashboard!G"&amp;((ROW()+1)/3+2))</f>
        <v>"11" : M10. Decision Engine AI/ML models - Bidder operation</v>
      </c>
    </row>
    <row r="240" spans="1:24" ht="15" thickBot="1">
      <c r="A240" s="36"/>
      <c r="C240" s="28" t="str">
        <f ca="1">IF(OR(INDIRECT("Dashboard!B"&amp;(ROW()/3+2))&lt;&gt;"&gt;",AND(Q240="",S240="")),"//","")</f>
        <v>//</v>
      </c>
      <c r="D240" s="43" t="str">
        <f t="shared" si="38"/>
        <v xml:space="preserve">{"id": </v>
      </c>
      <c r="E240" s="29">
        <f t="shared" si="45"/>
        <v>237</v>
      </c>
      <c r="F240" s="43" t="str">
        <f t="shared" si="46"/>
        <v>, "group":</v>
      </c>
      <c r="G240" s="43" t="str">
        <f ca="1">G239</f>
        <v>"11"</v>
      </c>
      <c r="H240" s="43" t="str">
        <f t="shared" si="47"/>
        <v>, "subgroup": "</v>
      </c>
      <c r="I240" s="43" t="s">
        <v>397</v>
      </c>
      <c r="J240" s="43" t="str">
        <f t="shared" si="39"/>
        <v>", "subgroupOrder":</v>
      </c>
      <c r="K240" s="43">
        <v>0</v>
      </c>
      <c r="L240" s="43" t="str">
        <f t="shared" si="40"/>
        <v>, "className": "</v>
      </c>
      <c r="M240" s="29" t="str">
        <f t="shared" si="48"/>
        <v>orange</v>
      </c>
      <c r="N240" s="43" t="str">
        <f t="shared" si="41"/>
        <v>", "content": "</v>
      </c>
      <c r="O240" s="49" t="s">
        <v>392</v>
      </c>
      <c r="P240" s="43" t="str">
        <f t="shared" si="42"/>
        <v>", "start": "</v>
      </c>
      <c r="Q240" s="44" t="str">
        <f ca="1">S239</f>
        <v/>
      </c>
      <c r="R240" s="43" t="str">
        <f t="shared" si="43"/>
        <v>", "end": "</v>
      </c>
      <c r="S240" s="113" t="str">
        <f ca="1">IF(INDIRECT("Dashboard!M"&amp;(ROW()/3+2))="","",INDIRECT("Dashboard!M"&amp;(ROW()/3+2)))</f>
        <v/>
      </c>
      <c r="T240" s="117" t="str">
        <f ca="1">IF(C242="]);",LEFT(T239,2),T239)</f>
        <v>"},</v>
      </c>
      <c r="V240" s="32" t="str">
        <f t="shared" ca="1" si="44"/>
        <v/>
      </c>
      <c r="W240" s="37" t="s">
        <v>2</v>
      </c>
    </row>
    <row r="241" spans="1:24">
      <c r="A241" s="36"/>
      <c r="C241" s="25"/>
      <c r="D241" s="41" t="str">
        <f t="shared" si="38"/>
        <v xml:space="preserve">{"id": </v>
      </c>
      <c r="E241" s="26">
        <f t="shared" si="45"/>
        <v>238</v>
      </c>
      <c r="F241" s="41" t="str">
        <f t="shared" si="46"/>
        <v>, "group":</v>
      </c>
      <c r="G241" s="111" t="str">
        <f ca="1">CHAR(34)&amp;INDIRECT("Dashboard!A"&amp;(ROW()-1)/3+3)&amp;CHAR(34)</f>
        <v>"11.1"</v>
      </c>
      <c r="H241" s="41" t="str">
        <f t="shared" si="47"/>
        <v>, "subgroup": "</v>
      </c>
      <c r="I241" s="41" t="s">
        <v>396</v>
      </c>
      <c r="J241" s="41" t="str">
        <f t="shared" si="39"/>
        <v>", "subgroupOrder":</v>
      </c>
      <c r="K241" s="41">
        <v>1</v>
      </c>
      <c r="L241" s="41" t="str">
        <f t="shared" si="40"/>
        <v>, "className": "</v>
      </c>
      <c r="M241" s="26" t="str">
        <f t="shared" si="48"/>
        <v>gray</v>
      </c>
      <c r="N241" s="41" t="str">
        <f t="shared" si="41"/>
        <v>", "content": "</v>
      </c>
      <c r="O241" s="40" t="s">
        <v>388</v>
      </c>
      <c r="P241" s="41" t="str">
        <f t="shared" si="42"/>
        <v>", "start": "</v>
      </c>
      <c r="Q241" s="42" t="str">
        <f ca="1">IF(INDIRECT("Dashboard!I"&amp;(ROW()-1)/3+3)="","",INDIRECT("Dashboard!I"&amp;(ROW()-1)/3+3))</f>
        <v/>
      </c>
      <c r="R241" s="41" t="str">
        <f t="shared" si="43"/>
        <v>", "end": "</v>
      </c>
      <c r="S241" s="42" t="str">
        <f ca="1">IF(INDIRECT("Dashboard!J"&amp;(ROW()-1)/3+3)="","",INDIRECT("Dashboard!J"&amp;(ROW()-1)/3+3))</f>
        <v/>
      </c>
      <c r="T241" s="118" t="str">
        <f ca="1">IF(C245="]);",LEFT(T240,2),T240)</f>
        <v>"},</v>
      </c>
      <c r="V241" s="32" t="str">
        <f t="shared" ca="1" si="44"/>
        <v>{"id": 238, "group":"11.1", "subgroup": "plan", "subgroupOrder":1, "className": "gray", "content": "Planned", "start": "", "end": ""},</v>
      </c>
      <c r="W241" s="37" t="s">
        <v>2</v>
      </c>
    </row>
    <row r="242" spans="1:24">
      <c r="A242" s="36"/>
      <c r="C242" s="31" t="str">
        <f ca="1">IF(AND(Q242="", S242=""),"//","")</f>
        <v>//</v>
      </c>
      <c r="D242" s="37" t="str">
        <f t="shared" si="38"/>
        <v xml:space="preserve">{"id": </v>
      </c>
      <c r="E242" s="32">
        <f t="shared" si="45"/>
        <v>239</v>
      </c>
      <c r="F242" s="37" t="str">
        <f t="shared" si="46"/>
        <v>, "group":</v>
      </c>
      <c r="G242" s="37" t="str">
        <f ca="1">G241</f>
        <v>"11.1"</v>
      </c>
      <c r="H242" s="37" t="str">
        <f t="shared" si="47"/>
        <v>, "subgroup": "</v>
      </c>
      <c r="I242" s="37" t="s">
        <v>397</v>
      </c>
      <c r="J242" s="37" t="str">
        <f t="shared" si="39"/>
        <v>", "subgroupOrder":</v>
      </c>
      <c r="K242" s="37">
        <v>0</v>
      </c>
      <c r="L242" s="37" t="str">
        <f t="shared" si="40"/>
        <v>, "className": "</v>
      </c>
      <c r="M242" s="32" t="str">
        <f t="shared" ca="1" si="48"/>
        <v/>
      </c>
      <c r="N242" s="37" t="str">
        <f t="shared" si="41"/>
        <v>", "content": "</v>
      </c>
      <c r="O242" s="34" t="str">
        <f ca="1">IF(INDIRECT("Dashboard!P"&amp;((ROW()+1)/3+2))=1,"Completed",IF(INDIRECT("Dashboard!P"&amp;((ROW()+1)/3+2))="","","Pending"))</f>
        <v/>
      </c>
      <c r="P242" s="37" t="str">
        <f t="shared" si="42"/>
        <v>", "start": "</v>
      </c>
      <c r="Q242" s="38" t="str">
        <f ca="1">IF(INDIRECT("Dashboard!K"&amp;((ROW()+1)/3+2))="","",INDIRECT("Dashboard!K"&amp;((ROW()+1)/3+2)))</f>
        <v/>
      </c>
      <c r="R242" s="37" t="str">
        <f t="shared" si="43"/>
        <v>", "end": "</v>
      </c>
      <c r="S242" s="38" t="str">
        <f ca="1">IF(INDIRECT("Dashboard!L"&amp;((ROW()+1)/3+2))="","",INDIRECT("Dashboard!L"&amp;((ROW()+1)/3+2)))</f>
        <v/>
      </c>
      <c r="T242" s="116" t="str">
        <f ca="1">IF(C245="]);",LEFT(T241,2),T241)</f>
        <v>"},</v>
      </c>
      <c r="V242" s="32" t="str">
        <f t="shared" ca="1" si="44"/>
        <v/>
      </c>
      <c r="W242" s="37" t="s">
        <v>2</v>
      </c>
      <c r="X242" s="32" t="str">
        <f ca="1">G242&amp;" : "&amp;INDIRECT("Dashboard!G"&amp;((ROW()+1)/3+2))</f>
        <v>"11.1" : Note : Use data fusion platform to smartly decide bidding operation between energy mode and regulation mode for participation in the energy/ancillary services market.</v>
      </c>
    </row>
    <row r="243" spans="1:24" ht="15" thickBot="1">
      <c r="A243" s="36"/>
      <c r="C243" s="28" t="str">
        <f ca="1">IF(OR(INDIRECT("Dashboard!B"&amp;(ROW()/3+2))&lt;&gt;"&gt;",AND(Q243="",S243="")),"//","")</f>
        <v>//</v>
      </c>
      <c r="D243" s="43" t="str">
        <f t="shared" si="38"/>
        <v xml:space="preserve">{"id": </v>
      </c>
      <c r="E243" s="29">
        <f t="shared" si="45"/>
        <v>240</v>
      </c>
      <c r="F243" s="43" t="str">
        <f t="shared" si="46"/>
        <v>, "group":</v>
      </c>
      <c r="G243" s="43" t="str">
        <f ca="1">G242</f>
        <v>"11.1"</v>
      </c>
      <c r="H243" s="43" t="str">
        <f t="shared" si="47"/>
        <v>, "subgroup": "</v>
      </c>
      <c r="I243" s="43" t="s">
        <v>397</v>
      </c>
      <c r="J243" s="43" t="str">
        <f t="shared" si="39"/>
        <v>", "subgroupOrder":</v>
      </c>
      <c r="K243" s="43">
        <v>0</v>
      </c>
      <c r="L243" s="43" t="str">
        <f t="shared" si="40"/>
        <v>, "className": "</v>
      </c>
      <c r="M243" s="29" t="str">
        <f t="shared" si="48"/>
        <v>orange</v>
      </c>
      <c r="N243" s="43" t="str">
        <f t="shared" si="41"/>
        <v>", "content": "</v>
      </c>
      <c r="O243" s="49" t="s">
        <v>392</v>
      </c>
      <c r="P243" s="43" t="str">
        <f t="shared" si="42"/>
        <v>", "start": "</v>
      </c>
      <c r="Q243" s="44" t="str">
        <f ca="1">S242</f>
        <v/>
      </c>
      <c r="R243" s="43" t="str">
        <f t="shared" si="43"/>
        <v>", "end": "</v>
      </c>
      <c r="S243" s="113" t="str">
        <f ca="1">IF(INDIRECT("Dashboard!M"&amp;(ROW()/3+2))="","",INDIRECT("Dashboard!M"&amp;(ROW()/3+2)))</f>
        <v/>
      </c>
      <c r="T243" s="117" t="str">
        <f ca="1">IF(C245="]);",LEFT(T242,2),T242)</f>
        <v>"},</v>
      </c>
      <c r="V243" s="32" t="str">
        <f t="shared" ca="1" si="44"/>
        <v/>
      </c>
      <c r="W243" s="37" t="s">
        <v>2</v>
      </c>
    </row>
    <row r="244" spans="1:24">
      <c r="A244" s="36"/>
      <c r="C244" s="25"/>
      <c r="D244" s="41" t="str">
        <f t="shared" si="38"/>
        <v xml:space="preserve">{"id": </v>
      </c>
      <c r="E244" s="26">
        <f t="shared" si="45"/>
        <v>241</v>
      </c>
      <c r="F244" s="41" t="str">
        <f t="shared" si="46"/>
        <v>, "group":</v>
      </c>
      <c r="G244" s="111" t="str">
        <f ca="1">CHAR(34)&amp;INDIRECT("Dashboard!A"&amp;(ROW()-1)/3+3)&amp;CHAR(34)</f>
        <v>"11.2"</v>
      </c>
      <c r="H244" s="41" t="str">
        <f t="shared" si="47"/>
        <v>, "subgroup": "</v>
      </c>
      <c r="I244" s="41" t="s">
        <v>396</v>
      </c>
      <c r="J244" s="41" t="str">
        <f t="shared" si="39"/>
        <v>", "subgroupOrder":</v>
      </c>
      <c r="K244" s="41">
        <v>1</v>
      </c>
      <c r="L244" s="41" t="str">
        <f t="shared" si="40"/>
        <v>, "className": "</v>
      </c>
      <c r="M244" s="26" t="str">
        <f t="shared" si="48"/>
        <v>gray</v>
      </c>
      <c r="N244" s="41" t="str">
        <f t="shared" si="41"/>
        <v>", "content": "</v>
      </c>
      <c r="O244" s="40" t="s">
        <v>388</v>
      </c>
      <c r="P244" s="41" t="str">
        <f t="shared" si="42"/>
        <v>", "start": "</v>
      </c>
      <c r="Q244" s="42">
        <f ca="1">IF(INDIRECT("Dashboard!I"&amp;(ROW()-1)/3+3)="","",INDIRECT("Dashboard!I"&amp;(ROW()-1)/3+3))</f>
        <v>45078</v>
      </c>
      <c r="R244" s="41" t="str">
        <f t="shared" si="43"/>
        <v>", "end": "</v>
      </c>
      <c r="S244" s="42">
        <f ca="1">IF(INDIRECT("Dashboard!J"&amp;(ROW()-1)/3+3)="","",INDIRECT("Dashboard!J"&amp;(ROW()-1)/3+3))</f>
        <v>45291</v>
      </c>
      <c r="T244" s="118" t="str">
        <f ca="1">IF(C248="]);",LEFT(T243,2),T243)</f>
        <v>"},</v>
      </c>
      <c r="V244" s="32" t="str">
        <f t="shared" ca="1" si="44"/>
        <v>{"id": 241, "group":"11.2", "subgroup": "plan", "subgroupOrder":1, "className": "gray", "content": "Planned", "start": "2023-06-01", "end": "2023-12-31"},</v>
      </c>
      <c r="W244" s="37" t="s">
        <v>2</v>
      </c>
    </row>
    <row r="245" spans="1:24">
      <c r="A245" s="36"/>
      <c r="C245" s="31" t="str">
        <f ca="1">IF(AND(Q245="", S245=""),"//","")</f>
        <v>//</v>
      </c>
      <c r="D245" s="37" t="str">
        <f t="shared" si="38"/>
        <v xml:space="preserve">{"id": </v>
      </c>
      <c r="E245" s="32">
        <f t="shared" si="45"/>
        <v>242</v>
      </c>
      <c r="F245" s="37" t="str">
        <f t="shared" si="46"/>
        <v>, "group":</v>
      </c>
      <c r="G245" s="37" t="str">
        <f ca="1">G244</f>
        <v>"11.2"</v>
      </c>
      <c r="H245" s="37" t="str">
        <f t="shared" si="47"/>
        <v>, "subgroup": "</v>
      </c>
      <c r="I245" s="37" t="s">
        <v>397</v>
      </c>
      <c r="J245" s="37" t="str">
        <f t="shared" si="39"/>
        <v>", "subgroupOrder":</v>
      </c>
      <c r="K245" s="37">
        <v>0</v>
      </c>
      <c r="L245" s="37" t="str">
        <f t="shared" si="40"/>
        <v>, "className": "</v>
      </c>
      <c r="M245" s="32" t="str">
        <f t="shared" ca="1" si="48"/>
        <v>pink-white</v>
      </c>
      <c r="N245" s="37" t="str">
        <f t="shared" si="41"/>
        <v>", "content": "</v>
      </c>
      <c r="O245" s="34" t="str">
        <f ca="1">IF(INDIRECT("Dashboard!P"&amp;((ROW()+1)/3+2))=1,"Completed",IF(INDIRECT("Dashboard!P"&amp;((ROW()+1)/3+2))="","","Pending"))</f>
        <v>Pending</v>
      </c>
      <c r="P245" s="37" t="str">
        <f t="shared" si="42"/>
        <v>", "start": "</v>
      </c>
      <c r="Q245" s="38" t="str">
        <f ca="1">IF(INDIRECT("Dashboard!K"&amp;((ROW()+1)/3+2))="","",INDIRECT("Dashboard!K"&amp;((ROW()+1)/3+2)))</f>
        <v/>
      </c>
      <c r="R245" s="37" t="str">
        <f t="shared" si="43"/>
        <v>", "end": "</v>
      </c>
      <c r="S245" s="38" t="str">
        <f ca="1">IF(INDIRECT("Dashboard!L"&amp;((ROW()+1)/3+2))="","",INDIRECT("Dashboard!L"&amp;((ROW()+1)/3+2)))</f>
        <v/>
      </c>
      <c r="T245" s="116" t="str">
        <f ca="1">IF(C248="]);",LEFT(T244,2),T244)</f>
        <v>"},</v>
      </c>
      <c r="V245" s="32" t="str">
        <f t="shared" ca="1" si="44"/>
        <v/>
      </c>
      <c r="W245" s="37" t="s">
        <v>2</v>
      </c>
      <c r="X245" s="32" t="str">
        <f ca="1">G245&amp;" : "&amp;INDIRECT("Dashboard!G"&amp;((ROW()+1)/3+2))</f>
        <v>"11.2" : Technical design document explaining the data schema and algorithm</v>
      </c>
    </row>
    <row r="246" spans="1:24" ht="15" thickBot="1">
      <c r="A246" s="36"/>
      <c r="C246" s="28" t="str">
        <f ca="1">IF(OR(INDIRECT("Dashboard!B"&amp;(ROW()/3+2))&lt;&gt;"&gt;",AND(Q246="",S246="")),"//","")</f>
        <v>//</v>
      </c>
      <c r="D246" s="43" t="str">
        <f t="shared" si="38"/>
        <v xml:space="preserve">{"id": </v>
      </c>
      <c r="E246" s="29">
        <f t="shared" si="45"/>
        <v>243</v>
      </c>
      <c r="F246" s="43" t="str">
        <f t="shared" si="46"/>
        <v>, "group":</v>
      </c>
      <c r="G246" s="43" t="str">
        <f ca="1">G245</f>
        <v>"11.2"</v>
      </c>
      <c r="H246" s="43" t="str">
        <f t="shared" si="47"/>
        <v>, "subgroup": "</v>
      </c>
      <c r="I246" s="43" t="s">
        <v>397</v>
      </c>
      <c r="J246" s="43" t="str">
        <f t="shared" si="39"/>
        <v>", "subgroupOrder":</v>
      </c>
      <c r="K246" s="43">
        <v>0</v>
      </c>
      <c r="L246" s="43" t="str">
        <f t="shared" si="40"/>
        <v>, "className": "</v>
      </c>
      <c r="M246" s="29" t="str">
        <f t="shared" si="48"/>
        <v>orange</v>
      </c>
      <c r="N246" s="43" t="str">
        <f t="shared" si="41"/>
        <v>", "content": "</v>
      </c>
      <c r="O246" s="49" t="s">
        <v>392</v>
      </c>
      <c r="P246" s="43" t="str">
        <f t="shared" si="42"/>
        <v>", "start": "</v>
      </c>
      <c r="Q246" s="44" t="str">
        <f ca="1">S245</f>
        <v/>
      </c>
      <c r="R246" s="43" t="str">
        <f t="shared" si="43"/>
        <v>", "end": "</v>
      </c>
      <c r="S246" s="113" t="str">
        <f ca="1">IF(INDIRECT("Dashboard!M"&amp;(ROW()/3+2))="","",INDIRECT("Dashboard!M"&amp;(ROW()/3+2)))</f>
        <v/>
      </c>
      <c r="T246" s="117" t="str">
        <f ca="1">IF(C248="]);",LEFT(T245,2),T245)</f>
        <v>"},</v>
      </c>
      <c r="V246" s="32" t="str">
        <f t="shared" ca="1" si="44"/>
        <v/>
      </c>
      <c r="W246" s="37" t="s">
        <v>2</v>
      </c>
    </row>
    <row r="247" spans="1:24">
      <c r="A247" s="36"/>
      <c r="C247" s="25"/>
      <c r="D247" s="41" t="str">
        <f t="shared" si="38"/>
        <v xml:space="preserve">{"id": </v>
      </c>
      <c r="E247" s="26">
        <f t="shared" si="45"/>
        <v>244</v>
      </c>
      <c r="F247" s="41" t="str">
        <f t="shared" si="46"/>
        <v>, "group":</v>
      </c>
      <c r="G247" s="111" t="str">
        <f ca="1">CHAR(34)&amp;INDIRECT("Dashboard!A"&amp;(ROW()-1)/3+3)&amp;CHAR(34)</f>
        <v>"11.3"</v>
      </c>
      <c r="H247" s="41" t="str">
        <f t="shared" si="47"/>
        <v>, "subgroup": "</v>
      </c>
      <c r="I247" s="41" t="s">
        <v>396</v>
      </c>
      <c r="J247" s="41" t="str">
        <f t="shared" si="39"/>
        <v>", "subgroupOrder":</v>
      </c>
      <c r="K247" s="41">
        <v>1</v>
      </c>
      <c r="L247" s="41" t="str">
        <f t="shared" si="40"/>
        <v>, "className": "</v>
      </c>
      <c r="M247" s="26" t="str">
        <f t="shared" si="48"/>
        <v>gray</v>
      </c>
      <c r="N247" s="41" t="str">
        <f t="shared" si="41"/>
        <v>", "content": "</v>
      </c>
      <c r="O247" s="40" t="s">
        <v>388</v>
      </c>
      <c r="P247" s="41" t="str">
        <f t="shared" si="42"/>
        <v>", "start": "</v>
      </c>
      <c r="Q247" s="42">
        <f ca="1">IF(INDIRECT("Dashboard!I"&amp;(ROW()-1)/3+3)="","",INDIRECT("Dashboard!I"&amp;(ROW()-1)/3+3))</f>
        <v>45078</v>
      </c>
      <c r="R247" s="41" t="str">
        <f t="shared" si="43"/>
        <v>", "end": "</v>
      </c>
      <c r="S247" s="42">
        <f ca="1">IF(INDIRECT("Dashboard!J"&amp;(ROW()-1)/3+3)="","",INDIRECT("Dashboard!J"&amp;(ROW()-1)/3+3))</f>
        <v>45291</v>
      </c>
      <c r="T247" s="118" t="str">
        <f ca="1">IF(C251="]);",LEFT(T246,2),T246)</f>
        <v>"},</v>
      </c>
      <c r="V247" s="32" t="str">
        <f t="shared" ca="1" si="44"/>
        <v>{"id": 244, "group":"11.3", "subgroup": "plan", "subgroupOrder":1, "className": "gray", "content": "Planned", "start": "2023-06-01", "end": "2023-12-31"},</v>
      </c>
      <c r="W247" s="37" t="s">
        <v>2</v>
      </c>
    </row>
    <row r="248" spans="1:24">
      <c r="A248" s="36"/>
      <c r="C248" s="31" t="str">
        <f ca="1">IF(AND(Q248="", S248=""),"//","")</f>
        <v>//</v>
      </c>
      <c r="D248" s="37" t="str">
        <f t="shared" si="38"/>
        <v xml:space="preserve">{"id": </v>
      </c>
      <c r="E248" s="32">
        <f t="shared" si="45"/>
        <v>245</v>
      </c>
      <c r="F248" s="37" t="str">
        <f t="shared" si="46"/>
        <v>, "group":</v>
      </c>
      <c r="G248" s="37" t="str">
        <f ca="1">G247</f>
        <v>"11.3"</v>
      </c>
      <c r="H248" s="37" t="str">
        <f t="shared" si="47"/>
        <v>, "subgroup": "</v>
      </c>
      <c r="I248" s="37" t="s">
        <v>397</v>
      </c>
      <c r="J248" s="37" t="str">
        <f t="shared" si="39"/>
        <v>", "subgroupOrder":</v>
      </c>
      <c r="K248" s="37">
        <v>0</v>
      </c>
      <c r="L248" s="37" t="str">
        <f t="shared" si="40"/>
        <v>, "className": "</v>
      </c>
      <c r="M248" s="32" t="str">
        <f t="shared" ca="1" si="48"/>
        <v>pink-white</v>
      </c>
      <c r="N248" s="37" t="str">
        <f t="shared" si="41"/>
        <v>", "content": "</v>
      </c>
      <c r="O248" s="34" t="str">
        <f ca="1">IF(INDIRECT("Dashboard!P"&amp;((ROW()+1)/3+2))=1,"Completed",IF(INDIRECT("Dashboard!P"&amp;((ROW()+1)/3+2))="","","Pending"))</f>
        <v>Pending</v>
      </c>
      <c r="P248" s="37" t="str">
        <f t="shared" si="42"/>
        <v>", "start": "</v>
      </c>
      <c r="Q248" s="38" t="str">
        <f ca="1">IF(INDIRECT("Dashboard!K"&amp;((ROW()+1)/3+2))="","",INDIRECT("Dashboard!K"&amp;((ROW()+1)/3+2)))</f>
        <v/>
      </c>
      <c r="R248" s="37" t="str">
        <f t="shared" si="43"/>
        <v>", "end": "</v>
      </c>
      <c r="S248" s="38" t="str">
        <f ca="1">IF(INDIRECT("Dashboard!L"&amp;((ROW()+1)/3+2))="","",INDIRECT("Dashboard!L"&amp;((ROW()+1)/3+2)))</f>
        <v/>
      </c>
      <c r="T248" s="116" t="str">
        <f ca="1">IF(C251="]);",LEFT(T247,2),T247)</f>
        <v>"},</v>
      </c>
      <c r="V248" s="32" t="str">
        <f t="shared" ca="1" si="44"/>
        <v/>
      </c>
      <c r="W248" s="37" t="s">
        <v>2</v>
      </c>
      <c r="X248" s="32" t="str">
        <f ca="1">G248&amp;" : "&amp;INDIRECT("Dashboard!G"&amp;((ROW()+1)/3+2))</f>
        <v>"11.3" : Software Code</v>
      </c>
    </row>
    <row r="249" spans="1:24" ht="15" thickBot="1">
      <c r="A249" s="36"/>
      <c r="C249" s="28" t="str">
        <f ca="1">IF(OR(INDIRECT("Dashboard!B"&amp;(ROW()/3+2))&lt;&gt;"&gt;",AND(Q249="",S249="")),"//","")</f>
        <v>//</v>
      </c>
      <c r="D249" s="43" t="str">
        <f t="shared" si="38"/>
        <v xml:space="preserve">{"id": </v>
      </c>
      <c r="E249" s="29">
        <f t="shared" si="45"/>
        <v>246</v>
      </c>
      <c r="F249" s="43" t="str">
        <f t="shared" si="46"/>
        <v>, "group":</v>
      </c>
      <c r="G249" s="43" t="str">
        <f ca="1">G248</f>
        <v>"11.3"</v>
      </c>
      <c r="H249" s="43" t="str">
        <f t="shared" si="47"/>
        <v>, "subgroup": "</v>
      </c>
      <c r="I249" s="43" t="s">
        <v>397</v>
      </c>
      <c r="J249" s="43" t="str">
        <f t="shared" si="39"/>
        <v>", "subgroupOrder":</v>
      </c>
      <c r="K249" s="43">
        <v>0</v>
      </c>
      <c r="L249" s="43" t="str">
        <f t="shared" si="40"/>
        <v>, "className": "</v>
      </c>
      <c r="M249" s="29" t="str">
        <f t="shared" si="48"/>
        <v>orange</v>
      </c>
      <c r="N249" s="43" t="str">
        <f t="shared" si="41"/>
        <v>", "content": "</v>
      </c>
      <c r="O249" s="49" t="s">
        <v>392</v>
      </c>
      <c r="P249" s="43" t="str">
        <f t="shared" si="42"/>
        <v>", "start": "</v>
      </c>
      <c r="Q249" s="44" t="str">
        <f ca="1">S248</f>
        <v/>
      </c>
      <c r="R249" s="43" t="str">
        <f t="shared" si="43"/>
        <v>", "end": "</v>
      </c>
      <c r="S249" s="113" t="str">
        <f ca="1">IF(INDIRECT("Dashboard!M"&amp;(ROW()/3+2))="","",INDIRECT("Dashboard!M"&amp;(ROW()/3+2)))</f>
        <v/>
      </c>
      <c r="T249" s="117" t="str">
        <f ca="1">IF(C251="]);",LEFT(T248,2),T248)</f>
        <v>"},</v>
      </c>
      <c r="V249" s="32" t="str">
        <f t="shared" ca="1" si="44"/>
        <v/>
      </c>
      <c r="W249" s="37" t="s">
        <v>2</v>
      </c>
    </row>
    <row r="250" spans="1:24">
      <c r="A250" s="36"/>
      <c r="C250" s="25"/>
      <c r="D250" s="41" t="str">
        <f t="shared" si="38"/>
        <v xml:space="preserve">{"id": </v>
      </c>
      <c r="E250" s="26">
        <f t="shared" si="45"/>
        <v>247</v>
      </c>
      <c r="F250" s="41" t="str">
        <f t="shared" si="46"/>
        <v>, "group":</v>
      </c>
      <c r="G250" s="111" t="str">
        <f ca="1">CHAR(34)&amp;INDIRECT("Dashboard!A"&amp;(ROW()-1)/3+3)&amp;CHAR(34)</f>
        <v>"11.4"</v>
      </c>
      <c r="H250" s="41" t="str">
        <f t="shared" si="47"/>
        <v>, "subgroup": "</v>
      </c>
      <c r="I250" s="41" t="s">
        <v>396</v>
      </c>
      <c r="J250" s="41" t="str">
        <f t="shared" si="39"/>
        <v>", "subgroupOrder":</v>
      </c>
      <c r="K250" s="41">
        <v>1</v>
      </c>
      <c r="L250" s="41" t="str">
        <f t="shared" si="40"/>
        <v>, "className": "</v>
      </c>
      <c r="M250" s="26" t="str">
        <f t="shared" si="48"/>
        <v>gray</v>
      </c>
      <c r="N250" s="41" t="str">
        <f t="shared" si="41"/>
        <v>", "content": "</v>
      </c>
      <c r="O250" s="40" t="s">
        <v>388</v>
      </c>
      <c r="P250" s="41" t="str">
        <f t="shared" si="42"/>
        <v>", "start": "</v>
      </c>
      <c r="Q250" s="42">
        <f ca="1">IF(INDIRECT("Dashboard!I"&amp;(ROW()-1)/3+3)="","",INDIRECT("Dashboard!I"&amp;(ROW()-1)/3+3))</f>
        <v>45078</v>
      </c>
      <c r="R250" s="41" t="str">
        <f t="shared" si="43"/>
        <v>", "end": "</v>
      </c>
      <c r="S250" s="42">
        <f ca="1">IF(INDIRECT("Dashboard!J"&amp;(ROW()-1)/3+3)="","",INDIRECT("Dashboard!J"&amp;(ROW()-1)/3+3))</f>
        <v>45291</v>
      </c>
      <c r="T250" s="118" t="str">
        <f ca="1">IF(C254="]);",LEFT(T249,2),T249)</f>
        <v>"},</v>
      </c>
      <c r="V250" s="32" t="str">
        <f t="shared" ca="1" si="44"/>
        <v>{"id": 247, "group":"11.4", "subgroup": "plan", "subgroupOrder":1, "className": "gray", "content": "Planned", "start": "2023-06-01", "end": "2023-12-31"},</v>
      </c>
      <c r="W250" s="37" t="s">
        <v>2</v>
      </c>
    </row>
    <row r="251" spans="1:24">
      <c r="A251" s="36"/>
      <c r="C251" s="31" t="str">
        <f ca="1">IF(AND(Q251="", S251=""),"//","")</f>
        <v>//</v>
      </c>
      <c r="D251" s="37" t="str">
        <f t="shared" si="38"/>
        <v xml:space="preserve">{"id": </v>
      </c>
      <c r="E251" s="32">
        <f t="shared" si="45"/>
        <v>248</v>
      </c>
      <c r="F251" s="37" t="str">
        <f t="shared" si="46"/>
        <v>, "group":</v>
      </c>
      <c r="G251" s="37" t="str">
        <f ca="1">G250</f>
        <v>"11.4"</v>
      </c>
      <c r="H251" s="37" t="str">
        <f t="shared" si="47"/>
        <v>, "subgroup": "</v>
      </c>
      <c r="I251" s="37" t="s">
        <v>397</v>
      </c>
      <c r="J251" s="37" t="str">
        <f t="shared" si="39"/>
        <v>", "subgroupOrder":</v>
      </c>
      <c r="K251" s="37">
        <v>0</v>
      </c>
      <c r="L251" s="37" t="str">
        <f t="shared" si="40"/>
        <v>, "className": "</v>
      </c>
      <c r="M251" s="32" t="str">
        <f t="shared" ca="1" si="48"/>
        <v>pink-white</v>
      </c>
      <c r="N251" s="37" t="str">
        <f t="shared" si="41"/>
        <v>", "content": "</v>
      </c>
      <c r="O251" s="34" t="str">
        <f ca="1">IF(INDIRECT("Dashboard!P"&amp;((ROW()+1)/3+2))=1,"Completed",IF(INDIRECT("Dashboard!P"&amp;((ROW()+1)/3+2))="","","Pending"))</f>
        <v>Pending</v>
      </c>
      <c r="P251" s="37" t="str">
        <f t="shared" si="42"/>
        <v>", "start": "</v>
      </c>
      <c r="Q251" s="38" t="str">
        <f ca="1">IF(INDIRECT("Dashboard!K"&amp;((ROW()+1)/3+2))="","",INDIRECT("Dashboard!K"&amp;((ROW()+1)/3+2)))</f>
        <v/>
      </c>
      <c r="R251" s="37" t="str">
        <f t="shared" si="43"/>
        <v>", "end": "</v>
      </c>
      <c r="S251" s="38" t="str">
        <f ca="1">IF(INDIRECT("Dashboard!L"&amp;((ROW()+1)/3+2))="","",INDIRECT("Dashboard!L"&amp;((ROW()+1)/3+2)))</f>
        <v/>
      </c>
      <c r="T251" s="116" t="str">
        <f ca="1">IF(C254="]);",LEFT(T250,2),T250)</f>
        <v>"},</v>
      </c>
      <c r="V251" s="32" t="str">
        <f t="shared" ca="1" si="44"/>
        <v/>
      </c>
      <c r="W251" s="37" t="s">
        <v>2</v>
      </c>
      <c r="X251" s="32" t="str">
        <f ca="1">G251&amp;" : "&amp;INDIRECT("Dashboard!G"&amp;((ROW()+1)/3+2))</f>
        <v>"11.4" : Deployment Procedure of the code</v>
      </c>
    </row>
    <row r="252" spans="1:24" ht="15" thickBot="1">
      <c r="A252" s="36"/>
      <c r="C252" s="28" t="str">
        <f ca="1">IF(OR(INDIRECT("Dashboard!B"&amp;(ROW()/3+2))&lt;&gt;"&gt;",AND(Q252="",S252="")),"//","")</f>
        <v>//</v>
      </c>
      <c r="D252" s="43" t="str">
        <f t="shared" si="38"/>
        <v xml:space="preserve">{"id": </v>
      </c>
      <c r="E252" s="29">
        <f t="shared" si="45"/>
        <v>249</v>
      </c>
      <c r="F252" s="43" t="str">
        <f t="shared" si="46"/>
        <v>, "group":</v>
      </c>
      <c r="G252" s="43" t="str">
        <f ca="1">G251</f>
        <v>"11.4"</v>
      </c>
      <c r="H252" s="43" t="str">
        <f t="shared" si="47"/>
        <v>, "subgroup": "</v>
      </c>
      <c r="I252" s="43" t="s">
        <v>397</v>
      </c>
      <c r="J252" s="43" t="str">
        <f t="shared" si="39"/>
        <v>", "subgroupOrder":</v>
      </c>
      <c r="K252" s="43">
        <v>0</v>
      </c>
      <c r="L252" s="43" t="str">
        <f t="shared" si="40"/>
        <v>, "className": "</v>
      </c>
      <c r="M252" s="29" t="str">
        <f t="shared" si="48"/>
        <v>orange</v>
      </c>
      <c r="N252" s="43" t="str">
        <f t="shared" si="41"/>
        <v>", "content": "</v>
      </c>
      <c r="O252" s="49" t="s">
        <v>392</v>
      </c>
      <c r="P252" s="43" t="str">
        <f t="shared" si="42"/>
        <v>", "start": "</v>
      </c>
      <c r="Q252" s="44" t="str">
        <f ca="1">S251</f>
        <v/>
      </c>
      <c r="R252" s="43" t="str">
        <f t="shared" si="43"/>
        <v>", "end": "</v>
      </c>
      <c r="S252" s="113" t="str">
        <f ca="1">IF(INDIRECT("Dashboard!M"&amp;(ROW()/3+2))="","",INDIRECT("Dashboard!M"&amp;(ROW()/3+2)))</f>
        <v/>
      </c>
      <c r="T252" s="117" t="str">
        <f ca="1">IF(C254="]);",LEFT(T251,2),T251)</f>
        <v>"},</v>
      </c>
      <c r="V252" s="32" t="str">
        <f t="shared" ca="1" si="44"/>
        <v/>
      </c>
      <c r="W252" s="37" t="s">
        <v>2</v>
      </c>
    </row>
    <row r="253" spans="1:24">
      <c r="A253" s="36"/>
      <c r="C253" s="25"/>
      <c r="D253" s="41" t="str">
        <f t="shared" si="38"/>
        <v xml:space="preserve">{"id": </v>
      </c>
      <c r="E253" s="26">
        <f t="shared" si="45"/>
        <v>250</v>
      </c>
      <c r="F253" s="41" t="str">
        <f t="shared" si="46"/>
        <v>, "group":</v>
      </c>
      <c r="G253" s="111" t="str">
        <f ca="1">CHAR(34)&amp;INDIRECT("Dashboard!A"&amp;(ROW()-1)/3+3)&amp;CHAR(34)</f>
        <v>"11.5"</v>
      </c>
      <c r="H253" s="41" t="str">
        <f t="shared" si="47"/>
        <v>, "subgroup": "</v>
      </c>
      <c r="I253" s="41" t="s">
        <v>396</v>
      </c>
      <c r="J253" s="41" t="str">
        <f t="shared" si="39"/>
        <v>", "subgroupOrder":</v>
      </c>
      <c r="K253" s="41">
        <v>1</v>
      </c>
      <c r="L253" s="41" t="str">
        <f t="shared" si="40"/>
        <v>, "className": "</v>
      </c>
      <c r="M253" s="26" t="str">
        <f t="shared" si="48"/>
        <v>gray</v>
      </c>
      <c r="N253" s="41" t="str">
        <f t="shared" si="41"/>
        <v>", "content": "</v>
      </c>
      <c r="O253" s="40" t="s">
        <v>388</v>
      </c>
      <c r="P253" s="41" t="str">
        <f t="shared" si="42"/>
        <v>", "start": "</v>
      </c>
      <c r="Q253" s="42">
        <f ca="1">IF(INDIRECT("Dashboard!I"&amp;(ROW()-1)/3+3)="","",INDIRECT("Dashboard!I"&amp;(ROW()-1)/3+3))</f>
        <v>45078</v>
      </c>
      <c r="R253" s="41" t="str">
        <f t="shared" si="43"/>
        <v>", "end": "</v>
      </c>
      <c r="S253" s="42">
        <f ca="1">IF(INDIRECT("Dashboard!J"&amp;(ROW()-1)/3+3)="","",INDIRECT("Dashboard!J"&amp;(ROW()-1)/3+3))</f>
        <v>45291</v>
      </c>
      <c r="T253" s="118" t="str">
        <f ca="1">IF(C257="]);",LEFT(T252,2),T252)</f>
        <v>"},</v>
      </c>
      <c r="V253" s="32" t="str">
        <f t="shared" ca="1" si="44"/>
        <v>{"id": 250, "group":"11.5", "subgroup": "plan", "subgroupOrder":1, "className": "gray", "content": "Planned", "start": "2023-06-01", "end": "2023-12-31"},</v>
      </c>
      <c r="W253" s="37" t="s">
        <v>2</v>
      </c>
    </row>
    <row r="254" spans="1:24">
      <c r="A254" s="36"/>
      <c r="C254" s="31" t="str">
        <f ca="1">IF(AND(Q254="", S254=""),"//","")</f>
        <v>//</v>
      </c>
      <c r="D254" s="37" t="str">
        <f t="shared" si="38"/>
        <v xml:space="preserve">{"id": </v>
      </c>
      <c r="E254" s="32">
        <f t="shared" si="45"/>
        <v>251</v>
      </c>
      <c r="F254" s="37" t="str">
        <f t="shared" si="46"/>
        <v>, "group":</v>
      </c>
      <c r="G254" s="37" t="str">
        <f ca="1">G253</f>
        <v>"11.5"</v>
      </c>
      <c r="H254" s="37" t="str">
        <f t="shared" si="47"/>
        <v>, "subgroup": "</v>
      </c>
      <c r="I254" s="37" t="s">
        <v>397</v>
      </c>
      <c r="J254" s="37" t="str">
        <f t="shared" si="39"/>
        <v>", "subgroupOrder":</v>
      </c>
      <c r="K254" s="37">
        <v>0</v>
      </c>
      <c r="L254" s="37" t="str">
        <f t="shared" si="40"/>
        <v>, "className": "</v>
      </c>
      <c r="M254" s="32" t="str">
        <f t="shared" ca="1" si="48"/>
        <v>pink-white</v>
      </c>
      <c r="N254" s="37" t="str">
        <f t="shared" si="41"/>
        <v>", "content": "</v>
      </c>
      <c r="O254" s="34" t="str">
        <f ca="1">IF(INDIRECT("Dashboard!P"&amp;((ROW()+1)/3+2))=1,"Completed",IF(INDIRECT("Dashboard!P"&amp;((ROW()+1)/3+2))="","","Pending"))</f>
        <v>Pending</v>
      </c>
      <c r="P254" s="37" t="str">
        <f t="shared" si="42"/>
        <v>", "start": "</v>
      </c>
      <c r="Q254" s="38" t="str">
        <f ca="1">IF(INDIRECT("Dashboard!K"&amp;((ROW()+1)/3+2))="","",INDIRECT("Dashboard!K"&amp;((ROW()+1)/3+2)))</f>
        <v/>
      </c>
      <c r="R254" s="37" t="str">
        <f t="shared" si="43"/>
        <v>", "end": "</v>
      </c>
      <c r="S254" s="38" t="str">
        <f ca="1">IF(INDIRECT("Dashboard!L"&amp;((ROW()+1)/3+2))="","",INDIRECT("Dashboard!L"&amp;((ROW()+1)/3+2)))</f>
        <v/>
      </c>
      <c r="T254" s="116" t="str">
        <f ca="1">IF(C257="]);",LEFT(T253,2),T253)</f>
        <v>"},</v>
      </c>
      <c r="V254" s="32" t="str">
        <f t="shared" ca="1" si="44"/>
        <v/>
      </c>
      <c r="W254" s="37" t="s">
        <v>2</v>
      </c>
      <c r="X254" s="32" t="str">
        <f ca="1">G254&amp;" : "&amp;INDIRECT("Dashboard!G"&amp;((ROW()+1)/3+2))</f>
        <v>"11.5" : Product usage guide with examples for all the functional usecases</v>
      </c>
    </row>
    <row r="255" spans="1:24" ht="15" thickBot="1">
      <c r="A255" s="36"/>
      <c r="C255" s="28" t="str">
        <f ca="1">IF(OR(INDIRECT("Dashboard!B"&amp;(ROW()/3+2))&lt;&gt;"&gt;",AND(Q255="",S255="")),"//","")</f>
        <v>//</v>
      </c>
      <c r="D255" s="43" t="str">
        <f t="shared" si="38"/>
        <v xml:space="preserve">{"id": </v>
      </c>
      <c r="E255" s="29">
        <f t="shared" si="45"/>
        <v>252</v>
      </c>
      <c r="F255" s="43" t="str">
        <f t="shared" si="46"/>
        <v>, "group":</v>
      </c>
      <c r="G255" s="43" t="str">
        <f ca="1">G254</f>
        <v>"11.5"</v>
      </c>
      <c r="H255" s="43" t="str">
        <f t="shared" si="47"/>
        <v>, "subgroup": "</v>
      </c>
      <c r="I255" s="43" t="s">
        <v>397</v>
      </c>
      <c r="J255" s="43" t="str">
        <f t="shared" si="39"/>
        <v>", "subgroupOrder":</v>
      </c>
      <c r="K255" s="43">
        <v>0</v>
      </c>
      <c r="L255" s="43" t="str">
        <f t="shared" si="40"/>
        <v>, "className": "</v>
      </c>
      <c r="M255" s="29" t="str">
        <f t="shared" si="48"/>
        <v>orange</v>
      </c>
      <c r="N255" s="43" t="str">
        <f t="shared" si="41"/>
        <v>", "content": "</v>
      </c>
      <c r="O255" s="49" t="s">
        <v>392</v>
      </c>
      <c r="P255" s="43" t="str">
        <f t="shared" si="42"/>
        <v>", "start": "</v>
      </c>
      <c r="Q255" s="44" t="str">
        <f ca="1">S254</f>
        <v/>
      </c>
      <c r="R255" s="43" t="str">
        <f t="shared" si="43"/>
        <v>", "end": "</v>
      </c>
      <c r="S255" s="113" t="str">
        <f ca="1">IF(INDIRECT("Dashboard!M"&amp;(ROW()/3+2))="","",INDIRECT("Dashboard!M"&amp;(ROW()/3+2)))</f>
        <v/>
      </c>
      <c r="T255" s="117" t="str">
        <f ca="1">IF(C257="]);",LEFT(T254,2),T254)</f>
        <v>"},</v>
      </c>
      <c r="V255" s="32" t="str">
        <f t="shared" ca="1" si="44"/>
        <v/>
      </c>
      <c r="W255" s="37" t="s">
        <v>2</v>
      </c>
    </row>
    <row r="256" spans="1:24">
      <c r="A256" s="36"/>
      <c r="C256" s="25"/>
      <c r="D256" s="41" t="str">
        <f t="shared" si="38"/>
        <v xml:space="preserve">{"id": </v>
      </c>
      <c r="E256" s="26">
        <f t="shared" si="45"/>
        <v>253</v>
      </c>
      <c r="F256" s="41" t="str">
        <f t="shared" si="46"/>
        <v>, "group":</v>
      </c>
      <c r="G256" s="111" t="str">
        <f ca="1">CHAR(34)&amp;INDIRECT("Dashboard!A"&amp;(ROW()-1)/3+3)&amp;CHAR(34)</f>
        <v>"11.6"</v>
      </c>
      <c r="H256" s="41" t="str">
        <f t="shared" si="47"/>
        <v>, "subgroup": "</v>
      </c>
      <c r="I256" s="41" t="s">
        <v>396</v>
      </c>
      <c r="J256" s="41" t="str">
        <f t="shared" si="39"/>
        <v>", "subgroupOrder":</v>
      </c>
      <c r="K256" s="41">
        <v>1</v>
      </c>
      <c r="L256" s="41" t="str">
        <f t="shared" si="40"/>
        <v>, "className": "</v>
      </c>
      <c r="M256" s="26" t="str">
        <f t="shared" si="48"/>
        <v>gray</v>
      </c>
      <c r="N256" s="41" t="str">
        <f t="shared" si="41"/>
        <v>", "content": "</v>
      </c>
      <c r="O256" s="40" t="s">
        <v>388</v>
      </c>
      <c r="P256" s="41" t="str">
        <f t="shared" si="42"/>
        <v>", "start": "</v>
      </c>
      <c r="Q256" s="42">
        <f ca="1">IF(INDIRECT("Dashboard!I"&amp;(ROW()-1)/3+3)="","",INDIRECT("Dashboard!I"&amp;(ROW()-1)/3+3))</f>
        <v>45078</v>
      </c>
      <c r="R256" s="41" t="str">
        <f t="shared" si="43"/>
        <v>", "end": "</v>
      </c>
      <c r="S256" s="42">
        <f ca="1">IF(INDIRECT("Dashboard!J"&amp;(ROW()-1)/3+3)="","",INDIRECT("Dashboard!J"&amp;(ROW()-1)/3+3))</f>
        <v>45291</v>
      </c>
      <c r="T256" s="118" t="str">
        <f ca="1">IF(C260="]);",LEFT(T255,2),T255)</f>
        <v>"},</v>
      </c>
      <c r="V256" s="32" t="str">
        <f t="shared" ca="1" si="44"/>
        <v>{"id": 253, "group":"11.6", "subgroup": "plan", "subgroupOrder":1, "className": "gray", "content": "Planned", "start": "2023-06-01", "end": "2023-12-31"},</v>
      </c>
      <c r="W256" s="37" t="s">
        <v>2</v>
      </c>
    </row>
    <row r="257" spans="1:24">
      <c r="A257" s="36"/>
      <c r="C257" s="31" t="str">
        <f ca="1">IF(AND(Q257="", S257=""),"//","")</f>
        <v>//</v>
      </c>
      <c r="D257" s="37" t="str">
        <f t="shared" si="38"/>
        <v xml:space="preserve">{"id": </v>
      </c>
      <c r="E257" s="32">
        <f t="shared" si="45"/>
        <v>254</v>
      </c>
      <c r="F257" s="37" t="str">
        <f t="shared" si="46"/>
        <v>, "group":</v>
      </c>
      <c r="G257" s="37" t="str">
        <f ca="1">G256</f>
        <v>"11.6"</v>
      </c>
      <c r="H257" s="37" t="str">
        <f t="shared" si="47"/>
        <v>, "subgroup": "</v>
      </c>
      <c r="I257" s="37" t="s">
        <v>397</v>
      </c>
      <c r="J257" s="37" t="str">
        <f t="shared" si="39"/>
        <v>", "subgroupOrder":</v>
      </c>
      <c r="K257" s="37">
        <v>0</v>
      </c>
      <c r="L257" s="37" t="str">
        <f t="shared" si="40"/>
        <v>, "className": "</v>
      </c>
      <c r="M257" s="32" t="str">
        <f t="shared" ca="1" si="48"/>
        <v>pink-white</v>
      </c>
      <c r="N257" s="37" t="str">
        <f t="shared" si="41"/>
        <v>", "content": "</v>
      </c>
      <c r="O257" s="34" t="str">
        <f ca="1">IF(INDIRECT("Dashboard!P"&amp;((ROW()+1)/3+2))=1,"Completed",IF(INDIRECT("Dashboard!P"&amp;((ROW()+1)/3+2))="","","Pending"))</f>
        <v>Pending</v>
      </c>
      <c r="P257" s="37" t="str">
        <f t="shared" si="42"/>
        <v>", "start": "</v>
      </c>
      <c r="Q257" s="38" t="str">
        <f ca="1">IF(INDIRECT("Dashboard!K"&amp;((ROW()+1)/3+2))="","",INDIRECT("Dashboard!K"&amp;((ROW()+1)/3+2)))</f>
        <v/>
      </c>
      <c r="R257" s="37" t="str">
        <f t="shared" si="43"/>
        <v>", "end": "</v>
      </c>
      <c r="S257" s="38" t="str">
        <f ca="1">IF(INDIRECT("Dashboard!L"&amp;((ROW()+1)/3+2))="","",INDIRECT("Dashboard!L"&amp;((ROW()+1)/3+2)))</f>
        <v/>
      </c>
      <c r="T257" s="116" t="str">
        <f ca="1">IF(C260="]);",LEFT(T256,2),T256)</f>
        <v>"},</v>
      </c>
      <c r="V257" s="32" t="str">
        <f t="shared" ca="1" si="44"/>
        <v/>
      </c>
      <c r="W257" s="37" t="s">
        <v>2</v>
      </c>
      <c r="X257" s="32" t="str">
        <f ca="1">G257&amp;" : "&amp;INDIRECT("Dashboard!G"&amp;((ROW()+1)/3+2))</f>
        <v xml:space="preserve">"11.6" : Test report </v>
      </c>
    </row>
    <row r="258" spans="1:24" ht="15" thickBot="1">
      <c r="A258" s="36"/>
      <c r="C258" s="28" t="str">
        <f ca="1">IF(OR(INDIRECT("Dashboard!B"&amp;(ROW()/3+2))&lt;&gt;"&gt;",AND(Q258="",S258="")),"//","")</f>
        <v>//</v>
      </c>
      <c r="D258" s="43" t="str">
        <f t="shared" si="38"/>
        <v xml:space="preserve">{"id": </v>
      </c>
      <c r="E258" s="29">
        <f t="shared" si="45"/>
        <v>255</v>
      </c>
      <c r="F258" s="43" t="str">
        <f t="shared" si="46"/>
        <v>, "group":</v>
      </c>
      <c r="G258" s="43" t="str">
        <f ca="1">G257</f>
        <v>"11.6"</v>
      </c>
      <c r="H258" s="43" t="str">
        <f t="shared" si="47"/>
        <v>, "subgroup": "</v>
      </c>
      <c r="I258" s="43" t="s">
        <v>397</v>
      </c>
      <c r="J258" s="43" t="str">
        <f t="shared" si="39"/>
        <v>", "subgroupOrder":</v>
      </c>
      <c r="K258" s="43">
        <v>0</v>
      </c>
      <c r="L258" s="43" t="str">
        <f t="shared" si="40"/>
        <v>, "className": "</v>
      </c>
      <c r="M258" s="29" t="str">
        <f t="shared" si="48"/>
        <v>orange</v>
      </c>
      <c r="N258" s="43" t="str">
        <f t="shared" si="41"/>
        <v>", "content": "</v>
      </c>
      <c r="O258" s="49" t="s">
        <v>392</v>
      </c>
      <c r="P258" s="43" t="str">
        <f t="shared" si="42"/>
        <v>", "start": "</v>
      </c>
      <c r="Q258" s="44" t="str">
        <f ca="1">S257</f>
        <v/>
      </c>
      <c r="R258" s="43" t="str">
        <f t="shared" si="43"/>
        <v>", "end": "</v>
      </c>
      <c r="S258" s="113" t="str">
        <f ca="1">IF(INDIRECT("Dashboard!M"&amp;(ROW()/3+2))="","",INDIRECT("Dashboard!M"&amp;(ROW()/3+2)))</f>
        <v/>
      </c>
      <c r="T258" s="117" t="str">
        <f ca="1">IF(C260="]);",LEFT(T257,2),T257)</f>
        <v>"},</v>
      </c>
      <c r="V258" s="32" t="str">
        <f t="shared" ca="1" si="44"/>
        <v/>
      </c>
      <c r="W258" s="37" t="s">
        <v>2</v>
      </c>
    </row>
    <row r="259" spans="1:24">
      <c r="A259" s="36"/>
      <c r="C259" s="25"/>
      <c r="D259" s="41" t="str">
        <f t="shared" si="38"/>
        <v xml:space="preserve">{"id": </v>
      </c>
      <c r="E259" s="26">
        <f t="shared" si="45"/>
        <v>256</v>
      </c>
      <c r="F259" s="41" t="str">
        <f t="shared" si="46"/>
        <v>, "group":</v>
      </c>
      <c r="G259" s="111" t="str">
        <f ca="1">CHAR(34)&amp;INDIRECT("Dashboard!A"&amp;(ROW()-1)/3+3)&amp;CHAR(34)</f>
        <v>"12"</v>
      </c>
      <c r="H259" s="41" t="str">
        <f t="shared" si="47"/>
        <v>, "subgroup": "</v>
      </c>
      <c r="I259" s="41" t="s">
        <v>396</v>
      </c>
      <c r="J259" s="41" t="str">
        <f t="shared" si="39"/>
        <v>", "subgroupOrder":</v>
      </c>
      <c r="K259" s="41">
        <v>1</v>
      </c>
      <c r="L259" s="41" t="str">
        <f t="shared" si="40"/>
        <v>, "className": "</v>
      </c>
      <c r="M259" s="26" t="str">
        <f t="shared" si="48"/>
        <v>gray</v>
      </c>
      <c r="N259" s="41" t="str">
        <f t="shared" si="41"/>
        <v>", "content": "</v>
      </c>
      <c r="O259" s="40" t="s">
        <v>388</v>
      </c>
      <c r="P259" s="41" t="str">
        <f t="shared" si="42"/>
        <v>", "start": "</v>
      </c>
      <c r="Q259" s="42">
        <f ca="1">IF(INDIRECT("Dashboard!I"&amp;(ROW()-1)/3+3)="","",INDIRECT("Dashboard!I"&amp;(ROW()-1)/3+3))</f>
        <v>45078</v>
      </c>
      <c r="R259" s="41" t="str">
        <f t="shared" si="43"/>
        <v>", "end": "</v>
      </c>
      <c r="S259" s="42">
        <f ca="1">IF(INDIRECT("Dashboard!J"&amp;(ROW()-1)/3+3)="","",INDIRECT("Dashboard!J"&amp;(ROW()-1)/3+3))</f>
        <v>45199</v>
      </c>
      <c r="T259" s="118" t="str">
        <f ca="1">IF(C263="]);",LEFT(T258,2),T258)</f>
        <v>"},</v>
      </c>
      <c r="V259" s="32" t="str">
        <f t="shared" ca="1" si="44"/>
        <v>{"id": 256, "group":"12", "subgroup": "plan", "subgroupOrder":1, "className": "gray", "content": "Planned", "start": "2023-06-01", "end": "2023-09-30"},</v>
      </c>
      <c r="W259" s="37" t="s">
        <v>2</v>
      </c>
    </row>
    <row r="260" spans="1:24">
      <c r="A260" s="36"/>
      <c r="C260" s="31" t="str">
        <f ca="1">IF(AND(Q260="", S260=""),"//","")</f>
        <v>//</v>
      </c>
      <c r="D260" s="37" t="str">
        <f t="shared" si="38"/>
        <v xml:space="preserve">{"id": </v>
      </c>
      <c r="E260" s="32">
        <f t="shared" si="45"/>
        <v>257</v>
      </c>
      <c r="F260" s="37" t="str">
        <f t="shared" si="46"/>
        <v>, "group":</v>
      </c>
      <c r="G260" s="37" t="str">
        <f ca="1">G259</f>
        <v>"12"</v>
      </c>
      <c r="H260" s="37" t="str">
        <f t="shared" si="47"/>
        <v>, "subgroup": "</v>
      </c>
      <c r="I260" s="37" t="s">
        <v>397</v>
      </c>
      <c r="J260" s="37" t="str">
        <f t="shared" si="39"/>
        <v>", "subgroupOrder":</v>
      </c>
      <c r="K260" s="37">
        <v>0</v>
      </c>
      <c r="L260" s="37" t="str">
        <f t="shared" si="40"/>
        <v>, "className": "</v>
      </c>
      <c r="M260" s="32" t="str">
        <f t="shared" ca="1" si="48"/>
        <v>pink-white</v>
      </c>
      <c r="N260" s="37" t="str">
        <f t="shared" si="41"/>
        <v>", "content": "</v>
      </c>
      <c r="O260" s="34" t="str">
        <f ca="1">IF(INDIRECT("Dashboard!P"&amp;((ROW()+1)/3+2))=1,"Completed",IF(INDIRECT("Dashboard!P"&amp;((ROW()+1)/3+2))="","","Pending"))</f>
        <v>Pending</v>
      </c>
      <c r="P260" s="37" t="str">
        <f t="shared" si="42"/>
        <v>", "start": "</v>
      </c>
      <c r="Q260" s="38" t="str">
        <f ca="1">IF(INDIRECT("Dashboard!K"&amp;((ROW()+1)/3+2))="","",INDIRECT("Dashboard!K"&amp;((ROW()+1)/3+2)))</f>
        <v/>
      </c>
      <c r="R260" s="37" t="str">
        <f t="shared" si="43"/>
        <v>", "end": "</v>
      </c>
      <c r="S260" s="38" t="str">
        <f ca="1">IF(INDIRECT("Dashboard!L"&amp;((ROW()+1)/3+2))="","",INDIRECT("Dashboard!L"&amp;((ROW()+1)/3+2)))</f>
        <v/>
      </c>
      <c r="T260" s="116" t="str">
        <f ca="1">IF(C263="]);",LEFT(T259,2),T259)</f>
        <v>"},</v>
      </c>
      <c r="V260" s="32" t="str">
        <f t="shared" ca="1" si="44"/>
        <v/>
      </c>
      <c r="W260" s="37" t="s">
        <v>2</v>
      </c>
      <c r="X260" s="32" t="str">
        <f ca="1">G260&amp;" : "&amp;INDIRECT("Dashboard!G"&amp;((ROW()+1)/3+2))</f>
        <v>"12" : M11. Decision Engine AI/ML models - Preventive maintenance of Battery module and inverter asset</v>
      </c>
    </row>
    <row r="261" spans="1:24" ht="15" thickBot="1">
      <c r="A261" s="36"/>
      <c r="C261" s="28" t="str">
        <f ca="1">IF(OR(INDIRECT("Dashboard!B"&amp;(ROW()/3+2))&lt;&gt;"&gt;",AND(Q261="",S261="")),"//","")</f>
        <v>//</v>
      </c>
      <c r="D261" s="43" t="str">
        <f t="shared" ref="D261:D324" si="49">D260</f>
        <v xml:space="preserve">{"id": </v>
      </c>
      <c r="E261" s="29">
        <f t="shared" si="45"/>
        <v>258</v>
      </c>
      <c r="F261" s="43" t="str">
        <f t="shared" si="46"/>
        <v>, "group":</v>
      </c>
      <c r="G261" s="43" t="str">
        <f ca="1">G260</f>
        <v>"12"</v>
      </c>
      <c r="H261" s="43" t="str">
        <f t="shared" si="47"/>
        <v>, "subgroup": "</v>
      </c>
      <c r="I261" s="43" t="s">
        <v>397</v>
      </c>
      <c r="J261" s="43" t="str">
        <f t="shared" ref="J261:J324" si="50">J260</f>
        <v>", "subgroupOrder":</v>
      </c>
      <c r="K261" s="43">
        <v>0</v>
      </c>
      <c r="L261" s="43" t="str">
        <f t="shared" ref="L261:L324" si="51">L260</f>
        <v>, "className": "</v>
      </c>
      <c r="M261" s="29" t="str">
        <f t="shared" si="48"/>
        <v>orange</v>
      </c>
      <c r="N261" s="43" t="str">
        <f t="shared" ref="N261:N324" si="52">N260</f>
        <v>", "content": "</v>
      </c>
      <c r="O261" s="49" t="s">
        <v>392</v>
      </c>
      <c r="P261" s="43" t="str">
        <f t="shared" ref="P261:P324" si="53">P260</f>
        <v>", "start": "</v>
      </c>
      <c r="Q261" s="44" t="str">
        <f ca="1">S260</f>
        <v/>
      </c>
      <c r="R261" s="43" t="str">
        <f t="shared" ref="R261:R324" si="54">R260</f>
        <v>", "end": "</v>
      </c>
      <c r="S261" s="113" t="str">
        <f ca="1">IF(INDIRECT("Dashboard!M"&amp;(ROW()/3+2))="","",INDIRECT("Dashboard!M"&amp;(ROW()/3+2)))</f>
        <v/>
      </c>
      <c r="T261" s="117" t="str">
        <f ca="1">IF(C263="]);",LEFT(T260,2),T260)</f>
        <v>"},</v>
      </c>
      <c r="V261" s="32" t="str">
        <f t="shared" ref="V261:V324" ca="1" si="55">IF(C261&lt;&gt;"//",D261&amp;E261&amp;F261&amp;G261&amp;H261&amp;I261&amp;J261&amp;K261&amp;L261&amp;M261&amp;N261&amp;O261&amp;P261&amp;TEXT(Q261,"yyyy-mm-dd")&amp;R261&amp;TEXT(S261,"yyyy-mm-dd")&amp;T261,"")</f>
        <v/>
      </c>
      <c r="W261" s="37" t="s">
        <v>2</v>
      </c>
    </row>
    <row r="262" spans="1:24">
      <c r="A262" s="36"/>
      <c r="C262" s="25"/>
      <c r="D262" s="41" t="str">
        <f t="shared" si="49"/>
        <v xml:space="preserve">{"id": </v>
      </c>
      <c r="E262" s="26">
        <f t="shared" si="45"/>
        <v>259</v>
      </c>
      <c r="F262" s="41" t="str">
        <f t="shared" si="46"/>
        <v>, "group":</v>
      </c>
      <c r="G262" s="111" t="str">
        <f ca="1">CHAR(34)&amp;INDIRECT("Dashboard!A"&amp;(ROW()-1)/3+3)&amp;CHAR(34)</f>
        <v>"12.1"</v>
      </c>
      <c r="H262" s="41" t="str">
        <f t="shared" si="47"/>
        <v>, "subgroup": "</v>
      </c>
      <c r="I262" s="41" t="s">
        <v>396</v>
      </c>
      <c r="J262" s="41" t="str">
        <f t="shared" si="50"/>
        <v>", "subgroupOrder":</v>
      </c>
      <c r="K262" s="41">
        <v>1</v>
      </c>
      <c r="L262" s="41" t="str">
        <f t="shared" si="51"/>
        <v>, "className": "</v>
      </c>
      <c r="M262" s="26" t="str">
        <f t="shared" si="48"/>
        <v>gray</v>
      </c>
      <c r="N262" s="41" t="str">
        <f t="shared" si="52"/>
        <v>", "content": "</v>
      </c>
      <c r="O262" s="40" t="s">
        <v>388</v>
      </c>
      <c r="P262" s="41" t="str">
        <f t="shared" si="53"/>
        <v>", "start": "</v>
      </c>
      <c r="Q262" s="42" t="str">
        <f ca="1">IF(INDIRECT("Dashboard!I"&amp;(ROW()-1)/3+3)="","",INDIRECT("Dashboard!I"&amp;(ROW()-1)/3+3))</f>
        <v/>
      </c>
      <c r="R262" s="41" t="str">
        <f t="shared" si="54"/>
        <v>", "end": "</v>
      </c>
      <c r="S262" s="42" t="str">
        <f ca="1">IF(INDIRECT("Dashboard!J"&amp;(ROW()-1)/3+3)="","",INDIRECT("Dashboard!J"&amp;(ROW()-1)/3+3))</f>
        <v/>
      </c>
      <c r="T262" s="118" t="str">
        <f ca="1">IF(C266="]);",LEFT(T261,2),T261)</f>
        <v>"},</v>
      </c>
      <c r="V262" s="32" t="str">
        <f t="shared" ca="1" si="55"/>
        <v>{"id": 259, "group":"12.1", "subgroup": "plan", "subgroupOrder":1, "className": "gray", "content": "Planned", "start": "", "end": ""},</v>
      </c>
      <c r="W262" s="37" t="s">
        <v>2</v>
      </c>
    </row>
    <row r="263" spans="1:24">
      <c r="A263" s="36"/>
      <c r="C263" s="31" t="str">
        <f ca="1">IF(AND(Q263="", S263=""),"//","")</f>
        <v>//</v>
      </c>
      <c r="D263" s="37" t="str">
        <f t="shared" si="49"/>
        <v xml:space="preserve">{"id": </v>
      </c>
      <c r="E263" s="32">
        <f t="shared" ref="E263:E326" si="56">E262+1</f>
        <v>260</v>
      </c>
      <c r="F263" s="37" t="str">
        <f t="shared" ref="F263:F326" si="57">F262</f>
        <v>, "group":</v>
      </c>
      <c r="G263" s="37" t="str">
        <f ca="1">G262</f>
        <v>"12.1"</v>
      </c>
      <c r="H263" s="37" t="str">
        <f t="shared" ref="H263:H326" si="58">H262</f>
        <v>, "subgroup": "</v>
      </c>
      <c r="I263" s="37" t="s">
        <v>397</v>
      </c>
      <c r="J263" s="37" t="str">
        <f t="shared" si="50"/>
        <v>", "subgroupOrder":</v>
      </c>
      <c r="K263" s="37">
        <v>0</v>
      </c>
      <c r="L263" s="37" t="str">
        <f t="shared" si="51"/>
        <v>, "className": "</v>
      </c>
      <c r="M263" s="32" t="str">
        <f t="shared" ca="1" si="48"/>
        <v/>
      </c>
      <c r="N263" s="37" t="str">
        <f t="shared" si="52"/>
        <v>", "content": "</v>
      </c>
      <c r="O263" s="34" t="str">
        <f ca="1">IF(INDIRECT("Dashboard!P"&amp;((ROW()+1)/3+2))=1,"Completed",IF(INDIRECT("Dashboard!P"&amp;((ROW()+1)/3+2))="","","Pending"))</f>
        <v/>
      </c>
      <c r="P263" s="37" t="str">
        <f t="shared" si="53"/>
        <v>", "start": "</v>
      </c>
      <c r="Q263" s="38" t="str">
        <f ca="1">IF(INDIRECT("Dashboard!K"&amp;((ROW()+1)/3+2))="","",INDIRECT("Dashboard!K"&amp;((ROW()+1)/3+2)))</f>
        <v/>
      </c>
      <c r="R263" s="37" t="str">
        <f t="shared" si="54"/>
        <v>", "end": "</v>
      </c>
      <c r="S263" s="38" t="str">
        <f ca="1">IF(INDIRECT("Dashboard!L"&amp;((ROW()+1)/3+2))="","",INDIRECT("Dashboard!L"&amp;((ROW()+1)/3+2)))</f>
        <v/>
      </c>
      <c r="T263" s="116" t="str">
        <f ca="1">IF(C266="]);",LEFT(T262,2),T262)</f>
        <v>"},</v>
      </c>
      <c r="V263" s="32" t="str">
        <f t="shared" ca="1" si="55"/>
        <v/>
      </c>
      <c r="W263" s="37" t="s">
        <v>2</v>
      </c>
      <c r="X263" s="32" t="str">
        <f ca="1">G263&amp;" : "&amp;INDIRECT("Dashboard!G"&amp;((ROW()+1)/3+2))</f>
        <v>"12.1" : Note : Use data fusion platform to find faults in the assets</v>
      </c>
    </row>
    <row r="264" spans="1:24" ht="15" thickBot="1">
      <c r="A264" s="36"/>
      <c r="C264" s="28" t="str">
        <f ca="1">IF(OR(INDIRECT("Dashboard!B"&amp;(ROW()/3+2))&lt;&gt;"&gt;",AND(Q264="",S264="")),"//","")</f>
        <v>//</v>
      </c>
      <c r="D264" s="43" t="str">
        <f t="shared" si="49"/>
        <v xml:space="preserve">{"id": </v>
      </c>
      <c r="E264" s="29">
        <f t="shared" si="56"/>
        <v>261</v>
      </c>
      <c r="F264" s="43" t="str">
        <f t="shared" si="57"/>
        <v>, "group":</v>
      </c>
      <c r="G264" s="43" t="str">
        <f ca="1">G263</f>
        <v>"12.1"</v>
      </c>
      <c r="H264" s="43" t="str">
        <f t="shared" si="58"/>
        <v>, "subgroup": "</v>
      </c>
      <c r="I264" s="43" t="s">
        <v>397</v>
      </c>
      <c r="J264" s="43" t="str">
        <f t="shared" si="50"/>
        <v>", "subgroupOrder":</v>
      </c>
      <c r="K264" s="43">
        <v>0</v>
      </c>
      <c r="L264" s="43" t="str">
        <f t="shared" si="51"/>
        <v>, "className": "</v>
      </c>
      <c r="M264" s="29" t="str">
        <f t="shared" si="48"/>
        <v>orange</v>
      </c>
      <c r="N264" s="43" t="str">
        <f t="shared" si="52"/>
        <v>", "content": "</v>
      </c>
      <c r="O264" s="49" t="s">
        <v>392</v>
      </c>
      <c r="P264" s="43" t="str">
        <f t="shared" si="53"/>
        <v>", "start": "</v>
      </c>
      <c r="Q264" s="44" t="str">
        <f ca="1">S263</f>
        <v/>
      </c>
      <c r="R264" s="43" t="str">
        <f t="shared" si="54"/>
        <v>", "end": "</v>
      </c>
      <c r="S264" s="113" t="str">
        <f ca="1">IF(INDIRECT("Dashboard!M"&amp;(ROW()/3+2))="","",INDIRECT("Dashboard!M"&amp;(ROW()/3+2)))</f>
        <v/>
      </c>
      <c r="T264" s="117" t="str">
        <f ca="1">IF(C266="]);",LEFT(T263,2),T263)</f>
        <v>"},</v>
      </c>
      <c r="V264" s="32" t="str">
        <f t="shared" ca="1" si="55"/>
        <v/>
      </c>
      <c r="W264" s="37" t="s">
        <v>2</v>
      </c>
    </row>
    <row r="265" spans="1:24">
      <c r="A265" s="36"/>
      <c r="C265" s="25"/>
      <c r="D265" s="41" t="str">
        <f t="shared" si="49"/>
        <v xml:space="preserve">{"id": </v>
      </c>
      <c r="E265" s="26">
        <f t="shared" si="56"/>
        <v>262</v>
      </c>
      <c r="F265" s="41" t="str">
        <f t="shared" si="57"/>
        <v>, "group":</v>
      </c>
      <c r="G265" s="111" t="str">
        <f ca="1">CHAR(34)&amp;INDIRECT("Dashboard!A"&amp;(ROW()-1)/3+3)&amp;CHAR(34)</f>
        <v>"12.2"</v>
      </c>
      <c r="H265" s="41" t="str">
        <f t="shared" si="58"/>
        <v>, "subgroup": "</v>
      </c>
      <c r="I265" s="41" t="s">
        <v>396</v>
      </c>
      <c r="J265" s="41" t="str">
        <f t="shared" si="50"/>
        <v>", "subgroupOrder":</v>
      </c>
      <c r="K265" s="41">
        <v>1</v>
      </c>
      <c r="L265" s="41" t="str">
        <f t="shared" si="51"/>
        <v>, "className": "</v>
      </c>
      <c r="M265" s="26" t="str">
        <f t="shared" si="48"/>
        <v>gray</v>
      </c>
      <c r="N265" s="41" t="str">
        <f t="shared" si="52"/>
        <v>", "content": "</v>
      </c>
      <c r="O265" s="40" t="s">
        <v>388</v>
      </c>
      <c r="P265" s="41" t="str">
        <f t="shared" si="53"/>
        <v>", "start": "</v>
      </c>
      <c r="Q265" s="42">
        <f ca="1">IF(INDIRECT("Dashboard!I"&amp;(ROW()-1)/3+3)="","",INDIRECT("Dashboard!I"&amp;(ROW()-1)/3+3))</f>
        <v>45078</v>
      </c>
      <c r="R265" s="41" t="str">
        <f t="shared" si="54"/>
        <v>", "end": "</v>
      </c>
      <c r="S265" s="42">
        <f ca="1">IF(INDIRECT("Dashboard!J"&amp;(ROW()-1)/3+3)="","",INDIRECT("Dashboard!J"&amp;(ROW()-1)/3+3))</f>
        <v>45199</v>
      </c>
      <c r="T265" s="118" t="str">
        <f ca="1">IF(C269="]);",LEFT(T264,2),T264)</f>
        <v>"},</v>
      </c>
      <c r="V265" s="32" t="str">
        <f t="shared" ca="1" si="55"/>
        <v>{"id": 262, "group":"12.2", "subgroup": "plan", "subgroupOrder":1, "className": "gray", "content": "Planned", "start": "2023-06-01", "end": "2023-09-30"},</v>
      </c>
      <c r="W265" s="37" t="s">
        <v>2</v>
      </c>
    </row>
    <row r="266" spans="1:24">
      <c r="A266" s="36"/>
      <c r="C266" s="31" t="str">
        <f ca="1">IF(AND(Q266="", S266=""),"//","")</f>
        <v>//</v>
      </c>
      <c r="D266" s="37" t="str">
        <f t="shared" si="49"/>
        <v xml:space="preserve">{"id": </v>
      </c>
      <c r="E266" s="32">
        <f t="shared" si="56"/>
        <v>263</v>
      </c>
      <c r="F266" s="37" t="str">
        <f t="shared" si="57"/>
        <v>, "group":</v>
      </c>
      <c r="G266" s="37" t="str">
        <f ca="1">G265</f>
        <v>"12.2"</v>
      </c>
      <c r="H266" s="37" t="str">
        <f t="shared" si="58"/>
        <v>, "subgroup": "</v>
      </c>
      <c r="I266" s="37" t="s">
        <v>397</v>
      </c>
      <c r="J266" s="37" t="str">
        <f t="shared" si="50"/>
        <v>", "subgroupOrder":</v>
      </c>
      <c r="K266" s="37">
        <v>0</v>
      </c>
      <c r="L266" s="37" t="str">
        <f t="shared" si="51"/>
        <v>, "className": "</v>
      </c>
      <c r="M266" s="32" t="str">
        <f t="shared" ca="1" si="48"/>
        <v>pink-white</v>
      </c>
      <c r="N266" s="37" t="str">
        <f t="shared" si="52"/>
        <v>", "content": "</v>
      </c>
      <c r="O266" s="34" t="str">
        <f ca="1">IF(INDIRECT("Dashboard!P"&amp;((ROW()+1)/3+2))=1,"Completed",IF(INDIRECT("Dashboard!P"&amp;((ROW()+1)/3+2))="","","Pending"))</f>
        <v>Pending</v>
      </c>
      <c r="P266" s="37" t="str">
        <f t="shared" si="53"/>
        <v>", "start": "</v>
      </c>
      <c r="Q266" s="38" t="str">
        <f ca="1">IF(INDIRECT("Dashboard!K"&amp;((ROW()+1)/3+2))="","",INDIRECT("Dashboard!K"&amp;((ROW()+1)/3+2)))</f>
        <v/>
      </c>
      <c r="R266" s="37" t="str">
        <f t="shared" si="54"/>
        <v>", "end": "</v>
      </c>
      <c r="S266" s="38" t="str">
        <f ca="1">IF(INDIRECT("Dashboard!L"&amp;((ROW()+1)/3+2))="","",INDIRECT("Dashboard!L"&amp;((ROW()+1)/3+2)))</f>
        <v/>
      </c>
      <c r="T266" s="116" t="str">
        <f ca="1">IF(C269="]);",LEFT(T265,2),T265)</f>
        <v>"},</v>
      </c>
      <c r="V266" s="32" t="str">
        <f t="shared" ca="1" si="55"/>
        <v/>
      </c>
      <c r="W266" s="37" t="s">
        <v>2</v>
      </c>
      <c r="X266" s="32" t="str">
        <f ca="1">G266&amp;" : "&amp;INDIRECT("Dashboard!G"&amp;((ROW()+1)/3+2))</f>
        <v>"12.2" : Technical design document explaining the data schema and algorithm</v>
      </c>
    </row>
    <row r="267" spans="1:24" ht="15" thickBot="1">
      <c r="A267" s="36"/>
      <c r="C267" s="28" t="str">
        <f ca="1">IF(OR(INDIRECT("Dashboard!B"&amp;(ROW()/3+2))&lt;&gt;"&gt;",AND(Q267="",S267="")),"//","")</f>
        <v>//</v>
      </c>
      <c r="D267" s="43" t="str">
        <f t="shared" si="49"/>
        <v xml:space="preserve">{"id": </v>
      </c>
      <c r="E267" s="29">
        <f t="shared" si="56"/>
        <v>264</v>
      </c>
      <c r="F267" s="43" t="str">
        <f t="shared" si="57"/>
        <v>, "group":</v>
      </c>
      <c r="G267" s="43" t="str">
        <f ca="1">G266</f>
        <v>"12.2"</v>
      </c>
      <c r="H267" s="43" t="str">
        <f t="shared" si="58"/>
        <v>, "subgroup": "</v>
      </c>
      <c r="I267" s="43" t="s">
        <v>397</v>
      </c>
      <c r="J267" s="43" t="str">
        <f t="shared" si="50"/>
        <v>", "subgroupOrder":</v>
      </c>
      <c r="K267" s="43">
        <v>0</v>
      </c>
      <c r="L267" s="43" t="str">
        <f t="shared" si="51"/>
        <v>, "className": "</v>
      </c>
      <c r="M267" s="29" t="str">
        <f t="shared" si="48"/>
        <v>orange</v>
      </c>
      <c r="N267" s="43" t="str">
        <f t="shared" si="52"/>
        <v>", "content": "</v>
      </c>
      <c r="O267" s="49" t="s">
        <v>392</v>
      </c>
      <c r="P267" s="43" t="str">
        <f t="shared" si="53"/>
        <v>", "start": "</v>
      </c>
      <c r="Q267" s="44" t="str">
        <f ca="1">S266</f>
        <v/>
      </c>
      <c r="R267" s="43" t="str">
        <f t="shared" si="54"/>
        <v>", "end": "</v>
      </c>
      <c r="S267" s="113" t="str">
        <f ca="1">IF(INDIRECT("Dashboard!M"&amp;(ROW()/3+2))="","",INDIRECT("Dashboard!M"&amp;(ROW()/3+2)))</f>
        <v/>
      </c>
      <c r="T267" s="117" t="str">
        <f ca="1">IF(C269="]);",LEFT(T266,2),T266)</f>
        <v>"},</v>
      </c>
      <c r="V267" s="32" t="str">
        <f t="shared" ca="1" si="55"/>
        <v/>
      </c>
      <c r="W267" s="37" t="s">
        <v>2</v>
      </c>
    </row>
    <row r="268" spans="1:24">
      <c r="A268" s="36"/>
      <c r="C268" s="25"/>
      <c r="D268" s="41" t="str">
        <f t="shared" si="49"/>
        <v xml:space="preserve">{"id": </v>
      </c>
      <c r="E268" s="26">
        <f t="shared" si="56"/>
        <v>265</v>
      </c>
      <c r="F268" s="41" t="str">
        <f t="shared" si="57"/>
        <v>, "group":</v>
      </c>
      <c r="G268" s="111" t="str">
        <f ca="1">CHAR(34)&amp;INDIRECT("Dashboard!A"&amp;(ROW()-1)/3+3)&amp;CHAR(34)</f>
        <v>"12.3"</v>
      </c>
      <c r="H268" s="41" t="str">
        <f t="shared" si="58"/>
        <v>, "subgroup": "</v>
      </c>
      <c r="I268" s="41" t="s">
        <v>396</v>
      </c>
      <c r="J268" s="41" t="str">
        <f t="shared" si="50"/>
        <v>", "subgroupOrder":</v>
      </c>
      <c r="K268" s="41">
        <v>1</v>
      </c>
      <c r="L268" s="41" t="str">
        <f t="shared" si="51"/>
        <v>, "className": "</v>
      </c>
      <c r="M268" s="26" t="str">
        <f t="shared" si="48"/>
        <v>gray</v>
      </c>
      <c r="N268" s="41" t="str">
        <f t="shared" si="52"/>
        <v>", "content": "</v>
      </c>
      <c r="O268" s="40" t="s">
        <v>388</v>
      </c>
      <c r="P268" s="41" t="str">
        <f t="shared" si="53"/>
        <v>", "start": "</v>
      </c>
      <c r="Q268" s="42">
        <f ca="1">IF(INDIRECT("Dashboard!I"&amp;(ROW()-1)/3+3)="","",INDIRECT("Dashboard!I"&amp;(ROW()-1)/3+3))</f>
        <v>45078</v>
      </c>
      <c r="R268" s="41" t="str">
        <f t="shared" si="54"/>
        <v>", "end": "</v>
      </c>
      <c r="S268" s="42">
        <f ca="1">IF(INDIRECT("Dashboard!J"&amp;(ROW()-1)/3+3)="","",INDIRECT("Dashboard!J"&amp;(ROW()-1)/3+3))</f>
        <v>45199</v>
      </c>
      <c r="T268" s="118" t="str">
        <f ca="1">IF(C272="]);",LEFT(T267,2),T267)</f>
        <v>"},</v>
      </c>
      <c r="V268" s="32" t="str">
        <f t="shared" ca="1" si="55"/>
        <v>{"id": 265, "group":"12.3", "subgroup": "plan", "subgroupOrder":1, "className": "gray", "content": "Planned", "start": "2023-06-01", "end": "2023-09-30"},</v>
      </c>
      <c r="W268" s="37" t="s">
        <v>2</v>
      </c>
    </row>
    <row r="269" spans="1:24">
      <c r="A269" s="36"/>
      <c r="C269" s="31" t="str">
        <f ca="1">IF(AND(Q269="", S269=""),"//","")</f>
        <v>//</v>
      </c>
      <c r="D269" s="37" t="str">
        <f t="shared" si="49"/>
        <v xml:space="preserve">{"id": </v>
      </c>
      <c r="E269" s="32">
        <f t="shared" si="56"/>
        <v>266</v>
      </c>
      <c r="F269" s="37" t="str">
        <f t="shared" si="57"/>
        <v>, "group":</v>
      </c>
      <c r="G269" s="37" t="str">
        <f ca="1">G268</f>
        <v>"12.3"</v>
      </c>
      <c r="H269" s="37" t="str">
        <f t="shared" si="58"/>
        <v>, "subgroup": "</v>
      </c>
      <c r="I269" s="37" t="s">
        <v>397</v>
      </c>
      <c r="J269" s="37" t="str">
        <f t="shared" si="50"/>
        <v>", "subgroupOrder":</v>
      </c>
      <c r="K269" s="37">
        <v>0</v>
      </c>
      <c r="L269" s="37" t="str">
        <f t="shared" si="51"/>
        <v>, "className": "</v>
      </c>
      <c r="M269" s="32" t="str">
        <f t="shared" ca="1" si="48"/>
        <v>pink-white</v>
      </c>
      <c r="N269" s="37" t="str">
        <f t="shared" si="52"/>
        <v>", "content": "</v>
      </c>
      <c r="O269" s="34" t="str">
        <f ca="1">IF(INDIRECT("Dashboard!P"&amp;((ROW()+1)/3+2))=1,"Completed",IF(INDIRECT("Dashboard!P"&amp;((ROW()+1)/3+2))="","","Pending"))</f>
        <v>Pending</v>
      </c>
      <c r="P269" s="37" t="str">
        <f t="shared" si="53"/>
        <v>", "start": "</v>
      </c>
      <c r="Q269" s="38" t="str">
        <f ca="1">IF(INDIRECT("Dashboard!K"&amp;((ROW()+1)/3+2))="","",INDIRECT("Dashboard!K"&amp;((ROW()+1)/3+2)))</f>
        <v/>
      </c>
      <c r="R269" s="37" t="str">
        <f t="shared" si="54"/>
        <v>", "end": "</v>
      </c>
      <c r="S269" s="38" t="str">
        <f ca="1">IF(INDIRECT("Dashboard!L"&amp;((ROW()+1)/3+2))="","",INDIRECT("Dashboard!L"&amp;((ROW()+1)/3+2)))</f>
        <v/>
      </c>
      <c r="T269" s="116" t="str">
        <f ca="1">IF(C272="]);",LEFT(T268,2),T268)</f>
        <v>"},</v>
      </c>
      <c r="V269" s="32" t="str">
        <f t="shared" ca="1" si="55"/>
        <v/>
      </c>
      <c r="W269" s="37" t="s">
        <v>2</v>
      </c>
      <c r="X269" s="32" t="str">
        <f ca="1">G269&amp;" : "&amp;INDIRECT("Dashboard!G"&amp;((ROW()+1)/3+2))</f>
        <v>"12.3" : Software Code</v>
      </c>
    </row>
    <row r="270" spans="1:24" ht="15" thickBot="1">
      <c r="A270" s="36"/>
      <c r="C270" s="28" t="str">
        <f ca="1">IF(OR(INDIRECT("Dashboard!B"&amp;(ROW()/3+2))&lt;&gt;"&gt;",AND(Q270="",S270="")),"//","")</f>
        <v>//</v>
      </c>
      <c r="D270" s="43" t="str">
        <f t="shared" si="49"/>
        <v xml:space="preserve">{"id": </v>
      </c>
      <c r="E270" s="29">
        <f t="shared" si="56"/>
        <v>267</v>
      </c>
      <c r="F270" s="43" t="str">
        <f t="shared" si="57"/>
        <v>, "group":</v>
      </c>
      <c r="G270" s="43" t="str">
        <f ca="1">G269</f>
        <v>"12.3"</v>
      </c>
      <c r="H270" s="43" t="str">
        <f t="shared" si="58"/>
        <v>, "subgroup": "</v>
      </c>
      <c r="I270" s="43" t="s">
        <v>397</v>
      </c>
      <c r="J270" s="43" t="str">
        <f t="shared" si="50"/>
        <v>", "subgroupOrder":</v>
      </c>
      <c r="K270" s="43">
        <v>0</v>
      </c>
      <c r="L270" s="43" t="str">
        <f t="shared" si="51"/>
        <v>, "className": "</v>
      </c>
      <c r="M270" s="29" t="str">
        <f t="shared" si="48"/>
        <v>orange</v>
      </c>
      <c r="N270" s="43" t="str">
        <f t="shared" si="52"/>
        <v>", "content": "</v>
      </c>
      <c r="O270" s="49" t="s">
        <v>392</v>
      </c>
      <c r="P270" s="43" t="str">
        <f t="shared" si="53"/>
        <v>", "start": "</v>
      </c>
      <c r="Q270" s="44" t="str">
        <f ca="1">S269</f>
        <v/>
      </c>
      <c r="R270" s="43" t="str">
        <f t="shared" si="54"/>
        <v>", "end": "</v>
      </c>
      <c r="S270" s="113" t="str">
        <f ca="1">IF(INDIRECT("Dashboard!M"&amp;(ROW()/3+2))="","",INDIRECT("Dashboard!M"&amp;(ROW()/3+2)))</f>
        <v/>
      </c>
      <c r="T270" s="117" t="str">
        <f ca="1">IF(C272="]);",LEFT(T269,2),T269)</f>
        <v>"},</v>
      </c>
      <c r="V270" s="32" t="str">
        <f t="shared" ca="1" si="55"/>
        <v/>
      </c>
      <c r="W270" s="37" t="s">
        <v>2</v>
      </c>
    </row>
    <row r="271" spans="1:24">
      <c r="A271" s="36"/>
      <c r="C271" s="25"/>
      <c r="D271" s="41" t="str">
        <f t="shared" si="49"/>
        <v xml:space="preserve">{"id": </v>
      </c>
      <c r="E271" s="26">
        <f t="shared" si="56"/>
        <v>268</v>
      </c>
      <c r="F271" s="41" t="str">
        <f t="shared" si="57"/>
        <v>, "group":</v>
      </c>
      <c r="G271" s="111" t="str">
        <f ca="1">CHAR(34)&amp;INDIRECT("Dashboard!A"&amp;(ROW()-1)/3+3)&amp;CHAR(34)</f>
        <v>"12.4"</v>
      </c>
      <c r="H271" s="41" t="str">
        <f t="shared" si="58"/>
        <v>, "subgroup": "</v>
      </c>
      <c r="I271" s="41" t="s">
        <v>396</v>
      </c>
      <c r="J271" s="41" t="str">
        <f t="shared" si="50"/>
        <v>", "subgroupOrder":</v>
      </c>
      <c r="K271" s="41">
        <v>1</v>
      </c>
      <c r="L271" s="41" t="str">
        <f t="shared" si="51"/>
        <v>, "className": "</v>
      </c>
      <c r="M271" s="26" t="str">
        <f t="shared" si="48"/>
        <v>gray</v>
      </c>
      <c r="N271" s="41" t="str">
        <f t="shared" si="52"/>
        <v>", "content": "</v>
      </c>
      <c r="O271" s="40" t="s">
        <v>388</v>
      </c>
      <c r="P271" s="41" t="str">
        <f t="shared" si="53"/>
        <v>", "start": "</v>
      </c>
      <c r="Q271" s="42">
        <f ca="1">IF(INDIRECT("Dashboard!I"&amp;(ROW()-1)/3+3)="","",INDIRECT("Dashboard!I"&amp;(ROW()-1)/3+3))</f>
        <v>45078</v>
      </c>
      <c r="R271" s="41" t="str">
        <f t="shared" si="54"/>
        <v>", "end": "</v>
      </c>
      <c r="S271" s="42">
        <f ca="1">IF(INDIRECT("Dashboard!J"&amp;(ROW()-1)/3+3)="","",INDIRECT("Dashboard!J"&amp;(ROW()-1)/3+3))</f>
        <v>45199</v>
      </c>
      <c r="T271" s="118" t="str">
        <f ca="1">IF(C275="]);",LEFT(T270,2),T270)</f>
        <v>"},</v>
      </c>
      <c r="V271" s="32" t="str">
        <f t="shared" ca="1" si="55"/>
        <v>{"id": 268, "group":"12.4", "subgroup": "plan", "subgroupOrder":1, "className": "gray", "content": "Planned", "start": "2023-06-01", "end": "2023-09-30"},</v>
      </c>
      <c r="W271" s="37" t="s">
        <v>2</v>
      </c>
    </row>
    <row r="272" spans="1:24">
      <c r="A272" s="36"/>
      <c r="C272" s="31" t="str">
        <f ca="1">IF(AND(Q272="", S272=""),"//","")</f>
        <v>//</v>
      </c>
      <c r="D272" s="37" t="str">
        <f t="shared" si="49"/>
        <v xml:space="preserve">{"id": </v>
      </c>
      <c r="E272" s="32">
        <f t="shared" si="56"/>
        <v>269</v>
      </c>
      <c r="F272" s="37" t="str">
        <f t="shared" si="57"/>
        <v>, "group":</v>
      </c>
      <c r="G272" s="37" t="str">
        <f ca="1">G271</f>
        <v>"12.4"</v>
      </c>
      <c r="H272" s="37" t="str">
        <f t="shared" si="58"/>
        <v>, "subgroup": "</v>
      </c>
      <c r="I272" s="37" t="s">
        <v>397</v>
      </c>
      <c r="J272" s="37" t="str">
        <f t="shared" si="50"/>
        <v>", "subgroupOrder":</v>
      </c>
      <c r="K272" s="37">
        <v>0</v>
      </c>
      <c r="L272" s="37" t="str">
        <f t="shared" si="51"/>
        <v>, "className": "</v>
      </c>
      <c r="M272" s="32" t="str">
        <f t="shared" ca="1" si="48"/>
        <v>pink-white</v>
      </c>
      <c r="N272" s="37" t="str">
        <f t="shared" si="52"/>
        <v>", "content": "</v>
      </c>
      <c r="O272" s="34" t="str">
        <f ca="1">IF(INDIRECT("Dashboard!P"&amp;((ROW()+1)/3+2))=1,"Completed",IF(INDIRECT("Dashboard!P"&amp;((ROW()+1)/3+2))="","","Pending"))</f>
        <v>Pending</v>
      </c>
      <c r="P272" s="37" t="str">
        <f t="shared" si="53"/>
        <v>", "start": "</v>
      </c>
      <c r="Q272" s="38" t="str">
        <f ca="1">IF(INDIRECT("Dashboard!K"&amp;((ROW()+1)/3+2))="","",INDIRECT("Dashboard!K"&amp;((ROW()+1)/3+2)))</f>
        <v/>
      </c>
      <c r="R272" s="37" t="str">
        <f t="shared" si="54"/>
        <v>", "end": "</v>
      </c>
      <c r="S272" s="38" t="str">
        <f ca="1">IF(INDIRECT("Dashboard!L"&amp;((ROW()+1)/3+2))="","",INDIRECT("Dashboard!L"&amp;((ROW()+1)/3+2)))</f>
        <v/>
      </c>
      <c r="T272" s="116" t="str">
        <f ca="1">IF(C275="]);",LEFT(T271,2),T271)</f>
        <v>"},</v>
      </c>
      <c r="V272" s="32" t="str">
        <f t="shared" ca="1" si="55"/>
        <v/>
      </c>
      <c r="W272" s="37" t="s">
        <v>2</v>
      </c>
      <c r="X272" s="32" t="str">
        <f ca="1">G272&amp;" : "&amp;INDIRECT("Dashboard!G"&amp;((ROW()+1)/3+2))</f>
        <v>"12.4" : Deployment Procedure of the code</v>
      </c>
    </row>
    <row r="273" spans="1:24" ht="15" thickBot="1">
      <c r="A273" s="36"/>
      <c r="C273" s="28" t="str">
        <f ca="1">IF(OR(INDIRECT("Dashboard!B"&amp;(ROW()/3+2))&lt;&gt;"&gt;",AND(Q273="",S273="")),"//","")</f>
        <v>//</v>
      </c>
      <c r="D273" s="43" t="str">
        <f t="shared" si="49"/>
        <v xml:space="preserve">{"id": </v>
      </c>
      <c r="E273" s="29">
        <f t="shared" si="56"/>
        <v>270</v>
      </c>
      <c r="F273" s="43" t="str">
        <f t="shared" si="57"/>
        <v>, "group":</v>
      </c>
      <c r="G273" s="43" t="str">
        <f ca="1">G272</f>
        <v>"12.4"</v>
      </c>
      <c r="H273" s="43" t="str">
        <f t="shared" si="58"/>
        <v>, "subgroup": "</v>
      </c>
      <c r="I273" s="43" t="s">
        <v>397</v>
      </c>
      <c r="J273" s="43" t="str">
        <f t="shared" si="50"/>
        <v>", "subgroupOrder":</v>
      </c>
      <c r="K273" s="43">
        <v>0</v>
      </c>
      <c r="L273" s="43" t="str">
        <f t="shared" si="51"/>
        <v>, "className": "</v>
      </c>
      <c r="M273" s="29" t="str">
        <f t="shared" si="48"/>
        <v>orange</v>
      </c>
      <c r="N273" s="43" t="str">
        <f t="shared" si="52"/>
        <v>", "content": "</v>
      </c>
      <c r="O273" s="49" t="s">
        <v>392</v>
      </c>
      <c r="P273" s="43" t="str">
        <f t="shared" si="53"/>
        <v>", "start": "</v>
      </c>
      <c r="Q273" s="44" t="str">
        <f ca="1">S272</f>
        <v/>
      </c>
      <c r="R273" s="43" t="str">
        <f t="shared" si="54"/>
        <v>", "end": "</v>
      </c>
      <c r="S273" s="113" t="str">
        <f ca="1">IF(INDIRECT("Dashboard!M"&amp;(ROW()/3+2))="","",INDIRECT("Dashboard!M"&amp;(ROW()/3+2)))</f>
        <v/>
      </c>
      <c r="T273" s="117" t="str">
        <f ca="1">IF(C275="]);",LEFT(T272,2),T272)</f>
        <v>"},</v>
      </c>
      <c r="V273" s="32" t="str">
        <f t="shared" ca="1" si="55"/>
        <v/>
      </c>
      <c r="W273" s="37" t="s">
        <v>2</v>
      </c>
    </row>
    <row r="274" spans="1:24">
      <c r="A274" s="36"/>
      <c r="C274" s="25"/>
      <c r="D274" s="41" t="str">
        <f t="shared" si="49"/>
        <v xml:space="preserve">{"id": </v>
      </c>
      <c r="E274" s="26">
        <f t="shared" si="56"/>
        <v>271</v>
      </c>
      <c r="F274" s="41" t="str">
        <f t="shared" si="57"/>
        <v>, "group":</v>
      </c>
      <c r="G274" s="111" t="str">
        <f ca="1">CHAR(34)&amp;INDIRECT("Dashboard!A"&amp;(ROW()-1)/3+3)&amp;CHAR(34)</f>
        <v>"12.5"</v>
      </c>
      <c r="H274" s="41" t="str">
        <f t="shared" si="58"/>
        <v>, "subgroup": "</v>
      </c>
      <c r="I274" s="41" t="s">
        <v>396</v>
      </c>
      <c r="J274" s="41" t="str">
        <f t="shared" si="50"/>
        <v>", "subgroupOrder":</v>
      </c>
      <c r="K274" s="41">
        <v>1</v>
      </c>
      <c r="L274" s="41" t="str">
        <f t="shared" si="51"/>
        <v>, "className": "</v>
      </c>
      <c r="M274" s="26" t="str">
        <f t="shared" si="48"/>
        <v>gray</v>
      </c>
      <c r="N274" s="41" t="str">
        <f t="shared" si="52"/>
        <v>", "content": "</v>
      </c>
      <c r="O274" s="40" t="s">
        <v>388</v>
      </c>
      <c r="P274" s="41" t="str">
        <f t="shared" si="53"/>
        <v>", "start": "</v>
      </c>
      <c r="Q274" s="42">
        <f ca="1">IF(INDIRECT("Dashboard!I"&amp;(ROW()-1)/3+3)="","",INDIRECT("Dashboard!I"&amp;(ROW()-1)/3+3))</f>
        <v>45078</v>
      </c>
      <c r="R274" s="41" t="str">
        <f t="shared" si="54"/>
        <v>", "end": "</v>
      </c>
      <c r="S274" s="42">
        <f ca="1">IF(INDIRECT("Dashboard!J"&amp;(ROW()-1)/3+3)="","",INDIRECT("Dashboard!J"&amp;(ROW()-1)/3+3))</f>
        <v>45199</v>
      </c>
      <c r="T274" s="118" t="str">
        <f ca="1">IF(C278="]);",LEFT(T273,2),T273)</f>
        <v>"},</v>
      </c>
      <c r="V274" s="32" t="str">
        <f t="shared" ca="1" si="55"/>
        <v>{"id": 271, "group":"12.5", "subgroup": "plan", "subgroupOrder":1, "className": "gray", "content": "Planned", "start": "2023-06-01", "end": "2023-09-30"},</v>
      </c>
      <c r="W274" s="37" t="s">
        <v>2</v>
      </c>
    </row>
    <row r="275" spans="1:24">
      <c r="A275" s="36"/>
      <c r="C275" s="31" t="str">
        <f ca="1">IF(AND(Q275="", S275=""),"//","")</f>
        <v>//</v>
      </c>
      <c r="D275" s="37" t="str">
        <f t="shared" si="49"/>
        <v xml:space="preserve">{"id": </v>
      </c>
      <c r="E275" s="32">
        <f t="shared" si="56"/>
        <v>272</v>
      </c>
      <c r="F275" s="37" t="str">
        <f t="shared" si="57"/>
        <v>, "group":</v>
      </c>
      <c r="G275" s="37" t="str">
        <f ca="1">G274</f>
        <v>"12.5"</v>
      </c>
      <c r="H275" s="37" t="str">
        <f t="shared" si="58"/>
        <v>, "subgroup": "</v>
      </c>
      <c r="I275" s="37" t="s">
        <v>397</v>
      </c>
      <c r="J275" s="37" t="str">
        <f t="shared" si="50"/>
        <v>", "subgroupOrder":</v>
      </c>
      <c r="K275" s="37">
        <v>0</v>
      </c>
      <c r="L275" s="37" t="str">
        <f t="shared" si="51"/>
        <v>, "className": "</v>
      </c>
      <c r="M275" s="32" t="str">
        <f t="shared" ca="1" si="48"/>
        <v>pink-white</v>
      </c>
      <c r="N275" s="37" t="str">
        <f t="shared" si="52"/>
        <v>", "content": "</v>
      </c>
      <c r="O275" s="34" t="str">
        <f ca="1">IF(INDIRECT("Dashboard!P"&amp;((ROW()+1)/3+2))=1,"Completed",IF(INDIRECT("Dashboard!P"&amp;((ROW()+1)/3+2))="","","Pending"))</f>
        <v>Pending</v>
      </c>
      <c r="P275" s="37" t="str">
        <f t="shared" si="53"/>
        <v>", "start": "</v>
      </c>
      <c r="Q275" s="38" t="str">
        <f ca="1">IF(INDIRECT("Dashboard!K"&amp;((ROW()+1)/3+2))="","",INDIRECT("Dashboard!K"&amp;((ROW()+1)/3+2)))</f>
        <v/>
      </c>
      <c r="R275" s="37" t="str">
        <f t="shared" si="54"/>
        <v>", "end": "</v>
      </c>
      <c r="S275" s="38" t="str">
        <f ca="1">IF(INDIRECT("Dashboard!L"&amp;((ROW()+1)/3+2))="","",INDIRECT("Dashboard!L"&amp;((ROW()+1)/3+2)))</f>
        <v/>
      </c>
      <c r="T275" s="116" t="str">
        <f ca="1">IF(C278="]);",LEFT(T274,2),T274)</f>
        <v>"},</v>
      </c>
      <c r="V275" s="32" t="str">
        <f t="shared" ca="1" si="55"/>
        <v/>
      </c>
      <c r="W275" s="37" t="s">
        <v>2</v>
      </c>
      <c r="X275" s="32" t="str">
        <f ca="1">G275&amp;" : "&amp;INDIRECT("Dashboard!G"&amp;((ROW()+1)/3+2))</f>
        <v>"12.5" : Product usage guide with examples for all the functional usecases</v>
      </c>
    </row>
    <row r="276" spans="1:24" ht="15" thickBot="1">
      <c r="A276" s="36"/>
      <c r="C276" s="28" t="str">
        <f ca="1">IF(OR(INDIRECT("Dashboard!B"&amp;(ROW()/3+2))&lt;&gt;"&gt;",AND(Q276="",S276="")),"//","")</f>
        <v>//</v>
      </c>
      <c r="D276" s="43" t="str">
        <f t="shared" si="49"/>
        <v xml:space="preserve">{"id": </v>
      </c>
      <c r="E276" s="29">
        <f t="shared" si="56"/>
        <v>273</v>
      </c>
      <c r="F276" s="43" t="str">
        <f t="shared" si="57"/>
        <v>, "group":</v>
      </c>
      <c r="G276" s="43" t="str">
        <f ca="1">G275</f>
        <v>"12.5"</v>
      </c>
      <c r="H276" s="43" t="str">
        <f t="shared" si="58"/>
        <v>, "subgroup": "</v>
      </c>
      <c r="I276" s="43" t="s">
        <v>397</v>
      </c>
      <c r="J276" s="43" t="str">
        <f t="shared" si="50"/>
        <v>", "subgroupOrder":</v>
      </c>
      <c r="K276" s="43">
        <v>0</v>
      </c>
      <c r="L276" s="43" t="str">
        <f t="shared" si="51"/>
        <v>, "className": "</v>
      </c>
      <c r="M276" s="29" t="str">
        <f t="shared" si="48"/>
        <v>orange</v>
      </c>
      <c r="N276" s="43" t="str">
        <f t="shared" si="52"/>
        <v>", "content": "</v>
      </c>
      <c r="O276" s="49" t="s">
        <v>392</v>
      </c>
      <c r="P276" s="43" t="str">
        <f t="shared" si="53"/>
        <v>", "start": "</v>
      </c>
      <c r="Q276" s="44" t="str">
        <f ca="1">S275</f>
        <v/>
      </c>
      <c r="R276" s="43" t="str">
        <f t="shared" si="54"/>
        <v>", "end": "</v>
      </c>
      <c r="S276" s="113" t="str">
        <f ca="1">IF(INDIRECT("Dashboard!M"&amp;(ROW()/3+2))="","",INDIRECT("Dashboard!M"&amp;(ROW()/3+2)))</f>
        <v/>
      </c>
      <c r="T276" s="117" t="str">
        <f ca="1">IF(C278="]);",LEFT(T275,2),T275)</f>
        <v>"},</v>
      </c>
      <c r="V276" s="32" t="str">
        <f t="shared" ca="1" si="55"/>
        <v/>
      </c>
      <c r="W276" s="37" t="s">
        <v>2</v>
      </c>
    </row>
    <row r="277" spans="1:24">
      <c r="A277" s="36"/>
      <c r="C277" s="25"/>
      <c r="D277" s="41" t="str">
        <f t="shared" si="49"/>
        <v xml:space="preserve">{"id": </v>
      </c>
      <c r="E277" s="26">
        <f t="shared" si="56"/>
        <v>274</v>
      </c>
      <c r="F277" s="41" t="str">
        <f t="shared" si="57"/>
        <v>, "group":</v>
      </c>
      <c r="G277" s="111" t="str">
        <f ca="1">CHAR(34)&amp;INDIRECT("Dashboard!A"&amp;(ROW()-1)/3+3)&amp;CHAR(34)</f>
        <v>"12.6"</v>
      </c>
      <c r="H277" s="41" t="str">
        <f t="shared" si="58"/>
        <v>, "subgroup": "</v>
      </c>
      <c r="I277" s="41" t="s">
        <v>396</v>
      </c>
      <c r="J277" s="41" t="str">
        <f t="shared" si="50"/>
        <v>", "subgroupOrder":</v>
      </c>
      <c r="K277" s="41">
        <v>1</v>
      </c>
      <c r="L277" s="41" t="str">
        <f t="shared" si="51"/>
        <v>, "className": "</v>
      </c>
      <c r="M277" s="26" t="str">
        <f t="shared" si="48"/>
        <v>gray</v>
      </c>
      <c r="N277" s="41" t="str">
        <f t="shared" si="52"/>
        <v>", "content": "</v>
      </c>
      <c r="O277" s="40" t="s">
        <v>388</v>
      </c>
      <c r="P277" s="41" t="str">
        <f t="shared" si="53"/>
        <v>", "start": "</v>
      </c>
      <c r="Q277" s="42">
        <f ca="1">IF(INDIRECT("Dashboard!I"&amp;(ROW()-1)/3+3)="","",INDIRECT("Dashboard!I"&amp;(ROW()-1)/3+3))</f>
        <v>45078</v>
      </c>
      <c r="R277" s="41" t="str">
        <f t="shared" si="54"/>
        <v>", "end": "</v>
      </c>
      <c r="S277" s="42">
        <f ca="1">IF(INDIRECT("Dashboard!J"&amp;(ROW()-1)/3+3)="","",INDIRECT("Dashboard!J"&amp;(ROW()-1)/3+3))</f>
        <v>45199</v>
      </c>
      <c r="T277" s="118" t="str">
        <f ca="1">IF(C281="]);",LEFT(T276,2),T276)</f>
        <v>"},</v>
      </c>
      <c r="V277" s="32" t="str">
        <f t="shared" ca="1" si="55"/>
        <v>{"id": 274, "group":"12.6", "subgroup": "plan", "subgroupOrder":1, "className": "gray", "content": "Planned", "start": "2023-06-01", "end": "2023-09-30"},</v>
      </c>
      <c r="W277" s="37" t="s">
        <v>2</v>
      </c>
    </row>
    <row r="278" spans="1:24">
      <c r="A278" s="36"/>
      <c r="C278" s="31" t="str">
        <f ca="1">IF(AND(Q278="", S278=""),"//","")</f>
        <v>//</v>
      </c>
      <c r="D278" s="37" t="str">
        <f t="shared" si="49"/>
        <v xml:space="preserve">{"id": </v>
      </c>
      <c r="E278" s="32">
        <f t="shared" si="56"/>
        <v>275</v>
      </c>
      <c r="F278" s="37" t="str">
        <f t="shared" si="57"/>
        <v>, "group":</v>
      </c>
      <c r="G278" s="37" t="str">
        <f ca="1">G277</f>
        <v>"12.6"</v>
      </c>
      <c r="H278" s="37" t="str">
        <f t="shared" si="58"/>
        <v>, "subgroup": "</v>
      </c>
      <c r="I278" s="37" t="s">
        <v>397</v>
      </c>
      <c r="J278" s="37" t="str">
        <f t="shared" si="50"/>
        <v>", "subgroupOrder":</v>
      </c>
      <c r="K278" s="37">
        <v>0</v>
      </c>
      <c r="L278" s="37" t="str">
        <f t="shared" si="51"/>
        <v>, "className": "</v>
      </c>
      <c r="M278" s="32" t="str">
        <f t="shared" ca="1" si="48"/>
        <v>pink-white</v>
      </c>
      <c r="N278" s="37" t="str">
        <f t="shared" si="52"/>
        <v>", "content": "</v>
      </c>
      <c r="O278" s="34" t="str">
        <f ca="1">IF(INDIRECT("Dashboard!P"&amp;((ROW()+1)/3+2))=1,"Completed",IF(INDIRECT("Dashboard!P"&amp;((ROW()+1)/3+2))="","","Pending"))</f>
        <v>Pending</v>
      </c>
      <c r="P278" s="37" t="str">
        <f t="shared" si="53"/>
        <v>", "start": "</v>
      </c>
      <c r="Q278" s="38" t="str">
        <f ca="1">IF(INDIRECT("Dashboard!K"&amp;((ROW()+1)/3+2))="","",INDIRECT("Dashboard!K"&amp;((ROW()+1)/3+2)))</f>
        <v/>
      </c>
      <c r="R278" s="37" t="str">
        <f t="shared" si="54"/>
        <v>", "end": "</v>
      </c>
      <c r="S278" s="38" t="str">
        <f ca="1">IF(INDIRECT("Dashboard!L"&amp;((ROW()+1)/3+2))="","",INDIRECT("Dashboard!L"&amp;((ROW()+1)/3+2)))</f>
        <v/>
      </c>
      <c r="T278" s="116" t="str">
        <f ca="1">IF(C281="]);",LEFT(T277,2),T277)</f>
        <v>"},</v>
      </c>
      <c r="V278" s="32" t="str">
        <f t="shared" ca="1" si="55"/>
        <v/>
      </c>
      <c r="W278" s="37" t="s">
        <v>2</v>
      </c>
      <c r="X278" s="32" t="str">
        <f ca="1">G278&amp;" : "&amp;INDIRECT("Dashboard!G"&amp;((ROW()+1)/3+2))</f>
        <v xml:space="preserve">"12.6" : Test report </v>
      </c>
    </row>
    <row r="279" spans="1:24" ht="15" thickBot="1">
      <c r="A279" s="36"/>
      <c r="C279" s="28" t="str">
        <f ca="1">IF(OR(INDIRECT("Dashboard!B"&amp;(ROW()/3+2))&lt;&gt;"&gt;",AND(Q279="",S279="")),"//","")</f>
        <v>//</v>
      </c>
      <c r="D279" s="43" t="str">
        <f t="shared" si="49"/>
        <v xml:space="preserve">{"id": </v>
      </c>
      <c r="E279" s="29">
        <f t="shared" si="56"/>
        <v>276</v>
      </c>
      <c r="F279" s="43" t="str">
        <f t="shared" si="57"/>
        <v>, "group":</v>
      </c>
      <c r="G279" s="43" t="str">
        <f ca="1">G278</f>
        <v>"12.6"</v>
      </c>
      <c r="H279" s="43" t="str">
        <f t="shared" si="58"/>
        <v>, "subgroup": "</v>
      </c>
      <c r="I279" s="43" t="s">
        <v>397</v>
      </c>
      <c r="J279" s="43" t="str">
        <f t="shared" si="50"/>
        <v>", "subgroupOrder":</v>
      </c>
      <c r="K279" s="43">
        <v>0</v>
      </c>
      <c r="L279" s="43" t="str">
        <f t="shared" si="51"/>
        <v>, "className": "</v>
      </c>
      <c r="M279" s="29" t="str">
        <f t="shared" si="48"/>
        <v>orange</v>
      </c>
      <c r="N279" s="43" t="str">
        <f t="shared" si="52"/>
        <v>", "content": "</v>
      </c>
      <c r="O279" s="49" t="s">
        <v>392</v>
      </c>
      <c r="P279" s="43" t="str">
        <f t="shared" si="53"/>
        <v>", "start": "</v>
      </c>
      <c r="Q279" s="44" t="str">
        <f ca="1">S278</f>
        <v/>
      </c>
      <c r="R279" s="43" t="str">
        <f t="shared" si="54"/>
        <v>", "end": "</v>
      </c>
      <c r="S279" s="113" t="str">
        <f ca="1">IF(INDIRECT("Dashboard!M"&amp;(ROW()/3+2))="","",INDIRECT("Dashboard!M"&amp;(ROW()/3+2)))</f>
        <v/>
      </c>
      <c r="T279" s="117" t="str">
        <f ca="1">IF(C281="]);",LEFT(T278,2),T278)</f>
        <v>"},</v>
      </c>
      <c r="V279" s="32" t="str">
        <f t="shared" ca="1" si="55"/>
        <v/>
      </c>
      <c r="W279" s="37" t="s">
        <v>2</v>
      </c>
    </row>
    <row r="280" spans="1:24">
      <c r="A280" s="36"/>
      <c r="C280" s="25"/>
      <c r="D280" s="41" t="str">
        <f t="shared" si="49"/>
        <v xml:space="preserve">{"id": </v>
      </c>
      <c r="E280" s="26">
        <f t="shared" si="56"/>
        <v>277</v>
      </c>
      <c r="F280" s="41" t="str">
        <f t="shared" si="57"/>
        <v>, "group":</v>
      </c>
      <c r="G280" s="111" t="str">
        <f ca="1">CHAR(34)&amp;INDIRECT("Dashboard!A"&amp;(ROW()-1)/3+3)&amp;CHAR(34)</f>
        <v>"13"</v>
      </c>
      <c r="H280" s="41" t="str">
        <f t="shared" si="58"/>
        <v>, "subgroup": "</v>
      </c>
      <c r="I280" s="41" t="s">
        <v>396</v>
      </c>
      <c r="J280" s="41" t="str">
        <f t="shared" si="50"/>
        <v>", "subgroupOrder":</v>
      </c>
      <c r="K280" s="41">
        <v>1</v>
      </c>
      <c r="L280" s="41" t="str">
        <f t="shared" si="51"/>
        <v>, "className": "</v>
      </c>
      <c r="M280" s="26" t="str">
        <f t="shared" si="48"/>
        <v>gray</v>
      </c>
      <c r="N280" s="41" t="str">
        <f t="shared" si="52"/>
        <v>", "content": "</v>
      </c>
      <c r="O280" s="40" t="s">
        <v>388</v>
      </c>
      <c r="P280" s="41" t="str">
        <f t="shared" si="53"/>
        <v>", "start": "</v>
      </c>
      <c r="Q280" s="42">
        <f ca="1">IF(INDIRECT("Dashboard!I"&amp;(ROW()-1)/3+3)="","",INDIRECT("Dashboard!I"&amp;(ROW()-1)/3+3))</f>
        <v>45383</v>
      </c>
      <c r="R280" s="41" t="str">
        <f t="shared" si="54"/>
        <v>", "end": "</v>
      </c>
      <c r="S280" s="42">
        <f ca="1">IF(INDIRECT("Dashboard!J"&amp;(ROW()-1)/3+3)="","",INDIRECT("Dashboard!J"&amp;(ROW()-1)/3+3))</f>
        <v>45473</v>
      </c>
      <c r="T280" s="118" t="str">
        <f ca="1">IF(C284="]);",LEFT(T279,2),T279)</f>
        <v>"},</v>
      </c>
      <c r="V280" s="32" t="str">
        <f t="shared" ca="1" si="55"/>
        <v>{"id": 277, "group":"13", "subgroup": "plan", "subgroupOrder":1, "className": "gray", "content": "Planned", "start": "2024-04-01", "end": "2024-06-30"},</v>
      </c>
      <c r="W280" s="37" t="s">
        <v>2</v>
      </c>
    </row>
    <row r="281" spans="1:24">
      <c r="A281" s="36"/>
      <c r="C281" s="31" t="str">
        <f ca="1">IF(AND(Q281="", S281=""),"//","")</f>
        <v>//</v>
      </c>
      <c r="D281" s="37" t="str">
        <f t="shared" si="49"/>
        <v xml:space="preserve">{"id": </v>
      </c>
      <c r="E281" s="32">
        <f t="shared" si="56"/>
        <v>278</v>
      </c>
      <c r="F281" s="37" t="str">
        <f t="shared" si="57"/>
        <v>, "group":</v>
      </c>
      <c r="G281" s="37" t="str">
        <f ca="1">G280</f>
        <v>"13"</v>
      </c>
      <c r="H281" s="37" t="str">
        <f t="shared" si="58"/>
        <v>, "subgroup": "</v>
      </c>
      <c r="I281" s="37" t="s">
        <v>397</v>
      </c>
      <c r="J281" s="37" t="str">
        <f t="shared" si="50"/>
        <v>", "subgroupOrder":</v>
      </c>
      <c r="K281" s="37">
        <v>0</v>
      </c>
      <c r="L281" s="37" t="str">
        <f t="shared" si="51"/>
        <v>, "className": "</v>
      </c>
      <c r="M281" s="32" t="str">
        <f t="shared" ca="1" si="48"/>
        <v>pink-white</v>
      </c>
      <c r="N281" s="37" t="str">
        <f t="shared" si="52"/>
        <v>", "content": "</v>
      </c>
      <c r="O281" s="34" t="str">
        <f ca="1">IF(INDIRECT("Dashboard!P"&amp;((ROW()+1)/3+2))=1,"Completed",IF(INDIRECT("Dashboard!P"&amp;((ROW()+1)/3+2))="","","Pending"))</f>
        <v>Pending</v>
      </c>
      <c r="P281" s="37" t="str">
        <f t="shared" si="53"/>
        <v>", "start": "</v>
      </c>
      <c r="Q281" s="38" t="str">
        <f ca="1">IF(INDIRECT("Dashboard!K"&amp;((ROW()+1)/3+2))="","",INDIRECT("Dashboard!K"&amp;((ROW()+1)/3+2)))</f>
        <v/>
      </c>
      <c r="R281" s="37" t="str">
        <f t="shared" si="54"/>
        <v>", "end": "</v>
      </c>
      <c r="S281" s="38" t="str">
        <f ca="1">IF(INDIRECT("Dashboard!L"&amp;((ROW()+1)/3+2))="","",INDIRECT("Dashboard!L"&amp;((ROW()+1)/3+2)))</f>
        <v/>
      </c>
      <c r="T281" s="116" t="str">
        <f ca="1">IF(C284="]);",LEFT(T280,2),T280)</f>
        <v>"},</v>
      </c>
      <c r="V281" s="32" t="str">
        <f t="shared" ca="1" si="55"/>
        <v/>
      </c>
      <c r="W281" s="37" t="s">
        <v>2</v>
      </c>
      <c r="X281" s="32" t="str">
        <f ca="1">G281&amp;" : "&amp;INDIRECT("Dashboard!G"&amp;((ROW()+1)/3+2))</f>
        <v>"13" : M12. Decision Engine AI/ML models - Preventive maintenance of PV panel &amp; inverter asset</v>
      </c>
    </row>
    <row r="282" spans="1:24" ht="15" thickBot="1">
      <c r="A282" s="36"/>
      <c r="C282" s="28" t="str">
        <f ca="1">IF(OR(INDIRECT("Dashboard!B"&amp;(ROW()/3+2))&lt;&gt;"&gt;",AND(Q282="",S282="")),"//","")</f>
        <v>//</v>
      </c>
      <c r="D282" s="43" t="str">
        <f t="shared" si="49"/>
        <v xml:space="preserve">{"id": </v>
      </c>
      <c r="E282" s="29">
        <f t="shared" si="56"/>
        <v>279</v>
      </c>
      <c r="F282" s="43" t="str">
        <f t="shared" si="57"/>
        <v>, "group":</v>
      </c>
      <c r="G282" s="43" t="str">
        <f ca="1">G281</f>
        <v>"13"</v>
      </c>
      <c r="H282" s="43" t="str">
        <f t="shared" si="58"/>
        <v>, "subgroup": "</v>
      </c>
      <c r="I282" s="43" t="s">
        <v>397</v>
      </c>
      <c r="J282" s="43" t="str">
        <f t="shared" si="50"/>
        <v>", "subgroupOrder":</v>
      </c>
      <c r="K282" s="43">
        <v>0</v>
      </c>
      <c r="L282" s="43" t="str">
        <f t="shared" si="51"/>
        <v>, "className": "</v>
      </c>
      <c r="M282" s="29" t="str">
        <f t="shared" si="48"/>
        <v>orange</v>
      </c>
      <c r="N282" s="43" t="str">
        <f t="shared" si="52"/>
        <v>", "content": "</v>
      </c>
      <c r="O282" s="49" t="s">
        <v>392</v>
      </c>
      <c r="P282" s="43" t="str">
        <f t="shared" si="53"/>
        <v>", "start": "</v>
      </c>
      <c r="Q282" s="44" t="str">
        <f ca="1">S281</f>
        <v/>
      </c>
      <c r="R282" s="43" t="str">
        <f t="shared" si="54"/>
        <v>", "end": "</v>
      </c>
      <c r="S282" s="113" t="str">
        <f ca="1">IF(INDIRECT("Dashboard!M"&amp;(ROW()/3+2))="","",INDIRECT("Dashboard!M"&amp;(ROW()/3+2)))</f>
        <v/>
      </c>
      <c r="T282" s="117" t="str">
        <f ca="1">IF(C284="]);",LEFT(T281,2),T281)</f>
        <v>"},</v>
      </c>
      <c r="V282" s="32" t="str">
        <f t="shared" ca="1" si="55"/>
        <v/>
      </c>
      <c r="W282" s="37" t="s">
        <v>2</v>
      </c>
    </row>
    <row r="283" spans="1:24">
      <c r="A283" s="36"/>
      <c r="C283" s="25"/>
      <c r="D283" s="41" t="str">
        <f t="shared" si="49"/>
        <v xml:space="preserve">{"id": </v>
      </c>
      <c r="E283" s="26">
        <f t="shared" si="56"/>
        <v>280</v>
      </c>
      <c r="F283" s="41" t="str">
        <f t="shared" si="57"/>
        <v>, "group":</v>
      </c>
      <c r="G283" s="111" t="str">
        <f ca="1">CHAR(34)&amp;INDIRECT("Dashboard!A"&amp;(ROW()-1)/3+3)&amp;CHAR(34)</f>
        <v>"13.1"</v>
      </c>
      <c r="H283" s="41" t="str">
        <f t="shared" si="58"/>
        <v>, "subgroup": "</v>
      </c>
      <c r="I283" s="41" t="s">
        <v>396</v>
      </c>
      <c r="J283" s="41" t="str">
        <f t="shared" si="50"/>
        <v>", "subgroupOrder":</v>
      </c>
      <c r="K283" s="41">
        <v>1</v>
      </c>
      <c r="L283" s="41" t="str">
        <f t="shared" si="51"/>
        <v>, "className": "</v>
      </c>
      <c r="M283" s="26" t="str">
        <f t="shared" si="48"/>
        <v>gray</v>
      </c>
      <c r="N283" s="41" t="str">
        <f t="shared" si="52"/>
        <v>", "content": "</v>
      </c>
      <c r="O283" s="40" t="s">
        <v>388</v>
      </c>
      <c r="P283" s="41" t="str">
        <f t="shared" si="53"/>
        <v>", "start": "</v>
      </c>
      <c r="Q283" s="42" t="str">
        <f ca="1">IF(INDIRECT("Dashboard!I"&amp;(ROW()-1)/3+3)="","",INDIRECT("Dashboard!I"&amp;(ROW()-1)/3+3))</f>
        <v/>
      </c>
      <c r="R283" s="41" t="str">
        <f t="shared" si="54"/>
        <v>", "end": "</v>
      </c>
      <c r="S283" s="42" t="str">
        <f ca="1">IF(INDIRECT("Dashboard!J"&amp;(ROW()-1)/3+3)="","",INDIRECT("Dashboard!J"&amp;(ROW()-1)/3+3))</f>
        <v/>
      </c>
      <c r="T283" s="118" t="str">
        <f ca="1">IF(C287="]);",LEFT(T282,2),T282)</f>
        <v>"},</v>
      </c>
      <c r="V283" s="32" t="str">
        <f t="shared" ca="1" si="55"/>
        <v>{"id": 280, "group":"13.1", "subgroup": "plan", "subgroupOrder":1, "className": "gray", "content": "Planned", "start": "", "end": ""},</v>
      </c>
      <c r="W283" s="37" t="s">
        <v>2</v>
      </c>
    </row>
    <row r="284" spans="1:24">
      <c r="A284" s="36"/>
      <c r="C284" s="31" t="str">
        <f ca="1">IF(AND(Q284="", S284=""),"//","")</f>
        <v>//</v>
      </c>
      <c r="D284" s="37" t="str">
        <f t="shared" si="49"/>
        <v xml:space="preserve">{"id": </v>
      </c>
      <c r="E284" s="32">
        <f t="shared" si="56"/>
        <v>281</v>
      </c>
      <c r="F284" s="37" t="str">
        <f t="shared" si="57"/>
        <v>, "group":</v>
      </c>
      <c r="G284" s="37" t="str">
        <f ca="1">G283</f>
        <v>"13.1"</v>
      </c>
      <c r="H284" s="37" t="str">
        <f t="shared" si="58"/>
        <v>, "subgroup": "</v>
      </c>
      <c r="I284" s="37" t="s">
        <v>397</v>
      </c>
      <c r="J284" s="37" t="str">
        <f t="shared" si="50"/>
        <v>", "subgroupOrder":</v>
      </c>
      <c r="K284" s="37">
        <v>0</v>
      </c>
      <c r="L284" s="37" t="str">
        <f t="shared" si="51"/>
        <v>, "className": "</v>
      </c>
      <c r="M284" s="32" t="str">
        <f t="shared" ca="1" si="48"/>
        <v/>
      </c>
      <c r="N284" s="37" t="str">
        <f t="shared" si="52"/>
        <v>", "content": "</v>
      </c>
      <c r="O284" s="34" t="str">
        <f ca="1">IF(INDIRECT("Dashboard!P"&amp;((ROW()+1)/3+2))=1,"Completed",IF(INDIRECT("Dashboard!P"&amp;((ROW()+1)/3+2))="","","Pending"))</f>
        <v/>
      </c>
      <c r="P284" s="37" t="str">
        <f t="shared" si="53"/>
        <v>", "start": "</v>
      </c>
      <c r="Q284" s="38" t="str">
        <f ca="1">IF(INDIRECT("Dashboard!K"&amp;((ROW()+1)/3+2))="","",INDIRECT("Dashboard!K"&amp;((ROW()+1)/3+2)))</f>
        <v/>
      </c>
      <c r="R284" s="37" t="str">
        <f t="shared" si="54"/>
        <v>", "end": "</v>
      </c>
      <c r="S284" s="38" t="str">
        <f ca="1">IF(INDIRECT("Dashboard!L"&amp;((ROW()+1)/3+2))="","",INDIRECT("Dashboard!L"&amp;((ROW()+1)/3+2)))</f>
        <v/>
      </c>
      <c r="T284" s="116" t="str">
        <f ca="1">IF(C287="]);",LEFT(T283,2),T283)</f>
        <v>"},</v>
      </c>
      <c r="V284" s="32" t="str">
        <f t="shared" ca="1" si="55"/>
        <v/>
      </c>
      <c r="W284" s="37" t="s">
        <v>2</v>
      </c>
      <c r="X284" s="32" t="str">
        <f ca="1">G284&amp;" : "&amp;INDIRECT("Dashboard!G"&amp;((ROW()+1)/3+2))</f>
        <v>"13.1" : Note : Use datafusion platform to find faults in the assets</v>
      </c>
    </row>
    <row r="285" spans="1:24" ht="15" thickBot="1">
      <c r="A285" s="36"/>
      <c r="C285" s="28" t="str">
        <f ca="1">IF(OR(INDIRECT("Dashboard!B"&amp;(ROW()/3+2))&lt;&gt;"&gt;",AND(Q285="",S285="")),"//","")</f>
        <v>//</v>
      </c>
      <c r="D285" s="43" t="str">
        <f t="shared" si="49"/>
        <v xml:space="preserve">{"id": </v>
      </c>
      <c r="E285" s="29">
        <f t="shared" si="56"/>
        <v>282</v>
      </c>
      <c r="F285" s="43" t="str">
        <f t="shared" si="57"/>
        <v>, "group":</v>
      </c>
      <c r="G285" s="43" t="str">
        <f ca="1">G284</f>
        <v>"13.1"</v>
      </c>
      <c r="H285" s="43" t="str">
        <f t="shared" si="58"/>
        <v>, "subgroup": "</v>
      </c>
      <c r="I285" s="43" t="s">
        <v>397</v>
      </c>
      <c r="J285" s="43" t="str">
        <f t="shared" si="50"/>
        <v>", "subgroupOrder":</v>
      </c>
      <c r="K285" s="43">
        <v>0</v>
      </c>
      <c r="L285" s="43" t="str">
        <f t="shared" si="51"/>
        <v>, "className": "</v>
      </c>
      <c r="M285" s="29" t="str">
        <f t="shared" si="48"/>
        <v>orange</v>
      </c>
      <c r="N285" s="43" t="str">
        <f t="shared" si="52"/>
        <v>", "content": "</v>
      </c>
      <c r="O285" s="49" t="s">
        <v>392</v>
      </c>
      <c r="P285" s="43" t="str">
        <f t="shared" si="53"/>
        <v>", "start": "</v>
      </c>
      <c r="Q285" s="44" t="str">
        <f ca="1">S284</f>
        <v/>
      </c>
      <c r="R285" s="43" t="str">
        <f t="shared" si="54"/>
        <v>", "end": "</v>
      </c>
      <c r="S285" s="113" t="str">
        <f ca="1">IF(INDIRECT("Dashboard!M"&amp;(ROW()/3+2))="","",INDIRECT("Dashboard!M"&amp;(ROW()/3+2)))</f>
        <v/>
      </c>
      <c r="T285" s="117" t="str">
        <f ca="1">IF(C287="]);",LEFT(T284,2),T284)</f>
        <v>"},</v>
      </c>
      <c r="V285" s="32" t="str">
        <f t="shared" ca="1" si="55"/>
        <v/>
      </c>
      <c r="W285" s="37" t="s">
        <v>2</v>
      </c>
    </row>
    <row r="286" spans="1:24">
      <c r="A286" s="36"/>
      <c r="C286" s="25"/>
      <c r="D286" s="41" t="str">
        <f t="shared" si="49"/>
        <v xml:space="preserve">{"id": </v>
      </c>
      <c r="E286" s="26">
        <f t="shared" si="56"/>
        <v>283</v>
      </c>
      <c r="F286" s="41" t="str">
        <f t="shared" si="57"/>
        <v>, "group":</v>
      </c>
      <c r="G286" s="111" t="str">
        <f ca="1">CHAR(34)&amp;INDIRECT("Dashboard!A"&amp;(ROW()-1)/3+3)&amp;CHAR(34)</f>
        <v>"13.2"</v>
      </c>
      <c r="H286" s="41" t="str">
        <f t="shared" si="58"/>
        <v>, "subgroup": "</v>
      </c>
      <c r="I286" s="41" t="s">
        <v>396</v>
      </c>
      <c r="J286" s="41" t="str">
        <f t="shared" si="50"/>
        <v>", "subgroupOrder":</v>
      </c>
      <c r="K286" s="41">
        <v>1</v>
      </c>
      <c r="L286" s="41" t="str">
        <f t="shared" si="51"/>
        <v>, "className": "</v>
      </c>
      <c r="M286" s="26" t="str">
        <f t="shared" si="48"/>
        <v>gray</v>
      </c>
      <c r="N286" s="41" t="str">
        <f t="shared" si="52"/>
        <v>", "content": "</v>
      </c>
      <c r="O286" s="40" t="s">
        <v>388</v>
      </c>
      <c r="P286" s="41" t="str">
        <f t="shared" si="53"/>
        <v>", "start": "</v>
      </c>
      <c r="Q286" s="42">
        <f ca="1">IF(INDIRECT("Dashboard!I"&amp;(ROW()-1)/3+3)="","",INDIRECT("Dashboard!I"&amp;(ROW()-1)/3+3))</f>
        <v>45383</v>
      </c>
      <c r="R286" s="41" t="str">
        <f t="shared" si="54"/>
        <v>", "end": "</v>
      </c>
      <c r="S286" s="42">
        <f ca="1">IF(INDIRECT("Dashboard!J"&amp;(ROW()-1)/3+3)="","",INDIRECT("Dashboard!J"&amp;(ROW()-1)/3+3))</f>
        <v>45473</v>
      </c>
      <c r="T286" s="118" t="str">
        <f ca="1">IF(C290="]);",LEFT(T285,2),T285)</f>
        <v>"},</v>
      </c>
      <c r="V286" s="32" t="str">
        <f t="shared" ca="1" si="55"/>
        <v>{"id": 283, "group":"13.2", "subgroup": "plan", "subgroupOrder":1, "className": "gray", "content": "Planned", "start": "2024-04-01", "end": "2024-06-30"},</v>
      </c>
      <c r="W286" s="37" t="s">
        <v>2</v>
      </c>
    </row>
    <row r="287" spans="1:24">
      <c r="A287" s="36"/>
      <c r="C287" s="31" t="str">
        <f ca="1">IF(AND(Q287="", S287=""),"//","")</f>
        <v>//</v>
      </c>
      <c r="D287" s="37" t="str">
        <f t="shared" si="49"/>
        <v xml:space="preserve">{"id": </v>
      </c>
      <c r="E287" s="32">
        <f t="shared" si="56"/>
        <v>284</v>
      </c>
      <c r="F287" s="37" t="str">
        <f t="shared" si="57"/>
        <v>, "group":</v>
      </c>
      <c r="G287" s="37" t="str">
        <f ca="1">G286</f>
        <v>"13.2"</v>
      </c>
      <c r="H287" s="37" t="str">
        <f t="shared" si="58"/>
        <v>, "subgroup": "</v>
      </c>
      <c r="I287" s="37" t="s">
        <v>397</v>
      </c>
      <c r="J287" s="37" t="str">
        <f t="shared" si="50"/>
        <v>", "subgroupOrder":</v>
      </c>
      <c r="K287" s="37">
        <v>0</v>
      </c>
      <c r="L287" s="37" t="str">
        <f t="shared" si="51"/>
        <v>, "className": "</v>
      </c>
      <c r="M287" s="32" t="str">
        <f t="shared" ca="1" si="48"/>
        <v>pink-white</v>
      </c>
      <c r="N287" s="37" t="str">
        <f t="shared" si="52"/>
        <v>", "content": "</v>
      </c>
      <c r="O287" s="34" t="str">
        <f ca="1">IF(INDIRECT("Dashboard!P"&amp;((ROW()+1)/3+2))=1,"Completed",IF(INDIRECT("Dashboard!P"&amp;((ROW()+1)/3+2))="","","Pending"))</f>
        <v>Pending</v>
      </c>
      <c r="P287" s="37" t="str">
        <f t="shared" si="53"/>
        <v>", "start": "</v>
      </c>
      <c r="Q287" s="38" t="str">
        <f ca="1">IF(INDIRECT("Dashboard!K"&amp;((ROW()+1)/3+2))="","",INDIRECT("Dashboard!K"&amp;((ROW()+1)/3+2)))</f>
        <v/>
      </c>
      <c r="R287" s="37" t="str">
        <f t="shared" si="54"/>
        <v>", "end": "</v>
      </c>
      <c r="S287" s="38" t="str">
        <f ca="1">IF(INDIRECT("Dashboard!L"&amp;((ROW()+1)/3+2))="","",INDIRECT("Dashboard!L"&amp;((ROW()+1)/3+2)))</f>
        <v/>
      </c>
      <c r="T287" s="116" t="str">
        <f ca="1">IF(C290="]);",LEFT(T286,2),T286)</f>
        <v>"},</v>
      </c>
      <c r="V287" s="32" t="str">
        <f t="shared" ca="1" si="55"/>
        <v/>
      </c>
      <c r="W287" s="37" t="s">
        <v>2</v>
      </c>
      <c r="X287" s="32" t="str">
        <f ca="1">G287&amp;" : "&amp;INDIRECT("Dashboard!G"&amp;((ROW()+1)/3+2))</f>
        <v>"13.2" : Technical design document explaining the data schema and algorithm</v>
      </c>
    </row>
    <row r="288" spans="1:24" ht="15" thickBot="1">
      <c r="A288" s="36"/>
      <c r="C288" s="28" t="str">
        <f ca="1">IF(OR(INDIRECT("Dashboard!B"&amp;(ROW()/3+2))&lt;&gt;"&gt;",AND(Q288="",S288="")),"//","")</f>
        <v>//</v>
      </c>
      <c r="D288" s="43" t="str">
        <f t="shared" si="49"/>
        <v xml:space="preserve">{"id": </v>
      </c>
      <c r="E288" s="29">
        <f t="shared" si="56"/>
        <v>285</v>
      </c>
      <c r="F288" s="43" t="str">
        <f t="shared" si="57"/>
        <v>, "group":</v>
      </c>
      <c r="G288" s="43" t="str">
        <f ca="1">G287</f>
        <v>"13.2"</v>
      </c>
      <c r="H288" s="43" t="str">
        <f t="shared" si="58"/>
        <v>, "subgroup": "</v>
      </c>
      <c r="I288" s="43" t="s">
        <v>397</v>
      </c>
      <c r="J288" s="43" t="str">
        <f t="shared" si="50"/>
        <v>", "subgroupOrder":</v>
      </c>
      <c r="K288" s="43">
        <v>0</v>
      </c>
      <c r="L288" s="43" t="str">
        <f t="shared" si="51"/>
        <v>, "className": "</v>
      </c>
      <c r="M288" s="29" t="str">
        <f t="shared" si="48"/>
        <v>orange</v>
      </c>
      <c r="N288" s="43" t="str">
        <f t="shared" si="52"/>
        <v>", "content": "</v>
      </c>
      <c r="O288" s="49" t="s">
        <v>392</v>
      </c>
      <c r="P288" s="43" t="str">
        <f t="shared" si="53"/>
        <v>", "start": "</v>
      </c>
      <c r="Q288" s="44" t="str">
        <f ca="1">S287</f>
        <v/>
      </c>
      <c r="R288" s="43" t="str">
        <f t="shared" si="54"/>
        <v>", "end": "</v>
      </c>
      <c r="S288" s="113" t="str">
        <f ca="1">IF(INDIRECT("Dashboard!M"&amp;(ROW()/3+2))="","",INDIRECT("Dashboard!M"&amp;(ROW()/3+2)))</f>
        <v/>
      </c>
      <c r="T288" s="117" t="str">
        <f ca="1">IF(C290="]);",LEFT(T287,2),T287)</f>
        <v>"},</v>
      </c>
      <c r="V288" s="32" t="str">
        <f t="shared" ca="1" si="55"/>
        <v/>
      </c>
      <c r="W288" s="37" t="s">
        <v>2</v>
      </c>
    </row>
    <row r="289" spans="1:24">
      <c r="A289" s="36"/>
      <c r="C289" s="25"/>
      <c r="D289" s="41" t="str">
        <f t="shared" si="49"/>
        <v xml:space="preserve">{"id": </v>
      </c>
      <c r="E289" s="26">
        <f t="shared" si="56"/>
        <v>286</v>
      </c>
      <c r="F289" s="41" t="str">
        <f t="shared" si="57"/>
        <v>, "group":</v>
      </c>
      <c r="G289" s="111" t="str">
        <f ca="1">CHAR(34)&amp;INDIRECT("Dashboard!A"&amp;(ROW()-1)/3+3)&amp;CHAR(34)</f>
        <v>"13.3"</v>
      </c>
      <c r="H289" s="41" t="str">
        <f t="shared" si="58"/>
        <v>, "subgroup": "</v>
      </c>
      <c r="I289" s="41" t="s">
        <v>396</v>
      </c>
      <c r="J289" s="41" t="str">
        <f t="shared" si="50"/>
        <v>", "subgroupOrder":</v>
      </c>
      <c r="K289" s="41">
        <v>1</v>
      </c>
      <c r="L289" s="41" t="str">
        <f t="shared" si="51"/>
        <v>, "className": "</v>
      </c>
      <c r="M289" s="26" t="str">
        <f t="shared" si="48"/>
        <v>gray</v>
      </c>
      <c r="N289" s="41" t="str">
        <f t="shared" si="52"/>
        <v>", "content": "</v>
      </c>
      <c r="O289" s="40" t="s">
        <v>388</v>
      </c>
      <c r="P289" s="41" t="str">
        <f t="shared" si="53"/>
        <v>", "start": "</v>
      </c>
      <c r="Q289" s="42">
        <f ca="1">IF(INDIRECT("Dashboard!I"&amp;(ROW()-1)/3+3)="","",INDIRECT("Dashboard!I"&amp;(ROW()-1)/3+3))</f>
        <v>45383</v>
      </c>
      <c r="R289" s="41" t="str">
        <f t="shared" si="54"/>
        <v>", "end": "</v>
      </c>
      <c r="S289" s="42">
        <f ca="1">IF(INDIRECT("Dashboard!J"&amp;(ROW()-1)/3+3)="","",INDIRECT("Dashboard!J"&amp;(ROW()-1)/3+3))</f>
        <v>45473</v>
      </c>
      <c r="T289" s="118" t="str">
        <f ca="1">IF(C293="]);",LEFT(T288,2),T288)</f>
        <v>"},</v>
      </c>
      <c r="V289" s="32" t="str">
        <f t="shared" ca="1" si="55"/>
        <v>{"id": 286, "group":"13.3", "subgroup": "plan", "subgroupOrder":1, "className": "gray", "content": "Planned", "start": "2024-04-01", "end": "2024-06-30"},</v>
      </c>
      <c r="W289" s="37" t="s">
        <v>2</v>
      </c>
    </row>
    <row r="290" spans="1:24">
      <c r="A290" s="36"/>
      <c r="C290" s="31" t="str">
        <f ca="1">IF(AND(Q290="", S290=""),"//","")</f>
        <v>//</v>
      </c>
      <c r="D290" s="37" t="str">
        <f t="shared" si="49"/>
        <v xml:space="preserve">{"id": </v>
      </c>
      <c r="E290" s="32">
        <f t="shared" si="56"/>
        <v>287</v>
      </c>
      <c r="F290" s="37" t="str">
        <f t="shared" si="57"/>
        <v>, "group":</v>
      </c>
      <c r="G290" s="37" t="str">
        <f ca="1">G289</f>
        <v>"13.3"</v>
      </c>
      <c r="H290" s="37" t="str">
        <f t="shared" si="58"/>
        <v>, "subgroup": "</v>
      </c>
      <c r="I290" s="37" t="s">
        <v>397</v>
      </c>
      <c r="J290" s="37" t="str">
        <f t="shared" si="50"/>
        <v>", "subgroupOrder":</v>
      </c>
      <c r="K290" s="37">
        <v>0</v>
      </c>
      <c r="L290" s="37" t="str">
        <f t="shared" si="51"/>
        <v>, "className": "</v>
      </c>
      <c r="M290" s="32" t="str">
        <f t="shared" ref="M290:M353" ca="1" si="59">IF(ISNA(VLOOKUP(O290,$X$1:$Y$4,2,FALSE)),"",VLOOKUP(O290,$X$1:$Y$4,2,FALSE))</f>
        <v>pink-white</v>
      </c>
      <c r="N290" s="37" t="str">
        <f t="shared" si="52"/>
        <v>", "content": "</v>
      </c>
      <c r="O290" s="34" t="str">
        <f ca="1">IF(INDIRECT("Dashboard!P"&amp;((ROW()+1)/3+2))=1,"Completed",IF(INDIRECT("Dashboard!P"&amp;((ROW()+1)/3+2))="","","Pending"))</f>
        <v>Pending</v>
      </c>
      <c r="P290" s="37" t="str">
        <f t="shared" si="53"/>
        <v>", "start": "</v>
      </c>
      <c r="Q290" s="38" t="str">
        <f ca="1">IF(INDIRECT("Dashboard!K"&amp;((ROW()+1)/3+2))="","",INDIRECT("Dashboard!K"&amp;((ROW()+1)/3+2)))</f>
        <v/>
      </c>
      <c r="R290" s="37" t="str">
        <f t="shared" si="54"/>
        <v>", "end": "</v>
      </c>
      <c r="S290" s="38" t="str">
        <f ca="1">IF(INDIRECT("Dashboard!L"&amp;((ROW()+1)/3+2))="","",INDIRECT("Dashboard!L"&amp;((ROW()+1)/3+2)))</f>
        <v/>
      </c>
      <c r="T290" s="116" t="str">
        <f ca="1">IF(C293="]);",LEFT(T289,2),T289)</f>
        <v>"},</v>
      </c>
      <c r="V290" s="32" t="str">
        <f t="shared" ca="1" si="55"/>
        <v/>
      </c>
      <c r="W290" s="37" t="s">
        <v>2</v>
      </c>
      <c r="X290" s="32" t="str">
        <f ca="1">G290&amp;" : "&amp;INDIRECT("Dashboard!G"&amp;((ROW()+1)/3+2))</f>
        <v>"13.3" : Software Code</v>
      </c>
    </row>
    <row r="291" spans="1:24" ht="15" thickBot="1">
      <c r="A291" s="36"/>
      <c r="C291" s="28" t="str">
        <f ca="1">IF(OR(INDIRECT("Dashboard!B"&amp;(ROW()/3+2))&lt;&gt;"&gt;",AND(Q291="",S291="")),"//","")</f>
        <v>//</v>
      </c>
      <c r="D291" s="43" t="str">
        <f t="shared" si="49"/>
        <v xml:space="preserve">{"id": </v>
      </c>
      <c r="E291" s="29">
        <f t="shared" si="56"/>
        <v>288</v>
      </c>
      <c r="F291" s="43" t="str">
        <f t="shared" si="57"/>
        <v>, "group":</v>
      </c>
      <c r="G291" s="43" t="str">
        <f ca="1">G290</f>
        <v>"13.3"</v>
      </c>
      <c r="H291" s="43" t="str">
        <f t="shared" si="58"/>
        <v>, "subgroup": "</v>
      </c>
      <c r="I291" s="43" t="s">
        <v>397</v>
      </c>
      <c r="J291" s="43" t="str">
        <f t="shared" si="50"/>
        <v>", "subgroupOrder":</v>
      </c>
      <c r="K291" s="43">
        <v>0</v>
      </c>
      <c r="L291" s="43" t="str">
        <f t="shared" si="51"/>
        <v>, "className": "</v>
      </c>
      <c r="M291" s="29" t="str">
        <f t="shared" si="59"/>
        <v>orange</v>
      </c>
      <c r="N291" s="43" t="str">
        <f t="shared" si="52"/>
        <v>", "content": "</v>
      </c>
      <c r="O291" s="49" t="s">
        <v>392</v>
      </c>
      <c r="P291" s="43" t="str">
        <f t="shared" si="53"/>
        <v>", "start": "</v>
      </c>
      <c r="Q291" s="44" t="str">
        <f ca="1">S290</f>
        <v/>
      </c>
      <c r="R291" s="43" t="str">
        <f t="shared" si="54"/>
        <v>", "end": "</v>
      </c>
      <c r="S291" s="113" t="str">
        <f ca="1">IF(INDIRECT("Dashboard!M"&amp;(ROW()/3+2))="","",INDIRECT("Dashboard!M"&amp;(ROW()/3+2)))</f>
        <v/>
      </c>
      <c r="T291" s="117" t="str">
        <f ca="1">IF(C293="]);",LEFT(T290,2),T290)</f>
        <v>"},</v>
      </c>
      <c r="V291" s="32" t="str">
        <f t="shared" ca="1" si="55"/>
        <v/>
      </c>
      <c r="W291" s="37" t="s">
        <v>2</v>
      </c>
    </row>
    <row r="292" spans="1:24">
      <c r="A292" s="36"/>
      <c r="C292" s="25"/>
      <c r="D292" s="41" t="str">
        <f t="shared" si="49"/>
        <v xml:space="preserve">{"id": </v>
      </c>
      <c r="E292" s="26">
        <f t="shared" si="56"/>
        <v>289</v>
      </c>
      <c r="F292" s="41" t="str">
        <f t="shared" si="57"/>
        <v>, "group":</v>
      </c>
      <c r="G292" s="111" t="str">
        <f ca="1">CHAR(34)&amp;INDIRECT("Dashboard!A"&amp;(ROW()-1)/3+3)&amp;CHAR(34)</f>
        <v>"13.4"</v>
      </c>
      <c r="H292" s="41" t="str">
        <f t="shared" si="58"/>
        <v>, "subgroup": "</v>
      </c>
      <c r="I292" s="41" t="s">
        <v>396</v>
      </c>
      <c r="J292" s="41" t="str">
        <f t="shared" si="50"/>
        <v>", "subgroupOrder":</v>
      </c>
      <c r="K292" s="41">
        <v>1</v>
      </c>
      <c r="L292" s="41" t="str">
        <f t="shared" si="51"/>
        <v>, "className": "</v>
      </c>
      <c r="M292" s="26" t="str">
        <f t="shared" si="59"/>
        <v>gray</v>
      </c>
      <c r="N292" s="41" t="str">
        <f t="shared" si="52"/>
        <v>", "content": "</v>
      </c>
      <c r="O292" s="40" t="s">
        <v>388</v>
      </c>
      <c r="P292" s="41" t="str">
        <f t="shared" si="53"/>
        <v>", "start": "</v>
      </c>
      <c r="Q292" s="42">
        <f ca="1">IF(INDIRECT("Dashboard!I"&amp;(ROW()-1)/3+3)="","",INDIRECT("Dashboard!I"&amp;(ROW()-1)/3+3))</f>
        <v>45383</v>
      </c>
      <c r="R292" s="41" t="str">
        <f t="shared" si="54"/>
        <v>", "end": "</v>
      </c>
      <c r="S292" s="42">
        <f ca="1">IF(INDIRECT("Dashboard!J"&amp;(ROW()-1)/3+3)="","",INDIRECT("Dashboard!J"&amp;(ROW()-1)/3+3))</f>
        <v>45473</v>
      </c>
      <c r="T292" s="118" t="str">
        <f ca="1">IF(C296="]);",LEFT(T291,2),T291)</f>
        <v>"},</v>
      </c>
      <c r="V292" s="32" t="str">
        <f t="shared" ca="1" si="55"/>
        <v>{"id": 289, "group":"13.4", "subgroup": "plan", "subgroupOrder":1, "className": "gray", "content": "Planned", "start": "2024-04-01", "end": "2024-06-30"},</v>
      </c>
      <c r="W292" s="37" t="s">
        <v>2</v>
      </c>
    </row>
    <row r="293" spans="1:24">
      <c r="A293" s="36"/>
      <c r="C293" s="31" t="str">
        <f ca="1">IF(AND(Q293="", S293=""),"//","")</f>
        <v>//</v>
      </c>
      <c r="D293" s="37" t="str">
        <f t="shared" si="49"/>
        <v xml:space="preserve">{"id": </v>
      </c>
      <c r="E293" s="32">
        <f t="shared" si="56"/>
        <v>290</v>
      </c>
      <c r="F293" s="37" t="str">
        <f t="shared" si="57"/>
        <v>, "group":</v>
      </c>
      <c r="G293" s="37" t="str">
        <f ca="1">G292</f>
        <v>"13.4"</v>
      </c>
      <c r="H293" s="37" t="str">
        <f t="shared" si="58"/>
        <v>, "subgroup": "</v>
      </c>
      <c r="I293" s="37" t="s">
        <v>397</v>
      </c>
      <c r="J293" s="37" t="str">
        <f t="shared" si="50"/>
        <v>", "subgroupOrder":</v>
      </c>
      <c r="K293" s="37">
        <v>0</v>
      </c>
      <c r="L293" s="37" t="str">
        <f t="shared" si="51"/>
        <v>, "className": "</v>
      </c>
      <c r="M293" s="32" t="str">
        <f t="shared" ca="1" si="59"/>
        <v>pink-white</v>
      </c>
      <c r="N293" s="37" t="str">
        <f t="shared" si="52"/>
        <v>", "content": "</v>
      </c>
      <c r="O293" s="34" t="str">
        <f ca="1">IF(INDIRECT("Dashboard!P"&amp;((ROW()+1)/3+2))=1,"Completed",IF(INDIRECT("Dashboard!P"&amp;((ROW()+1)/3+2))="","","Pending"))</f>
        <v>Pending</v>
      </c>
      <c r="P293" s="37" t="str">
        <f t="shared" si="53"/>
        <v>", "start": "</v>
      </c>
      <c r="Q293" s="38" t="str">
        <f ca="1">IF(INDIRECT("Dashboard!K"&amp;((ROW()+1)/3+2))="","",INDIRECT("Dashboard!K"&amp;((ROW()+1)/3+2)))</f>
        <v/>
      </c>
      <c r="R293" s="37" t="str">
        <f t="shared" si="54"/>
        <v>", "end": "</v>
      </c>
      <c r="S293" s="38" t="str">
        <f ca="1">IF(INDIRECT("Dashboard!L"&amp;((ROW()+1)/3+2))="","",INDIRECT("Dashboard!L"&amp;((ROW()+1)/3+2)))</f>
        <v/>
      </c>
      <c r="T293" s="116" t="str">
        <f ca="1">IF(C296="]);",LEFT(T292,2),T292)</f>
        <v>"},</v>
      </c>
      <c r="V293" s="32" t="str">
        <f t="shared" ca="1" si="55"/>
        <v/>
      </c>
      <c r="W293" s="37" t="s">
        <v>2</v>
      </c>
      <c r="X293" s="32" t="str">
        <f ca="1">G293&amp;" : "&amp;INDIRECT("Dashboard!G"&amp;((ROW()+1)/3+2))</f>
        <v>"13.4" : Deployment Procedure of the code</v>
      </c>
    </row>
    <row r="294" spans="1:24" ht="15" thickBot="1">
      <c r="A294" s="36"/>
      <c r="C294" s="28" t="str">
        <f ca="1">IF(OR(INDIRECT("Dashboard!B"&amp;(ROW()/3+2))&lt;&gt;"&gt;",AND(Q294="",S294="")),"//","")</f>
        <v>//</v>
      </c>
      <c r="D294" s="43" t="str">
        <f t="shared" si="49"/>
        <v xml:space="preserve">{"id": </v>
      </c>
      <c r="E294" s="29">
        <f t="shared" si="56"/>
        <v>291</v>
      </c>
      <c r="F294" s="43" t="str">
        <f t="shared" si="57"/>
        <v>, "group":</v>
      </c>
      <c r="G294" s="43" t="str">
        <f ca="1">G293</f>
        <v>"13.4"</v>
      </c>
      <c r="H294" s="43" t="str">
        <f t="shared" si="58"/>
        <v>, "subgroup": "</v>
      </c>
      <c r="I294" s="43" t="s">
        <v>397</v>
      </c>
      <c r="J294" s="43" t="str">
        <f t="shared" si="50"/>
        <v>", "subgroupOrder":</v>
      </c>
      <c r="K294" s="43">
        <v>0</v>
      </c>
      <c r="L294" s="43" t="str">
        <f t="shared" si="51"/>
        <v>, "className": "</v>
      </c>
      <c r="M294" s="29" t="str">
        <f t="shared" si="59"/>
        <v>orange</v>
      </c>
      <c r="N294" s="43" t="str">
        <f t="shared" si="52"/>
        <v>", "content": "</v>
      </c>
      <c r="O294" s="49" t="s">
        <v>392</v>
      </c>
      <c r="P294" s="43" t="str">
        <f t="shared" si="53"/>
        <v>", "start": "</v>
      </c>
      <c r="Q294" s="44" t="str">
        <f ca="1">S293</f>
        <v/>
      </c>
      <c r="R294" s="43" t="str">
        <f t="shared" si="54"/>
        <v>", "end": "</v>
      </c>
      <c r="S294" s="113" t="str">
        <f ca="1">IF(INDIRECT("Dashboard!M"&amp;(ROW()/3+2))="","",INDIRECT("Dashboard!M"&amp;(ROW()/3+2)))</f>
        <v/>
      </c>
      <c r="T294" s="117" t="str">
        <f ca="1">IF(C296="]);",LEFT(T293,2),T293)</f>
        <v>"},</v>
      </c>
      <c r="V294" s="32" t="str">
        <f t="shared" ca="1" si="55"/>
        <v/>
      </c>
      <c r="W294" s="37" t="s">
        <v>2</v>
      </c>
    </row>
    <row r="295" spans="1:24">
      <c r="A295" s="36"/>
      <c r="C295" s="25"/>
      <c r="D295" s="41" t="str">
        <f t="shared" si="49"/>
        <v xml:space="preserve">{"id": </v>
      </c>
      <c r="E295" s="26">
        <f t="shared" si="56"/>
        <v>292</v>
      </c>
      <c r="F295" s="41" t="str">
        <f t="shared" si="57"/>
        <v>, "group":</v>
      </c>
      <c r="G295" s="111" t="str">
        <f ca="1">CHAR(34)&amp;INDIRECT("Dashboard!A"&amp;(ROW()-1)/3+3)&amp;CHAR(34)</f>
        <v>"13.5"</v>
      </c>
      <c r="H295" s="41" t="str">
        <f t="shared" si="58"/>
        <v>, "subgroup": "</v>
      </c>
      <c r="I295" s="41" t="s">
        <v>396</v>
      </c>
      <c r="J295" s="41" t="str">
        <f t="shared" si="50"/>
        <v>", "subgroupOrder":</v>
      </c>
      <c r="K295" s="41">
        <v>1</v>
      </c>
      <c r="L295" s="41" t="str">
        <f t="shared" si="51"/>
        <v>, "className": "</v>
      </c>
      <c r="M295" s="26" t="str">
        <f t="shared" si="59"/>
        <v>gray</v>
      </c>
      <c r="N295" s="41" t="str">
        <f t="shared" si="52"/>
        <v>", "content": "</v>
      </c>
      <c r="O295" s="40" t="s">
        <v>388</v>
      </c>
      <c r="P295" s="41" t="str">
        <f t="shared" si="53"/>
        <v>", "start": "</v>
      </c>
      <c r="Q295" s="42">
        <f ca="1">IF(INDIRECT("Dashboard!I"&amp;(ROW()-1)/3+3)="","",INDIRECT("Dashboard!I"&amp;(ROW()-1)/3+3))</f>
        <v>45383</v>
      </c>
      <c r="R295" s="41" t="str">
        <f t="shared" si="54"/>
        <v>", "end": "</v>
      </c>
      <c r="S295" s="42">
        <f ca="1">IF(INDIRECT("Dashboard!J"&amp;(ROW()-1)/3+3)="","",INDIRECT("Dashboard!J"&amp;(ROW()-1)/3+3))</f>
        <v>45473</v>
      </c>
      <c r="T295" s="118" t="str">
        <f ca="1">IF(C299="]);",LEFT(T294,2),T294)</f>
        <v>"},</v>
      </c>
      <c r="V295" s="32" t="str">
        <f t="shared" ca="1" si="55"/>
        <v>{"id": 292, "group":"13.5", "subgroup": "plan", "subgroupOrder":1, "className": "gray", "content": "Planned", "start": "2024-04-01", "end": "2024-06-30"},</v>
      </c>
      <c r="W295" s="37" t="s">
        <v>2</v>
      </c>
    </row>
    <row r="296" spans="1:24">
      <c r="A296" s="36"/>
      <c r="C296" s="31" t="str">
        <f ca="1">IF(AND(Q296="", S296=""),"//","")</f>
        <v>//</v>
      </c>
      <c r="D296" s="37" t="str">
        <f t="shared" si="49"/>
        <v xml:space="preserve">{"id": </v>
      </c>
      <c r="E296" s="32">
        <f t="shared" si="56"/>
        <v>293</v>
      </c>
      <c r="F296" s="37" t="str">
        <f t="shared" si="57"/>
        <v>, "group":</v>
      </c>
      <c r="G296" s="37" t="str">
        <f ca="1">G295</f>
        <v>"13.5"</v>
      </c>
      <c r="H296" s="37" t="str">
        <f t="shared" si="58"/>
        <v>, "subgroup": "</v>
      </c>
      <c r="I296" s="37" t="s">
        <v>397</v>
      </c>
      <c r="J296" s="37" t="str">
        <f t="shared" si="50"/>
        <v>", "subgroupOrder":</v>
      </c>
      <c r="K296" s="37">
        <v>0</v>
      </c>
      <c r="L296" s="37" t="str">
        <f t="shared" si="51"/>
        <v>, "className": "</v>
      </c>
      <c r="M296" s="32" t="str">
        <f t="shared" ca="1" si="59"/>
        <v>pink-white</v>
      </c>
      <c r="N296" s="37" t="str">
        <f t="shared" si="52"/>
        <v>", "content": "</v>
      </c>
      <c r="O296" s="34" t="str">
        <f ca="1">IF(INDIRECT("Dashboard!P"&amp;((ROW()+1)/3+2))=1,"Completed",IF(INDIRECT("Dashboard!P"&amp;((ROW()+1)/3+2))="","","Pending"))</f>
        <v>Pending</v>
      </c>
      <c r="P296" s="37" t="str">
        <f t="shared" si="53"/>
        <v>", "start": "</v>
      </c>
      <c r="Q296" s="38" t="str">
        <f ca="1">IF(INDIRECT("Dashboard!K"&amp;((ROW()+1)/3+2))="","",INDIRECT("Dashboard!K"&amp;((ROW()+1)/3+2)))</f>
        <v/>
      </c>
      <c r="R296" s="37" t="str">
        <f t="shared" si="54"/>
        <v>", "end": "</v>
      </c>
      <c r="S296" s="38" t="str">
        <f ca="1">IF(INDIRECT("Dashboard!L"&amp;((ROW()+1)/3+2))="","",INDIRECT("Dashboard!L"&amp;((ROW()+1)/3+2)))</f>
        <v/>
      </c>
      <c r="T296" s="116" t="str">
        <f ca="1">IF(C299="]);",LEFT(T295,2),T295)</f>
        <v>"},</v>
      </c>
      <c r="V296" s="32" t="str">
        <f t="shared" ca="1" si="55"/>
        <v/>
      </c>
      <c r="W296" s="37" t="s">
        <v>2</v>
      </c>
      <c r="X296" s="32" t="str">
        <f ca="1">G296&amp;" : "&amp;INDIRECT("Dashboard!G"&amp;((ROW()+1)/3+2))</f>
        <v>"13.5" : Product usage guide with examples for all the functional usecases</v>
      </c>
    </row>
    <row r="297" spans="1:24" ht="15" thickBot="1">
      <c r="A297" s="36"/>
      <c r="C297" s="28" t="str">
        <f ca="1">IF(OR(INDIRECT("Dashboard!B"&amp;(ROW()/3+2))&lt;&gt;"&gt;",AND(Q297="",S297="")),"//","")</f>
        <v>//</v>
      </c>
      <c r="D297" s="43" t="str">
        <f t="shared" si="49"/>
        <v xml:space="preserve">{"id": </v>
      </c>
      <c r="E297" s="29">
        <f t="shared" si="56"/>
        <v>294</v>
      </c>
      <c r="F297" s="43" t="str">
        <f t="shared" si="57"/>
        <v>, "group":</v>
      </c>
      <c r="G297" s="43" t="str">
        <f ca="1">G296</f>
        <v>"13.5"</v>
      </c>
      <c r="H297" s="43" t="str">
        <f t="shared" si="58"/>
        <v>, "subgroup": "</v>
      </c>
      <c r="I297" s="43" t="s">
        <v>397</v>
      </c>
      <c r="J297" s="43" t="str">
        <f t="shared" si="50"/>
        <v>", "subgroupOrder":</v>
      </c>
      <c r="K297" s="43">
        <v>0</v>
      </c>
      <c r="L297" s="43" t="str">
        <f t="shared" si="51"/>
        <v>, "className": "</v>
      </c>
      <c r="M297" s="29" t="str">
        <f t="shared" si="59"/>
        <v>orange</v>
      </c>
      <c r="N297" s="43" t="str">
        <f t="shared" si="52"/>
        <v>", "content": "</v>
      </c>
      <c r="O297" s="49" t="s">
        <v>392</v>
      </c>
      <c r="P297" s="43" t="str">
        <f t="shared" si="53"/>
        <v>", "start": "</v>
      </c>
      <c r="Q297" s="44" t="str">
        <f ca="1">S296</f>
        <v/>
      </c>
      <c r="R297" s="43" t="str">
        <f t="shared" si="54"/>
        <v>", "end": "</v>
      </c>
      <c r="S297" s="113" t="str">
        <f ca="1">IF(INDIRECT("Dashboard!M"&amp;(ROW()/3+2))="","",INDIRECT("Dashboard!M"&amp;(ROW()/3+2)))</f>
        <v/>
      </c>
      <c r="T297" s="117" t="str">
        <f ca="1">IF(C299="]);",LEFT(T296,2),T296)</f>
        <v>"},</v>
      </c>
      <c r="V297" s="32" t="str">
        <f t="shared" ca="1" si="55"/>
        <v/>
      </c>
      <c r="W297" s="37" t="s">
        <v>2</v>
      </c>
    </row>
    <row r="298" spans="1:24">
      <c r="A298" s="36"/>
      <c r="C298" s="25"/>
      <c r="D298" s="41" t="str">
        <f t="shared" si="49"/>
        <v xml:space="preserve">{"id": </v>
      </c>
      <c r="E298" s="26">
        <f t="shared" si="56"/>
        <v>295</v>
      </c>
      <c r="F298" s="41" t="str">
        <f t="shared" si="57"/>
        <v>, "group":</v>
      </c>
      <c r="G298" s="111" t="str">
        <f ca="1">CHAR(34)&amp;INDIRECT("Dashboard!A"&amp;(ROW()-1)/3+3)&amp;CHAR(34)</f>
        <v>"13.6"</v>
      </c>
      <c r="H298" s="41" t="str">
        <f t="shared" si="58"/>
        <v>, "subgroup": "</v>
      </c>
      <c r="I298" s="41" t="s">
        <v>396</v>
      </c>
      <c r="J298" s="41" t="str">
        <f t="shared" si="50"/>
        <v>", "subgroupOrder":</v>
      </c>
      <c r="K298" s="41">
        <v>1</v>
      </c>
      <c r="L298" s="41" t="str">
        <f t="shared" si="51"/>
        <v>, "className": "</v>
      </c>
      <c r="M298" s="26" t="str">
        <f t="shared" si="59"/>
        <v>gray</v>
      </c>
      <c r="N298" s="41" t="str">
        <f t="shared" si="52"/>
        <v>", "content": "</v>
      </c>
      <c r="O298" s="40" t="s">
        <v>388</v>
      </c>
      <c r="P298" s="41" t="str">
        <f t="shared" si="53"/>
        <v>", "start": "</v>
      </c>
      <c r="Q298" s="42">
        <f ca="1">IF(INDIRECT("Dashboard!I"&amp;(ROW()-1)/3+3)="","",INDIRECT("Dashboard!I"&amp;(ROW()-1)/3+3))</f>
        <v>45383</v>
      </c>
      <c r="R298" s="41" t="str">
        <f t="shared" si="54"/>
        <v>", "end": "</v>
      </c>
      <c r="S298" s="42">
        <f ca="1">IF(INDIRECT("Dashboard!J"&amp;(ROW()-1)/3+3)="","",INDIRECT("Dashboard!J"&amp;(ROW()-1)/3+3))</f>
        <v>45473</v>
      </c>
      <c r="T298" s="118" t="str">
        <f ca="1">IF(C302="]);",LEFT(T297,2),T297)</f>
        <v>"},</v>
      </c>
      <c r="V298" s="32" t="str">
        <f t="shared" ca="1" si="55"/>
        <v>{"id": 295, "group":"13.6", "subgroup": "plan", "subgroupOrder":1, "className": "gray", "content": "Planned", "start": "2024-04-01", "end": "2024-06-30"},</v>
      </c>
      <c r="W298" s="37" t="s">
        <v>2</v>
      </c>
    </row>
    <row r="299" spans="1:24">
      <c r="A299" s="36"/>
      <c r="C299" s="31" t="str">
        <f ca="1">IF(AND(Q299="", S299=""),"//","")</f>
        <v>//</v>
      </c>
      <c r="D299" s="37" t="str">
        <f t="shared" si="49"/>
        <v xml:space="preserve">{"id": </v>
      </c>
      <c r="E299" s="32">
        <f t="shared" si="56"/>
        <v>296</v>
      </c>
      <c r="F299" s="37" t="str">
        <f t="shared" si="57"/>
        <v>, "group":</v>
      </c>
      <c r="G299" s="37" t="str">
        <f ca="1">G298</f>
        <v>"13.6"</v>
      </c>
      <c r="H299" s="37" t="str">
        <f t="shared" si="58"/>
        <v>, "subgroup": "</v>
      </c>
      <c r="I299" s="37" t="s">
        <v>397</v>
      </c>
      <c r="J299" s="37" t="str">
        <f t="shared" si="50"/>
        <v>", "subgroupOrder":</v>
      </c>
      <c r="K299" s="37">
        <v>0</v>
      </c>
      <c r="L299" s="37" t="str">
        <f t="shared" si="51"/>
        <v>, "className": "</v>
      </c>
      <c r="M299" s="32" t="str">
        <f t="shared" ca="1" si="59"/>
        <v>pink-white</v>
      </c>
      <c r="N299" s="37" t="str">
        <f t="shared" si="52"/>
        <v>", "content": "</v>
      </c>
      <c r="O299" s="34" t="str">
        <f ca="1">IF(INDIRECT("Dashboard!P"&amp;((ROW()+1)/3+2))=1,"Completed",IF(INDIRECT("Dashboard!P"&amp;((ROW()+1)/3+2))="","","Pending"))</f>
        <v>Pending</v>
      </c>
      <c r="P299" s="37" t="str">
        <f t="shared" si="53"/>
        <v>", "start": "</v>
      </c>
      <c r="Q299" s="38" t="str">
        <f ca="1">IF(INDIRECT("Dashboard!K"&amp;((ROW()+1)/3+2))="","",INDIRECT("Dashboard!K"&amp;((ROW()+1)/3+2)))</f>
        <v/>
      </c>
      <c r="R299" s="37" t="str">
        <f t="shared" si="54"/>
        <v>", "end": "</v>
      </c>
      <c r="S299" s="38" t="str">
        <f ca="1">IF(INDIRECT("Dashboard!L"&amp;((ROW()+1)/3+2))="","",INDIRECT("Dashboard!L"&amp;((ROW()+1)/3+2)))</f>
        <v/>
      </c>
      <c r="T299" s="116" t="str">
        <f ca="1">IF(C302="]);",LEFT(T298,2),T298)</f>
        <v>"},</v>
      </c>
      <c r="V299" s="32" t="str">
        <f t="shared" ca="1" si="55"/>
        <v/>
      </c>
      <c r="W299" s="37" t="s">
        <v>2</v>
      </c>
      <c r="X299" s="32" t="str">
        <f ca="1">G299&amp;" : "&amp;INDIRECT("Dashboard!G"&amp;((ROW()+1)/3+2))</f>
        <v xml:space="preserve">"13.6" : Test report </v>
      </c>
    </row>
    <row r="300" spans="1:24" ht="15" thickBot="1">
      <c r="A300" s="36"/>
      <c r="C300" s="28" t="str">
        <f ca="1">IF(OR(INDIRECT("Dashboard!B"&amp;(ROW()/3+2))&lt;&gt;"&gt;",AND(Q300="",S300="")),"//","")</f>
        <v>//</v>
      </c>
      <c r="D300" s="43" t="str">
        <f t="shared" si="49"/>
        <v xml:space="preserve">{"id": </v>
      </c>
      <c r="E300" s="29">
        <f t="shared" si="56"/>
        <v>297</v>
      </c>
      <c r="F300" s="43" t="str">
        <f t="shared" si="57"/>
        <v>, "group":</v>
      </c>
      <c r="G300" s="43" t="str">
        <f ca="1">G299</f>
        <v>"13.6"</v>
      </c>
      <c r="H300" s="43" t="str">
        <f t="shared" si="58"/>
        <v>, "subgroup": "</v>
      </c>
      <c r="I300" s="43" t="s">
        <v>397</v>
      </c>
      <c r="J300" s="43" t="str">
        <f t="shared" si="50"/>
        <v>", "subgroupOrder":</v>
      </c>
      <c r="K300" s="43">
        <v>0</v>
      </c>
      <c r="L300" s="43" t="str">
        <f t="shared" si="51"/>
        <v>, "className": "</v>
      </c>
      <c r="M300" s="29" t="str">
        <f t="shared" si="59"/>
        <v>orange</v>
      </c>
      <c r="N300" s="43" t="str">
        <f t="shared" si="52"/>
        <v>", "content": "</v>
      </c>
      <c r="O300" s="49" t="s">
        <v>392</v>
      </c>
      <c r="P300" s="43" t="str">
        <f t="shared" si="53"/>
        <v>", "start": "</v>
      </c>
      <c r="Q300" s="44" t="str">
        <f ca="1">S299</f>
        <v/>
      </c>
      <c r="R300" s="43" t="str">
        <f t="shared" si="54"/>
        <v>", "end": "</v>
      </c>
      <c r="S300" s="113" t="str">
        <f ca="1">IF(INDIRECT("Dashboard!M"&amp;(ROW()/3+2))="","",INDIRECT("Dashboard!M"&amp;(ROW()/3+2)))</f>
        <v/>
      </c>
      <c r="T300" s="117" t="str">
        <f ca="1">IF(C302="]);",LEFT(T299,2),T299)</f>
        <v>"},</v>
      </c>
      <c r="V300" s="32" t="str">
        <f t="shared" ca="1" si="55"/>
        <v/>
      </c>
      <c r="W300" s="37" t="s">
        <v>2</v>
      </c>
    </row>
    <row r="301" spans="1:24">
      <c r="A301" s="36"/>
      <c r="C301" s="25"/>
      <c r="D301" s="41" t="str">
        <f t="shared" si="49"/>
        <v xml:space="preserve">{"id": </v>
      </c>
      <c r="E301" s="26">
        <f t="shared" si="56"/>
        <v>298</v>
      </c>
      <c r="F301" s="41" t="str">
        <f t="shared" si="57"/>
        <v>, "group":</v>
      </c>
      <c r="G301" s="111" t="str">
        <f ca="1">CHAR(34)&amp;INDIRECT("Dashboard!A"&amp;(ROW()-1)/3+3)&amp;CHAR(34)</f>
        <v>"14"</v>
      </c>
      <c r="H301" s="41" t="str">
        <f t="shared" si="58"/>
        <v>, "subgroup": "</v>
      </c>
      <c r="I301" s="41" t="s">
        <v>396</v>
      </c>
      <c r="J301" s="41" t="str">
        <f t="shared" si="50"/>
        <v>", "subgroupOrder":</v>
      </c>
      <c r="K301" s="41">
        <v>1</v>
      </c>
      <c r="L301" s="41" t="str">
        <f t="shared" si="51"/>
        <v>, "className": "</v>
      </c>
      <c r="M301" s="26" t="str">
        <f t="shared" si="59"/>
        <v>gray</v>
      </c>
      <c r="N301" s="41" t="str">
        <f t="shared" si="52"/>
        <v>", "content": "</v>
      </c>
      <c r="O301" s="40" t="s">
        <v>388</v>
      </c>
      <c r="P301" s="41" t="str">
        <f t="shared" si="53"/>
        <v>", "start": "</v>
      </c>
      <c r="Q301" s="42">
        <f ca="1">IF(INDIRECT("Dashboard!I"&amp;(ROW()-1)/3+3)="","",INDIRECT("Dashboard!I"&amp;(ROW()-1)/3+3))</f>
        <v>45444</v>
      </c>
      <c r="R301" s="41" t="str">
        <f t="shared" si="54"/>
        <v>", "end": "</v>
      </c>
      <c r="S301" s="42">
        <f ca="1">IF(INDIRECT("Dashboard!J"&amp;(ROW()-1)/3+3)="","",INDIRECT("Dashboard!J"&amp;(ROW()-1)/3+3))</f>
        <v>45565</v>
      </c>
      <c r="T301" s="118" t="str">
        <f ca="1">IF(C305="]);",LEFT(T300,2),T300)</f>
        <v>"},</v>
      </c>
      <c r="V301" s="32" t="str">
        <f t="shared" ca="1" si="55"/>
        <v>{"id": 298, "group":"14", "subgroup": "plan", "subgroupOrder":1, "className": "gray", "content": "Planned", "start": "2024-06-01", "end": "2024-09-30"},</v>
      </c>
      <c r="W301" s="37" t="s">
        <v>2</v>
      </c>
    </row>
    <row r="302" spans="1:24">
      <c r="A302" s="36"/>
      <c r="C302" s="31" t="str">
        <f ca="1">IF(AND(Q302="", S302=""),"//","")</f>
        <v>//</v>
      </c>
      <c r="D302" s="37" t="str">
        <f t="shared" si="49"/>
        <v xml:space="preserve">{"id": </v>
      </c>
      <c r="E302" s="32">
        <f t="shared" si="56"/>
        <v>299</v>
      </c>
      <c r="F302" s="37" t="str">
        <f t="shared" si="57"/>
        <v>, "group":</v>
      </c>
      <c r="G302" s="37" t="str">
        <f ca="1">G301</f>
        <v>"14"</v>
      </c>
      <c r="H302" s="37" t="str">
        <f t="shared" si="58"/>
        <v>, "subgroup": "</v>
      </c>
      <c r="I302" s="37" t="s">
        <v>397</v>
      </c>
      <c r="J302" s="37" t="str">
        <f t="shared" si="50"/>
        <v>", "subgroupOrder":</v>
      </c>
      <c r="K302" s="37">
        <v>0</v>
      </c>
      <c r="L302" s="37" t="str">
        <f t="shared" si="51"/>
        <v>, "className": "</v>
      </c>
      <c r="M302" s="32" t="str">
        <f t="shared" ca="1" si="59"/>
        <v>pink-white</v>
      </c>
      <c r="N302" s="37" t="str">
        <f t="shared" si="52"/>
        <v>", "content": "</v>
      </c>
      <c r="O302" s="34" t="str">
        <f ca="1">IF(INDIRECT("Dashboard!P"&amp;((ROW()+1)/3+2))=1,"Completed",IF(INDIRECT("Dashboard!P"&amp;((ROW()+1)/3+2))="","","Pending"))</f>
        <v>Pending</v>
      </c>
      <c r="P302" s="37" t="str">
        <f t="shared" si="53"/>
        <v>", "start": "</v>
      </c>
      <c r="Q302" s="38" t="str">
        <f ca="1">IF(INDIRECT("Dashboard!K"&amp;((ROW()+1)/3+2))="","",INDIRECT("Dashboard!K"&amp;((ROW()+1)/3+2)))</f>
        <v/>
      </c>
      <c r="R302" s="37" t="str">
        <f t="shared" si="54"/>
        <v>", "end": "</v>
      </c>
      <c r="S302" s="38" t="str">
        <f ca="1">IF(INDIRECT("Dashboard!L"&amp;((ROW()+1)/3+2))="","",INDIRECT("Dashboard!L"&amp;((ROW()+1)/3+2)))</f>
        <v/>
      </c>
      <c r="T302" s="116" t="str">
        <f ca="1">IF(C305="]);",LEFT(T301,2),T301)</f>
        <v>"},</v>
      </c>
      <c r="V302" s="32" t="str">
        <f t="shared" ca="1" si="55"/>
        <v/>
      </c>
      <c r="W302" s="37" t="s">
        <v>2</v>
      </c>
      <c r="X302" s="32" t="str">
        <f ca="1">G302&amp;" : "&amp;INDIRECT("Dashboard!G"&amp;((ROW()+1)/3+2))</f>
        <v>"14" : M13. Decision Engine AI/ML models - Preventive maintenance of Asset type 3 (e.g. Rotating machines like motors &amp; generators to be researched)</v>
      </c>
    </row>
    <row r="303" spans="1:24" ht="15" thickBot="1">
      <c r="A303" s="36"/>
      <c r="C303" s="28" t="str">
        <f ca="1">IF(OR(INDIRECT("Dashboard!B"&amp;(ROW()/3+2))&lt;&gt;"&gt;",AND(Q303="",S303="")),"//","")</f>
        <v>//</v>
      </c>
      <c r="D303" s="43" t="str">
        <f t="shared" si="49"/>
        <v xml:space="preserve">{"id": </v>
      </c>
      <c r="E303" s="29">
        <f t="shared" si="56"/>
        <v>300</v>
      </c>
      <c r="F303" s="43" t="str">
        <f t="shared" si="57"/>
        <v>, "group":</v>
      </c>
      <c r="G303" s="43" t="str">
        <f ca="1">G302</f>
        <v>"14"</v>
      </c>
      <c r="H303" s="43" t="str">
        <f t="shared" si="58"/>
        <v>, "subgroup": "</v>
      </c>
      <c r="I303" s="43" t="s">
        <v>397</v>
      </c>
      <c r="J303" s="43" t="str">
        <f t="shared" si="50"/>
        <v>", "subgroupOrder":</v>
      </c>
      <c r="K303" s="43">
        <v>0</v>
      </c>
      <c r="L303" s="43" t="str">
        <f t="shared" si="51"/>
        <v>, "className": "</v>
      </c>
      <c r="M303" s="29" t="str">
        <f t="shared" si="59"/>
        <v>orange</v>
      </c>
      <c r="N303" s="43" t="str">
        <f t="shared" si="52"/>
        <v>", "content": "</v>
      </c>
      <c r="O303" s="49" t="s">
        <v>392</v>
      </c>
      <c r="P303" s="43" t="str">
        <f t="shared" si="53"/>
        <v>", "start": "</v>
      </c>
      <c r="Q303" s="44" t="str">
        <f ca="1">S302</f>
        <v/>
      </c>
      <c r="R303" s="43" t="str">
        <f t="shared" si="54"/>
        <v>", "end": "</v>
      </c>
      <c r="S303" s="113" t="str">
        <f ca="1">IF(INDIRECT("Dashboard!M"&amp;(ROW()/3+2))="","",INDIRECT("Dashboard!M"&amp;(ROW()/3+2)))</f>
        <v/>
      </c>
      <c r="T303" s="117" t="str">
        <f ca="1">IF(C305="]);",LEFT(T302,2),T302)</f>
        <v>"},</v>
      </c>
      <c r="V303" s="32" t="str">
        <f t="shared" ca="1" si="55"/>
        <v/>
      </c>
      <c r="W303" s="37" t="s">
        <v>2</v>
      </c>
    </row>
    <row r="304" spans="1:24">
      <c r="A304" s="36"/>
      <c r="C304" s="25"/>
      <c r="D304" s="41" t="str">
        <f t="shared" si="49"/>
        <v xml:space="preserve">{"id": </v>
      </c>
      <c r="E304" s="26">
        <f t="shared" si="56"/>
        <v>301</v>
      </c>
      <c r="F304" s="41" t="str">
        <f t="shared" si="57"/>
        <v>, "group":</v>
      </c>
      <c r="G304" s="111" t="str">
        <f ca="1">CHAR(34)&amp;INDIRECT("Dashboard!A"&amp;(ROW()-1)/3+3)&amp;CHAR(34)</f>
        <v>"14.1"</v>
      </c>
      <c r="H304" s="41" t="str">
        <f t="shared" si="58"/>
        <v>, "subgroup": "</v>
      </c>
      <c r="I304" s="41" t="s">
        <v>396</v>
      </c>
      <c r="J304" s="41" t="str">
        <f t="shared" si="50"/>
        <v>", "subgroupOrder":</v>
      </c>
      <c r="K304" s="41">
        <v>1</v>
      </c>
      <c r="L304" s="41" t="str">
        <f t="shared" si="51"/>
        <v>, "className": "</v>
      </c>
      <c r="M304" s="26" t="str">
        <f t="shared" si="59"/>
        <v>gray</v>
      </c>
      <c r="N304" s="41" t="str">
        <f t="shared" si="52"/>
        <v>", "content": "</v>
      </c>
      <c r="O304" s="40" t="s">
        <v>388</v>
      </c>
      <c r="P304" s="41" t="str">
        <f t="shared" si="53"/>
        <v>", "start": "</v>
      </c>
      <c r="Q304" s="42" t="str">
        <f ca="1">IF(INDIRECT("Dashboard!I"&amp;(ROW()-1)/3+3)="","",INDIRECT("Dashboard!I"&amp;(ROW()-1)/3+3))</f>
        <v/>
      </c>
      <c r="R304" s="41" t="str">
        <f t="shared" si="54"/>
        <v>", "end": "</v>
      </c>
      <c r="S304" s="42" t="str">
        <f ca="1">IF(INDIRECT("Dashboard!J"&amp;(ROW()-1)/3+3)="","",INDIRECT("Dashboard!J"&amp;(ROW()-1)/3+3))</f>
        <v/>
      </c>
      <c r="T304" s="118" t="str">
        <f ca="1">IF(C308="]);",LEFT(T303,2),T303)</f>
        <v>"},</v>
      </c>
      <c r="V304" s="32" t="str">
        <f t="shared" ca="1" si="55"/>
        <v>{"id": 301, "group":"14.1", "subgroup": "plan", "subgroupOrder":1, "className": "gray", "content": "Planned", "start": "", "end": ""},</v>
      </c>
      <c r="W304" s="37" t="s">
        <v>2</v>
      </c>
    </row>
    <row r="305" spans="1:24">
      <c r="A305" s="36"/>
      <c r="C305" s="31" t="str">
        <f ca="1">IF(AND(Q305="", S305=""),"//","")</f>
        <v>//</v>
      </c>
      <c r="D305" s="37" t="str">
        <f t="shared" si="49"/>
        <v xml:space="preserve">{"id": </v>
      </c>
      <c r="E305" s="32">
        <f t="shared" si="56"/>
        <v>302</v>
      </c>
      <c r="F305" s="37" t="str">
        <f t="shared" si="57"/>
        <v>, "group":</v>
      </c>
      <c r="G305" s="37" t="str">
        <f ca="1">G304</f>
        <v>"14.1"</v>
      </c>
      <c r="H305" s="37" t="str">
        <f t="shared" si="58"/>
        <v>, "subgroup": "</v>
      </c>
      <c r="I305" s="37" t="s">
        <v>397</v>
      </c>
      <c r="J305" s="37" t="str">
        <f t="shared" si="50"/>
        <v>", "subgroupOrder":</v>
      </c>
      <c r="K305" s="37">
        <v>0</v>
      </c>
      <c r="L305" s="37" t="str">
        <f t="shared" si="51"/>
        <v>, "className": "</v>
      </c>
      <c r="M305" s="32" t="str">
        <f t="shared" ca="1" si="59"/>
        <v/>
      </c>
      <c r="N305" s="37" t="str">
        <f t="shared" si="52"/>
        <v>", "content": "</v>
      </c>
      <c r="O305" s="34" t="str">
        <f ca="1">IF(INDIRECT("Dashboard!P"&amp;((ROW()+1)/3+2))=1,"Completed",IF(INDIRECT("Dashboard!P"&amp;((ROW()+1)/3+2))="","","Pending"))</f>
        <v/>
      </c>
      <c r="P305" s="37" t="str">
        <f t="shared" si="53"/>
        <v>", "start": "</v>
      </c>
      <c r="Q305" s="38" t="str">
        <f ca="1">IF(INDIRECT("Dashboard!K"&amp;((ROW()+1)/3+2))="","",INDIRECT("Dashboard!K"&amp;((ROW()+1)/3+2)))</f>
        <v/>
      </c>
      <c r="R305" s="37" t="str">
        <f t="shared" si="54"/>
        <v>", "end": "</v>
      </c>
      <c r="S305" s="38" t="str">
        <f ca="1">IF(INDIRECT("Dashboard!L"&amp;((ROW()+1)/3+2))="","",INDIRECT("Dashboard!L"&amp;((ROW()+1)/3+2)))</f>
        <v/>
      </c>
      <c r="T305" s="116" t="str">
        <f ca="1">IF(C308="]);",LEFT(T304,2),T304)</f>
        <v>"},</v>
      </c>
      <c r="V305" s="32" t="str">
        <f t="shared" ca="1" si="55"/>
        <v/>
      </c>
      <c r="W305" s="37" t="s">
        <v>2</v>
      </c>
      <c r="X305" s="32" t="str">
        <f ca="1">G305&amp;" : "&amp;INDIRECT("Dashboard!G"&amp;((ROW()+1)/3+2))</f>
        <v>"14.1" : Note : Use datafusion platform to find faults in the assets</v>
      </c>
    </row>
    <row r="306" spans="1:24" ht="15" thickBot="1">
      <c r="A306" s="36"/>
      <c r="C306" s="28" t="str">
        <f ca="1">IF(OR(INDIRECT("Dashboard!B"&amp;(ROW()/3+2))&lt;&gt;"&gt;",AND(Q306="",S306="")),"//","")</f>
        <v>//</v>
      </c>
      <c r="D306" s="43" t="str">
        <f t="shared" si="49"/>
        <v xml:space="preserve">{"id": </v>
      </c>
      <c r="E306" s="29">
        <f t="shared" si="56"/>
        <v>303</v>
      </c>
      <c r="F306" s="43" t="str">
        <f t="shared" si="57"/>
        <v>, "group":</v>
      </c>
      <c r="G306" s="43" t="str">
        <f ca="1">G305</f>
        <v>"14.1"</v>
      </c>
      <c r="H306" s="43" t="str">
        <f t="shared" si="58"/>
        <v>, "subgroup": "</v>
      </c>
      <c r="I306" s="43" t="s">
        <v>397</v>
      </c>
      <c r="J306" s="43" t="str">
        <f t="shared" si="50"/>
        <v>", "subgroupOrder":</v>
      </c>
      <c r="K306" s="43">
        <v>0</v>
      </c>
      <c r="L306" s="43" t="str">
        <f t="shared" si="51"/>
        <v>, "className": "</v>
      </c>
      <c r="M306" s="29" t="str">
        <f t="shared" si="59"/>
        <v>orange</v>
      </c>
      <c r="N306" s="43" t="str">
        <f t="shared" si="52"/>
        <v>", "content": "</v>
      </c>
      <c r="O306" s="49" t="s">
        <v>392</v>
      </c>
      <c r="P306" s="43" t="str">
        <f t="shared" si="53"/>
        <v>", "start": "</v>
      </c>
      <c r="Q306" s="44" t="str">
        <f ca="1">S305</f>
        <v/>
      </c>
      <c r="R306" s="43" t="str">
        <f t="shared" si="54"/>
        <v>", "end": "</v>
      </c>
      <c r="S306" s="113" t="str">
        <f ca="1">IF(INDIRECT("Dashboard!M"&amp;(ROW()/3+2))="","",INDIRECT("Dashboard!M"&amp;(ROW()/3+2)))</f>
        <v/>
      </c>
      <c r="T306" s="117" t="str">
        <f ca="1">IF(C308="]);",LEFT(T305,2),T305)</f>
        <v>"},</v>
      </c>
      <c r="V306" s="32" t="str">
        <f t="shared" ca="1" si="55"/>
        <v/>
      </c>
      <c r="W306" s="37" t="s">
        <v>2</v>
      </c>
    </row>
    <row r="307" spans="1:24">
      <c r="A307" s="36"/>
      <c r="C307" s="25"/>
      <c r="D307" s="41" t="str">
        <f t="shared" si="49"/>
        <v xml:space="preserve">{"id": </v>
      </c>
      <c r="E307" s="26">
        <f t="shared" si="56"/>
        <v>304</v>
      </c>
      <c r="F307" s="41" t="str">
        <f t="shared" si="57"/>
        <v>, "group":</v>
      </c>
      <c r="G307" s="111" t="str">
        <f ca="1">CHAR(34)&amp;INDIRECT("Dashboard!A"&amp;(ROW()-1)/3+3)&amp;CHAR(34)</f>
        <v>"14.2"</v>
      </c>
      <c r="H307" s="41" t="str">
        <f t="shared" si="58"/>
        <v>, "subgroup": "</v>
      </c>
      <c r="I307" s="41" t="s">
        <v>396</v>
      </c>
      <c r="J307" s="41" t="str">
        <f t="shared" si="50"/>
        <v>", "subgroupOrder":</v>
      </c>
      <c r="K307" s="41">
        <v>1</v>
      </c>
      <c r="L307" s="41" t="str">
        <f t="shared" si="51"/>
        <v>, "className": "</v>
      </c>
      <c r="M307" s="26" t="str">
        <f t="shared" si="59"/>
        <v>gray</v>
      </c>
      <c r="N307" s="41" t="str">
        <f t="shared" si="52"/>
        <v>", "content": "</v>
      </c>
      <c r="O307" s="40" t="s">
        <v>388</v>
      </c>
      <c r="P307" s="41" t="str">
        <f t="shared" si="53"/>
        <v>", "start": "</v>
      </c>
      <c r="Q307" s="42">
        <f ca="1">IF(INDIRECT("Dashboard!I"&amp;(ROW()-1)/3+3)="","",INDIRECT("Dashboard!I"&amp;(ROW()-1)/3+3))</f>
        <v>45444</v>
      </c>
      <c r="R307" s="41" t="str">
        <f t="shared" si="54"/>
        <v>", "end": "</v>
      </c>
      <c r="S307" s="42">
        <f ca="1">IF(INDIRECT("Dashboard!J"&amp;(ROW()-1)/3+3)="","",INDIRECT("Dashboard!J"&amp;(ROW()-1)/3+3))</f>
        <v>45565</v>
      </c>
      <c r="T307" s="118" t="str">
        <f ca="1">IF(C311="]);",LEFT(T306,2),T306)</f>
        <v>"},</v>
      </c>
      <c r="V307" s="32" t="str">
        <f t="shared" ca="1" si="55"/>
        <v>{"id": 304, "group":"14.2", "subgroup": "plan", "subgroupOrder":1, "className": "gray", "content": "Planned", "start": "2024-06-01", "end": "2024-09-30"},</v>
      </c>
      <c r="W307" s="37" t="s">
        <v>2</v>
      </c>
    </row>
    <row r="308" spans="1:24">
      <c r="A308" s="36"/>
      <c r="C308" s="31" t="str">
        <f ca="1">IF(AND(Q308="", S308=""),"//","")</f>
        <v>//</v>
      </c>
      <c r="D308" s="37" t="str">
        <f t="shared" si="49"/>
        <v xml:space="preserve">{"id": </v>
      </c>
      <c r="E308" s="32">
        <f t="shared" si="56"/>
        <v>305</v>
      </c>
      <c r="F308" s="37" t="str">
        <f t="shared" si="57"/>
        <v>, "group":</v>
      </c>
      <c r="G308" s="37" t="str">
        <f ca="1">G307</f>
        <v>"14.2"</v>
      </c>
      <c r="H308" s="37" t="str">
        <f t="shared" si="58"/>
        <v>, "subgroup": "</v>
      </c>
      <c r="I308" s="37" t="s">
        <v>397</v>
      </c>
      <c r="J308" s="37" t="str">
        <f t="shared" si="50"/>
        <v>", "subgroupOrder":</v>
      </c>
      <c r="K308" s="37">
        <v>0</v>
      </c>
      <c r="L308" s="37" t="str">
        <f t="shared" si="51"/>
        <v>, "className": "</v>
      </c>
      <c r="M308" s="32" t="str">
        <f t="shared" ca="1" si="59"/>
        <v>pink-white</v>
      </c>
      <c r="N308" s="37" t="str">
        <f t="shared" si="52"/>
        <v>", "content": "</v>
      </c>
      <c r="O308" s="34" t="str">
        <f ca="1">IF(INDIRECT("Dashboard!P"&amp;((ROW()+1)/3+2))=1,"Completed",IF(INDIRECT("Dashboard!P"&amp;((ROW()+1)/3+2))="","","Pending"))</f>
        <v>Pending</v>
      </c>
      <c r="P308" s="37" t="str">
        <f t="shared" si="53"/>
        <v>", "start": "</v>
      </c>
      <c r="Q308" s="38" t="str">
        <f ca="1">IF(INDIRECT("Dashboard!K"&amp;((ROW()+1)/3+2))="","",INDIRECT("Dashboard!K"&amp;((ROW()+1)/3+2)))</f>
        <v/>
      </c>
      <c r="R308" s="37" t="str">
        <f t="shared" si="54"/>
        <v>", "end": "</v>
      </c>
      <c r="S308" s="38" t="str">
        <f ca="1">IF(INDIRECT("Dashboard!L"&amp;((ROW()+1)/3+2))="","",INDIRECT("Dashboard!L"&amp;((ROW()+1)/3+2)))</f>
        <v/>
      </c>
      <c r="T308" s="116" t="str">
        <f ca="1">IF(C311="]);",LEFT(T307,2),T307)</f>
        <v>"},</v>
      </c>
      <c r="V308" s="32" t="str">
        <f t="shared" ca="1" si="55"/>
        <v/>
      </c>
      <c r="W308" s="37" t="s">
        <v>2</v>
      </c>
      <c r="X308" s="32" t="str">
        <f ca="1">G308&amp;" : "&amp;INDIRECT("Dashboard!G"&amp;((ROW()+1)/3+2))</f>
        <v>"14.2" : Technical design document explaining the data schema and algorithm</v>
      </c>
    </row>
    <row r="309" spans="1:24" ht="15" thickBot="1">
      <c r="A309" s="36"/>
      <c r="C309" s="28" t="str">
        <f ca="1">IF(OR(INDIRECT("Dashboard!B"&amp;(ROW()/3+2))&lt;&gt;"&gt;",AND(Q309="",S309="")),"//","")</f>
        <v>//</v>
      </c>
      <c r="D309" s="43" t="str">
        <f t="shared" si="49"/>
        <v xml:space="preserve">{"id": </v>
      </c>
      <c r="E309" s="29">
        <f t="shared" si="56"/>
        <v>306</v>
      </c>
      <c r="F309" s="43" t="str">
        <f t="shared" si="57"/>
        <v>, "group":</v>
      </c>
      <c r="G309" s="43" t="str">
        <f ca="1">G308</f>
        <v>"14.2"</v>
      </c>
      <c r="H309" s="43" t="str">
        <f t="shared" si="58"/>
        <v>, "subgroup": "</v>
      </c>
      <c r="I309" s="43" t="s">
        <v>397</v>
      </c>
      <c r="J309" s="43" t="str">
        <f t="shared" si="50"/>
        <v>", "subgroupOrder":</v>
      </c>
      <c r="K309" s="43">
        <v>0</v>
      </c>
      <c r="L309" s="43" t="str">
        <f t="shared" si="51"/>
        <v>, "className": "</v>
      </c>
      <c r="M309" s="29" t="str">
        <f t="shared" si="59"/>
        <v>orange</v>
      </c>
      <c r="N309" s="43" t="str">
        <f t="shared" si="52"/>
        <v>", "content": "</v>
      </c>
      <c r="O309" s="49" t="s">
        <v>392</v>
      </c>
      <c r="P309" s="43" t="str">
        <f t="shared" si="53"/>
        <v>", "start": "</v>
      </c>
      <c r="Q309" s="44" t="str">
        <f ca="1">S308</f>
        <v/>
      </c>
      <c r="R309" s="43" t="str">
        <f t="shared" si="54"/>
        <v>", "end": "</v>
      </c>
      <c r="S309" s="113" t="str">
        <f ca="1">IF(INDIRECT("Dashboard!M"&amp;(ROW()/3+2))="","",INDIRECT("Dashboard!M"&amp;(ROW()/3+2)))</f>
        <v/>
      </c>
      <c r="T309" s="117" t="str">
        <f ca="1">IF(C311="]);",LEFT(T308,2),T308)</f>
        <v>"},</v>
      </c>
      <c r="V309" s="32" t="str">
        <f t="shared" ca="1" si="55"/>
        <v/>
      </c>
      <c r="W309" s="37" t="s">
        <v>2</v>
      </c>
    </row>
    <row r="310" spans="1:24">
      <c r="A310" s="36"/>
      <c r="C310" s="25"/>
      <c r="D310" s="41" t="str">
        <f t="shared" si="49"/>
        <v xml:space="preserve">{"id": </v>
      </c>
      <c r="E310" s="26">
        <f t="shared" si="56"/>
        <v>307</v>
      </c>
      <c r="F310" s="41" t="str">
        <f t="shared" si="57"/>
        <v>, "group":</v>
      </c>
      <c r="G310" s="111" t="str">
        <f ca="1">CHAR(34)&amp;INDIRECT("Dashboard!A"&amp;(ROW()-1)/3+3)&amp;CHAR(34)</f>
        <v>"14.3"</v>
      </c>
      <c r="H310" s="41" t="str">
        <f t="shared" si="58"/>
        <v>, "subgroup": "</v>
      </c>
      <c r="I310" s="41" t="s">
        <v>396</v>
      </c>
      <c r="J310" s="41" t="str">
        <f t="shared" si="50"/>
        <v>", "subgroupOrder":</v>
      </c>
      <c r="K310" s="41">
        <v>1</v>
      </c>
      <c r="L310" s="41" t="str">
        <f t="shared" si="51"/>
        <v>, "className": "</v>
      </c>
      <c r="M310" s="26" t="str">
        <f t="shared" si="59"/>
        <v>gray</v>
      </c>
      <c r="N310" s="41" t="str">
        <f t="shared" si="52"/>
        <v>", "content": "</v>
      </c>
      <c r="O310" s="40" t="s">
        <v>388</v>
      </c>
      <c r="P310" s="41" t="str">
        <f t="shared" si="53"/>
        <v>", "start": "</v>
      </c>
      <c r="Q310" s="42">
        <f ca="1">IF(INDIRECT("Dashboard!I"&amp;(ROW()-1)/3+3)="","",INDIRECT("Dashboard!I"&amp;(ROW()-1)/3+3))</f>
        <v>45444</v>
      </c>
      <c r="R310" s="41" t="str">
        <f t="shared" si="54"/>
        <v>", "end": "</v>
      </c>
      <c r="S310" s="42">
        <f ca="1">IF(INDIRECT("Dashboard!J"&amp;(ROW()-1)/3+3)="","",INDIRECT("Dashboard!J"&amp;(ROW()-1)/3+3))</f>
        <v>45565</v>
      </c>
      <c r="T310" s="118" t="str">
        <f ca="1">IF(C314="]);",LEFT(T309,2),T309)</f>
        <v>"},</v>
      </c>
      <c r="V310" s="32" t="str">
        <f t="shared" ca="1" si="55"/>
        <v>{"id": 307, "group":"14.3", "subgroup": "plan", "subgroupOrder":1, "className": "gray", "content": "Planned", "start": "2024-06-01", "end": "2024-09-30"},</v>
      </c>
      <c r="W310" s="37" t="s">
        <v>2</v>
      </c>
    </row>
    <row r="311" spans="1:24">
      <c r="A311" s="36"/>
      <c r="C311" s="31" t="str">
        <f ca="1">IF(AND(Q311="", S311=""),"//","")</f>
        <v>//</v>
      </c>
      <c r="D311" s="37" t="str">
        <f t="shared" si="49"/>
        <v xml:space="preserve">{"id": </v>
      </c>
      <c r="E311" s="32">
        <f t="shared" si="56"/>
        <v>308</v>
      </c>
      <c r="F311" s="37" t="str">
        <f t="shared" si="57"/>
        <v>, "group":</v>
      </c>
      <c r="G311" s="37" t="str">
        <f ca="1">G310</f>
        <v>"14.3"</v>
      </c>
      <c r="H311" s="37" t="str">
        <f t="shared" si="58"/>
        <v>, "subgroup": "</v>
      </c>
      <c r="I311" s="37" t="s">
        <v>397</v>
      </c>
      <c r="J311" s="37" t="str">
        <f t="shared" si="50"/>
        <v>", "subgroupOrder":</v>
      </c>
      <c r="K311" s="37">
        <v>0</v>
      </c>
      <c r="L311" s="37" t="str">
        <f t="shared" si="51"/>
        <v>, "className": "</v>
      </c>
      <c r="M311" s="32" t="str">
        <f t="shared" ca="1" si="59"/>
        <v>pink-white</v>
      </c>
      <c r="N311" s="37" t="str">
        <f t="shared" si="52"/>
        <v>", "content": "</v>
      </c>
      <c r="O311" s="34" t="str">
        <f ca="1">IF(INDIRECT("Dashboard!P"&amp;((ROW()+1)/3+2))=1,"Completed",IF(INDIRECT("Dashboard!P"&amp;((ROW()+1)/3+2))="","","Pending"))</f>
        <v>Pending</v>
      </c>
      <c r="P311" s="37" t="str">
        <f t="shared" si="53"/>
        <v>", "start": "</v>
      </c>
      <c r="Q311" s="38" t="str">
        <f ca="1">IF(INDIRECT("Dashboard!K"&amp;((ROW()+1)/3+2))="","",INDIRECT("Dashboard!K"&amp;((ROW()+1)/3+2)))</f>
        <v/>
      </c>
      <c r="R311" s="37" t="str">
        <f t="shared" si="54"/>
        <v>", "end": "</v>
      </c>
      <c r="S311" s="38" t="str">
        <f ca="1">IF(INDIRECT("Dashboard!L"&amp;((ROW()+1)/3+2))="","",INDIRECT("Dashboard!L"&amp;((ROW()+1)/3+2)))</f>
        <v/>
      </c>
      <c r="T311" s="116" t="str">
        <f ca="1">IF(C314="]);",LEFT(T310,2),T310)</f>
        <v>"},</v>
      </c>
      <c r="V311" s="32" t="str">
        <f t="shared" ca="1" si="55"/>
        <v/>
      </c>
      <c r="W311" s="37" t="s">
        <v>2</v>
      </c>
      <c r="X311" s="32" t="str">
        <f ca="1">G311&amp;" : "&amp;INDIRECT("Dashboard!G"&amp;((ROW()+1)/3+2))</f>
        <v>"14.3" : Software Code</v>
      </c>
    </row>
    <row r="312" spans="1:24" ht="15" thickBot="1">
      <c r="A312" s="36"/>
      <c r="C312" s="28" t="str">
        <f ca="1">IF(OR(INDIRECT("Dashboard!B"&amp;(ROW()/3+2))&lt;&gt;"&gt;",AND(Q312="",S312="")),"//","")</f>
        <v>//</v>
      </c>
      <c r="D312" s="43" t="str">
        <f t="shared" si="49"/>
        <v xml:space="preserve">{"id": </v>
      </c>
      <c r="E312" s="29">
        <f t="shared" si="56"/>
        <v>309</v>
      </c>
      <c r="F312" s="43" t="str">
        <f t="shared" si="57"/>
        <v>, "group":</v>
      </c>
      <c r="G312" s="43" t="str">
        <f ca="1">G311</f>
        <v>"14.3"</v>
      </c>
      <c r="H312" s="43" t="str">
        <f t="shared" si="58"/>
        <v>, "subgroup": "</v>
      </c>
      <c r="I312" s="43" t="s">
        <v>397</v>
      </c>
      <c r="J312" s="43" t="str">
        <f t="shared" si="50"/>
        <v>", "subgroupOrder":</v>
      </c>
      <c r="K312" s="43">
        <v>0</v>
      </c>
      <c r="L312" s="43" t="str">
        <f t="shared" si="51"/>
        <v>, "className": "</v>
      </c>
      <c r="M312" s="29" t="str">
        <f t="shared" si="59"/>
        <v>orange</v>
      </c>
      <c r="N312" s="43" t="str">
        <f t="shared" si="52"/>
        <v>", "content": "</v>
      </c>
      <c r="O312" s="49" t="s">
        <v>392</v>
      </c>
      <c r="P312" s="43" t="str">
        <f t="shared" si="53"/>
        <v>", "start": "</v>
      </c>
      <c r="Q312" s="44" t="str">
        <f ca="1">S311</f>
        <v/>
      </c>
      <c r="R312" s="43" t="str">
        <f t="shared" si="54"/>
        <v>", "end": "</v>
      </c>
      <c r="S312" s="113" t="str">
        <f ca="1">IF(INDIRECT("Dashboard!M"&amp;(ROW()/3+2))="","",INDIRECT("Dashboard!M"&amp;(ROW()/3+2)))</f>
        <v/>
      </c>
      <c r="T312" s="117" t="str">
        <f ca="1">IF(C314="]);",LEFT(T311,2),T311)</f>
        <v>"},</v>
      </c>
      <c r="V312" s="32" t="str">
        <f t="shared" ca="1" si="55"/>
        <v/>
      </c>
      <c r="W312" s="37" t="s">
        <v>2</v>
      </c>
    </row>
    <row r="313" spans="1:24">
      <c r="A313" s="36"/>
      <c r="C313" s="25"/>
      <c r="D313" s="41" t="str">
        <f t="shared" si="49"/>
        <v xml:space="preserve">{"id": </v>
      </c>
      <c r="E313" s="26">
        <f t="shared" si="56"/>
        <v>310</v>
      </c>
      <c r="F313" s="41" t="str">
        <f t="shared" si="57"/>
        <v>, "group":</v>
      </c>
      <c r="G313" s="111" t="str">
        <f ca="1">CHAR(34)&amp;INDIRECT("Dashboard!A"&amp;(ROW()-1)/3+3)&amp;CHAR(34)</f>
        <v>"14.4"</v>
      </c>
      <c r="H313" s="41" t="str">
        <f t="shared" si="58"/>
        <v>, "subgroup": "</v>
      </c>
      <c r="I313" s="41" t="s">
        <v>396</v>
      </c>
      <c r="J313" s="41" t="str">
        <f t="shared" si="50"/>
        <v>", "subgroupOrder":</v>
      </c>
      <c r="K313" s="41">
        <v>1</v>
      </c>
      <c r="L313" s="41" t="str">
        <f t="shared" si="51"/>
        <v>, "className": "</v>
      </c>
      <c r="M313" s="26" t="str">
        <f t="shared" si="59"/>
        <v>gray</v>
      </c>
      <c r="N313" s="41" t="str">
        <f t="shared" si="52"/>
        <v>", "content": "</v>
      </c>
      <c r="O313" s="40" t="s">
        <v>388</v>
      </c>
      <c r="P313" s="41" t="str">
        <f t="shared" si="53"/>
        <v>", "start": "</v>
      </c>
      <c r="Q313" s="42">
        <f ca="1">IF(INDIRECT("Dashboard!I"&amp;(ROW()-1)/3+3)="","",INDIRECT("Dashboard!I"&amp;(ROW()-1)/3+3))</f>
        <v>45444</v>
      </c>
      <c r="R313" s="41" t="str">
        <f t="shared" si="54"/>
        <v>", "end": "</v>
      </c>
      <c r="S313" s="42">
        <f ca="1">IF(INDIRECT("Dashboard!J"&amp;(ROW()-1)/3+3)="","",INDIRECT("Dashboard!J"&amp;(ROW()-1)/3+3))</f>
        <v>45565</v>
      </c>
      <c r="T313" s="118" t="str">
        <f ca="1">IF(C317="]);",LEFT(T312,2),T312)</f>
        <v>"},</v>
      </c>
      <c r="V313" s="32" t="str">
        <f t="shared" ca="1" si="55"/>
        <v>{"id": 310, "group":"14.4", "subgroup": "plan", "subgroupOrder":1, "className": "gray", "content": "Planned", "start": "2024-06-01", "end": "2024-09-30"},</v>
      </c>
      <c r="W313" s="37" t="s">
        <v>2</v>
      </c>
    </row>
    <row r="314" spans="1:24">
      <c r="A314" s="36"/>
      <c r="C314" s="31" t="str">
        <f ca="1">IF(AND(Q314="", S314=""),"//","")</f>
        <v>//</v>
      </c>
      <c r="D314" s="37" t="str">
        <f t="shared" si="49"/>
        <v xml:space="preserve">{"id": </v>
      </c>
      <c r="E314" s="32">
        <f t="shared" si="56"/>
        <v>311</v>
      </c>
      <c r="F314" s="37" t="str">
        <f t="shared" si="57"/>
        <v>, "group":</v>
      </c>
      <c r="G314" s="37" t="str">
        <f ca="1">G313</f>
        <v>"14.4"</v>
      </c>
      <c r="H314" s="37" t="str">
        <f t="shared" si="58"/>
        <v>, "subgroup": "</v>
      </c>
      <c r="I314" s="37" t="s">
        <v>397</v>
      </c>
      <c r="J314" s="37" t="str">
        <f t="shared" si="50"/>
        <v>", "subgroupOrder":</v>
      </c>
      <c r="K314" s="37">
        <v>0</v>
      </c>
      <c r="L314" s="37" t="str">
        <f t="shared" si="51"/>
        <v>, "className": "</v>
      </c>
      <c r="M314" s="32" t="str">
        <f t="shared" ca="1" si="59"/>
        <v>pink-white</v>
      </c>
      <c r="N314" s="37" t="str">
        <f t="shared" si="52"/>
        <v>", "content": "</v>
      </c>
      <c r="O314" s="34" t="str">
        <f ca="1">IF(INDIRECT("Dashboard!P"&amp;((ROW()+1)/3+2))=1,"Completed",IF(INDIRECT("Dashboard!P"&amp;((ROW()+1)/3+2))="","","Pending"))</f>
        <v>Pending</v>
      </c>
      <c r="P314" s="37" t="str">
        <f t="shared" si="53"/>
        <v>", "start": "</v>
      </c>
      <c r="Q314" s="38" t="str">
        <f ca="1">IF(INDIRECT("Dashboard!K"&amp;((ROW()+1)/3+2))="","",INDIRECT("Dashboard!K"&amp;((ROW()+1)/3+2)))</f>
        <v/>
      </c>
      <c r="R314" s="37" t="str">
        <f t="shared" si="54"/>
        <v>", "end": "</v>
      </c>
      <c r="S314" s="38" t="str">
        <f ca="1">IF(INDIRECT("Dashboard!L"&amp;((ROW()+1)/3+2))="","",INDIRECT("Dashboard!L"&amp;((ROW()+1)/3+2)))</f>
        <v/>
      </c>
      <c r="T314" s="116" t="str">
        <f ca="1">IF(C317="]);",LEFT(T313,2),T313)</f>
        <v>"},</v>
      </c>
      <c r="V314" s="32" t="str">
        <f t="shared" ca="1" si="55"/>
        <v/>
      </c>
      <c r="W314" s="37" t="s">
        <v>2</v>
      </c>
      <c r="X314" s="32" t="str">
        <f ca="1">G314&amp;" : "&amp;INDIRECT("Dashboard!G"&amp;((ROW()+1)/3+2))</f>
        <v>"14.4" : Deployment Procedure of the code</v>
      </c>
    </row>
    <row r="315" spans="1:24" ht="15" thickBot="1">
      <c r="A315" s="36"/>
      <c r="C315" s="28" t="str">
        <f ca="1">IF(OR(INDIRECT("Dashboard!B"&amp;(ROW()/3+2))&lt;&gt;"&gt;",AND(Q315="",S315="")),"//","")</f>
        <v>//</v>
      </c>
      <c r="D315" s="43" t="str">
        <f t="shared" si="49"/>
        <v xml:space="preserve">{"id": </v>
      </c>
      <c r="E315" s="29">
        <f t="shared" si="56"/>
        <v>312</v>
      </c>
      <c r="F315" s="43" t="str">
        <f t="shared" si="57"/>
        <v>, "group":</v>
      </c>
      <c r="G315" s="43" t="str">
        <f ca="1">G314</f>
        <v>"14.4"</v>
      </c>
      <c r="H315" s="43" t="str">
        <f t="shared" si="58"/>
        <v>, "subgroup": "</v>
      </c>
      <c r="I315" s="43" t="s">
        <v>397</v>
      </c>
      <c r="J315" s="43" t="str">
        <f t="shared" si="50"/>
        <v>", "subgroupOrder":</v>
      </c>
      <c r="K315" s="43">
        <v>0</v>
      </c>
      <c r="L315" s="43" t="str">
        <f t="shared" si="51"/>
        <v>, "className": "</v>
      </c>
      <c r="M315" s="29" t="str">
        <f t="shared" si="59"/>
        <v>orange</v>
      </c>
      <c r="N315" s="43" t="str">
        <f t="shared" si="52"/>
        <v>", "content": "</v>
      </c>
      <c r="O315" s="49" t="s">
        <v>392</v>
      </c>
      <c r="P315" s="43" t="str">
        <f t="shared" si="53"/>
        <v>", "start": "</v>
      </c>
      <c r="Q315" s="44" t="str">
        <f ca="1">S314</f>
        <v/>
      </c>
      <c r="R315" s="43" t="str">
        <f t="shared" si="54"/>
        <v>", "end": "</v>
      </c>
      <c r="S315" s="113" t="str">
        <f ca="1">IF(INDIRECT("Dashboard!M"&amp;(ROW()/3+2))="","",INDIRECT("Dashboard!M"&amp;(ROW()/3+2)))</f>
        <v/>
      </c>
      <c r="T315" s="117" t="str">
        <f ca="1">IF(C317="]);",LEFT(T314,2),T314)</f>
        <v>"},</v>
      </c>
      <c r="V315" s="32" t="str">
        <f t="shared" ca="1" si="55"/>
        <v/>
      </c>
      <c r="W315" s="37" t="s">
        <v>2</v>
      </c>
    </row>
    <row r="316" spans="1:24">
      <c r="A316" s="36"/>
      <c r="C316" s="25"/>
      <c r="D316" s="41" t="str">
        <f t="shared" si="49"/>
        <v xml:space="preserve">{"id": </v>
      </c>
      <c r="E316" s="26">
        <f t="shared" si="56"/>
        <v>313</v>
      </c>
      <c r="F316" s="41" t="str">
        <f t="shared" si="57"/>
        <v>, "group":</v>
      </c>
      <c r="G316" s="111" t="str">
        <f ca="1">CHAR(34)&amp;INDIRECT("Dashboard!A"&amp;(ROW()-1)/3+3)&amp;CHAR(34)</f>
        <v>"14.5"</v>
      </c>
      <c r="H316" s="41" t="str">
        <f t="shared" si="58"/>
        <v>, "subgroup": "</v>
      </c>
      <c r="I316" s="41" t="s">
        <v>396</v>
      </c>
      <c r="J316" s="41" t="str">
        <f t="shared" si="50"/>
        <v>", "subgroupOrder":</v>
      </c>
      <c r="K316" s="41">
        <v>1</v>
      </c>
      <c r="L316" s="41" t="str">
        <f t="shared" si="51"/>
        <v>, "className": "</v>
      </c>
      <c r="M316" s="26" t="str">
        <f t="shared" si="59"/>
        <v>gray</v>
      </c>
      <c r="N316" s="41" t="str">
        <f t="shared" si="52"/>
        <v>", "content": "</v>
      </c>
      <c r="O316" s="40" t="s">
        <v>388</v>
      </c>
      <c r="P316" s="41" t="str">
        <f t="shared" si="53"/>
        <v>", "start": "</v>
      </c>
      <c r="Q316" s="42">
        <f ca="1">IF(INDIRECT("Dashboard!I"&amp;(ROW()-1)/3+3)="","",INDIRECT("Dashboard!I"&amp;(ROW()-1)/3+3))</f>
        <v>45444</v>
      </c>
      <c r="R316" s="41" t="str">
        <f t="shared" si="54"/>
        <v>", "end": "</v>
      </c>
      <c r="S316" s="42">
        <f ca="1">IF(INDIRECT("Dashboard!J"&amp;(ROW()-1)/3+3)="","",INDIRECT("Dashboard!J"&amp;(ROW()-1)/3+3))</f>
        <v>45565</v>
      </c>
      <c r="T316" s="118" t="str">
        <f ca="1">IF(C320="]);",LEFT(T315,2),T315)</f>
        <v>"},</v>
      </c>
      <c r="V316" s="32" t="str">
        <f t="shared" ca="1" si="55"/>
        <v>{"id": 313, "group":"14.5", "subgroup": "plan", "subgroupOrder":1, "className": "gray", "content": "Planned", "start": "2024-06-01", "end": "2024-09-30"},</v>
      </c>
      <c r="W316" s="37" t="s">
        <v>2</v>
      </c>
    </row>
    <row r="317" spans="1:24">
      <c r="A317" s="36"/>
      <c r="C317" s="31" t="str">
        <f ca="1">IF(AND(Q317="", S317=""),"//","")</f>
        <v>//</v>
      </c>
      <c r="D317" s="37" t="str">
        <f t="shared" si="49"/>
        <v xml:space="preserve">{"id": </v>
      </c>
      <c r="E317" s="32">
        <f t="shared" si="56"/>
        <v>314</v>
      </c>
      <c r="F317" s="37" t="str">
        <f t="shared" si="57"/>
        <v>, "group":</v>
      </c>
      <c r="G317" s="37" t="str">
        <f ca="1">G316</f>
        <v>"14.5"</v>
      </c>
      <c r="H317" s="37" t="str">
        <f t="shared" si="58"/>
        <v>, "subgroup": "</v>
      </c>
      <c r="I317" s="37" t="s">
        <v>397</v>
      </c>
      <c r="J317" s="37" t="str">
        <f t="shared" si="50"/>
        <v>", "subgroupOrder":</v>
      </c>
      <c r="K317" s="37">
        <v>0</v>
      </c>
      <c r="L317" s="37" t="str">
        <f t="shared" si="51"/>
        <v>, "className": "</v>
      </c>
      <c r="M317" s="32" t="str">
        <f t="shared" ca="1" si="59"/>
        <v>pink-white</v>
      </c>
      <c r="N317" s="37" t="str">
        <f t="shared" si="52"/>
        <v>", "content": "</v>
      </c>
      <c r="O317" s="34" t="str">
        <f ca="1">IF(INDIRECT("Dashboard!P"&amp;((ROW()+1)/3+2))=1,"Completed",IF(INDIRECT("Dashboard!P"&amp;((ROW()+1)/3+2))="","","Pending"))</f>
        <v>Pending</v>
      </c>
      <c r="P317" s="37" t="str">
        <f t="shared" si="53"/>
        <v>", "start": "</v>
      </c>
      <c r="Q317" s="38" t="str">
        <f ca="1">IF(INDIRECT("Dashboard!K"&amp;((ROW()+1)/3+2))="","",INDIRECT("Dashboard!K"&amp;((ROW()+1)/3+2)))</f>
        <v/>
      </c>
      <c r="R317" s="37" t="str">
        <f t="shared" si="54"/>
        <v>", "end": "</v>
      </c>
      <c r="S317" s="38" t="str">
        <f ca="1">IF(INDIRECT("Dashboard!L"&amp;((ROW()+1)/3+2))="","",INDIRECT("Dashboard!L"&amp;((ROW()+1)/3+2)))</f>
        <v/>
      </c>
      <c r="T317" s="116" t="str">
        <f ca="1">IF(C320="]);",LEFT(T316,2),T316)</f>
        <v>"},</v>
      </c>
      <c r="V317" s="32" t="str">
        <f t="shared" ca="1" si="55"/>
        <v/>
      </c>
      <c r="W317" s="37" t="s">
        <v>2</v>
      </c>
      <c r="X317" s="32" t="str">
        <f ca="1">G317&amp;" : "&amp;INDIRECT("Dashboard!G"&amp;((ROW()+1)/3+2))</f>
        <v>"14.5" : Product usage guide with examples for all the functional usecases</v>
      </c>
    </row>
    <row r="318" spans="1:24" ht="15" thickBot="1">
      <c r="A318" s="36"/>
      <c r="C318" s="28" t="str">
        <f ca="1">IF(OR(INDIRECT("Dashboard!B"&amp;(ROW()/3+2))&lt;&gt;"&gt;",AND(Q318="",S318="")),"//","")</f>
        <v>//</v>
      </c>
      <c r="D318" s="43" t="str">
        <f t="shared" si="49"/>
        <v xml:space="preserve">{"id": </v>
      </c>
      <c r="E318" s="29">
        <f t="shared" si="56"/>
        <v>315</v>
      </c>
      <c r="F318" s="43" t="str">
        <f t="shared" si="57"/>
        <v>, "group":</v>
      </c>
      <c r="G318" s="43" t="str">
        <f ca="1">G317</f>
        <v>"14.5"</v>
      </c>
      <c r="H318" s="43" t="str">
        <f t="shared" si="58"/>
        <v>, "subgroup": "</v>
      </c>
      <c r="I318" s="43" t="s">
        <v>397</v>
      </c>
      <c r="J318" s="43" t="str">
        <f t="shared" si="50"/>
        <v>", "subgroupOrder":</v>
      </c>
      <c r="K318" s="43">
        <v>0</v>
      </c>
      <c r="L318" s="43" t="str">
        <f t="shared" si="51"/>
        <v>, "className": "</v>
      </c>
      <c r="M318" s="29" t="str">
        <f t="shared" si="59"/>
        <v>orange</v>
      </c>
      <c r="N318" s="43" t="str">
        <f t="shared" si="52"/>
        <v>", "content": "</v>
      </c>
      <c r="O318" s="49" t="s">
        <v>392</v>
      </c>
      <c r="P318" s="43" t="str">
        <f t="shared" si="53"/>
        <v>", "start": "</v>
      </c>
      <c r="Q318" s="44" t="str">
        <f ca="1">S317</f>
        <v/>
      </c>
      <c r="R318" s="43" t="str">
        <f t="shared" si="54"/>
        <v>", "end": "</v>
      </c>
      <c r="S318" s="113" t="str">
        <f ca="1">IF(INDIRECT("Dashboard!M"&amp;(ROW()/3+2))="","",INDIRECT("Dashboard!M"&amp;(ROW()/3+2)))</f>
        <v/>
      </c>
      <c r="T318" s="117" t="str">
        <f ca="1">IF(C320="]);",LEFT(T317,2),T317)</f>
        <v>"},</v>
      </c>
      <c r="V318" s="32" t="str">
        <f t="shared" ca="1" si="55"/>
        <v/>
      </c>
      <c r="W318" s="37" t="s">
        <v>2</v>
      </c>
    </row>
    <row r="319" spans="1:24">
      <c r="A319" s="36"/>
      <c r="C319" s="25"/>
      <c r="D319" s="41" t="str">
        <f t="shared" si="49"/>
        <v xml:space="preserve">{"id": </v>
      </c>
      <c r="E319" s="26">
        <f t="shared" si="56"/>
        <v>316</v>
      </c>
      <c r="F319" s="41" t="str">
        <f t="shared" si="57"/>
        <v>, "group":</v>
      </c>
      <c r="G319" s="111" t="str">
        <f ca="1">CHAR(34)&amp;INDIRECT("Dashboard!A"&amp;(ROW()-1)/3+3)&amp;CHAR(34)</f>
        <v>"14.6"</v>
      </c>
      <c r="H319" s="41" t="str">
        <f t="shared" si="58"/>
        <v>, "subgroup": "</v>
      </c>
      <c r="I319" s="41" t="s">
        <v>396</v>
      </c>
      <c r="J319" s="41" t="str">
        <f t="shared" si="50"/>
        <v>", "subgroupOrder":</v>
      </c>
      <c r="K319" s="41">
        <v>1</v>
      </c>
      <c r="L319" s="41" t="str">
        <f t="shared" si="51"/>
        <v>, "className": "</v>
      </c>
      <c r="M319" s="26" t="str">
        <f t="shared" si="59"/>
        <v>gray</v>
      </c>
      <c r="N319" s="41" t="str">
        <f t="shared" si="52"/>
        <v>", "content": "</v>
      </c>
      <c r="O319" s="40" t="s">
        <v>388</v>
      </c>
      <c r="P319" s="41" t="str">
        <f t="shared" si="53"/>
        <v>", "start": "</v>
      </c>
      <c r="Q319" s="42">
        <f ca="1">IF(INDIRECT("Dashboard!I"&amp;(ROW()-1)/3+3)="","",INDIRECT("Dashboard!I"&amp;(ROW()-1)/3+3))</f>
        <v>45444</v>
      </c>
      <c r="R319" s="41" t="str">
        <f t="shared" si="54"/>
        <v>", "end": "</v>
      </c>
      <c r="S319" s="42">
        <f ca="1">IF(INDIRECT("Dashboard!J"&amp;(ROW()-1)/3+3)="","",INDIRECT("Dashboard!J"&amp;(ROW()-1)/3+3))</f>
        <v>45565</v>
      </c>
      <c r="T319" s="118" t="str">
        <f ca="1">IF(C323="]);",LEFT(T318,2),T318)</f>
        <v>"},</v>
      </c>
      <c r="V319" s="32" t="str">
        <f t="shared" ca="1" si="55"/>
        <v>{"id": 316, "group":"14.6", "subgroup": "plan", "subgroupOrder":1, "className": "gray", "content": "Planned", "start": "2024-06-01", "end": "2024-09-30"},</v>
      </c>
      <c r="W319" s="37" t="s">
        <v>2</v>
      </c>
    </row>
    <row r="320" spans="1:24">
      <c r="A320" s="36"/>
      <c r="C320" s="31" t="str">
        <f ca="1">IF(AND(Q320="", S320=""),"//","")</f>
        <v>//</v>
      </c>
      <c r="D320" s="37" t="str">
        <f t="shared" si="49"/>
        <v xml:space="preserve">{"id": </v>
      </c>
      <c r="E320" s="32">
        <f t="shared" si="56"/>
        <v>317</v>
      </c>
      <c r="F320" s="37" t="str">
        <f t="shared" si="57"/>
        <v>, "group":</v>
      </c>
      <c r="G320" s="37" t="str">
        <f ca="1">G319</f>
        <v>"14.6"</v>
      </c>
      <c r="H320" s="37" t="str">
        <f t="shared" si="58"/>
        <v>, "subgroup": "</v>
      </c>
      <c r="I320" s="37" t="s">
        <v>397</v>
      </c>
      <c r="J320" s="37" t="str">
        <f t="shared" si="50"/>
        <v>", "subgroupOrder":</v>
      </c>
      <c r="K320" s="37">
        <v>0</v>
      </c>
      <c r="L320" s="37" t="str">
        <f t="shared" si="51"/>
        <v>, "className": "</v>
      </c>
      <c r="M320" s="32" t="str">
        <f t="shared" ca="1" si="59"/>
        <v>pink-white</v>
      </c>
      <c r="N320" s="37" t="str">
        <f t="shared" si="52"/>
        <v>", "content": "</v>
      </c>
      <c r="O320" s="34" t="str">
        <f ca="1">IF(INDIRECT("Dashboard!P"&amp;((ROW()+1)/3+2))=1,"Completed",IF(INDIRECT("Dashboard!P"&amp;((ROW()+1)/3+2))="","","Pending"))</f>
        <v>Pending</v>
      </c>
      <c r="P320" s="37" t="str">
        <f t="shared" si="53"/>
        <v>", "start": "</v>
      </c>
      <c r="Q320" s="38" t="str">
        <f ca="1">IF(INDIRECT("Dashboard!K"&amp;((ROW()+1)/3+2))="","",INDIRECT("Dashboard!K"&amp;((ROW()+1)/3+2)))</f>
        <v/>
      </c>
      <c r="R320" s="37" t="str">
        <f t="shared" si="54"/>
        <v>", "end": "</v>
      </c>
      <c r="S320" s="38" t="str">
        <f ca="1">IF(INDIRECT("Dashboard!L"&amp;((ROW()+1)/3+2))="","",INDIRECT("Dashboard!L"&amp;((ROW()+1)/3+2)))</f>
        <v/>
      </c>
      <c r="T320" s="116" t="str">
        <f ca="1">IF(C323="]);",LEFT(T319,2),T319)</f>
        <v>"},</v>
      </c>
      <c r="V320" s="32" t="str">
        <f t="shared" ca="1" si="55"/>
        <v/>
      </c>
      <c r="W320" s="37" t="s">
        <v>2</v>
      </c>
      <c r="X320" s="32" t="str">
        <f ca="1">G320&amp;" : "&amp;INDIRECT("Dashboard!G"&amp;((ROW()+1)/3+2))</f>
        <v xml:space="preserve">"14.6" : Test report </v>
      </c>
    </row>
    <row r="321" spans="1:24" ht="15" thickBot="1">
      <c r="A321" s="36"/>
      <c r="C321" s="28" t="str">
        <f ca="1">IF(OR(INDIRECT("Dashboard!B"&amp;(ROW()/3+2))&lt;&gt;"&gt;",AND(Q321="",S321="")),"//","")</f>
        <v>//</v>
      </c>
      <c r="D321" s="43" t="str">
        <f t="shared" si="49"/>
        <v xml:space="preserve">{"id": </v>
      </c>
      <c r="E321" s="29">
        <f t="shared" si="56"/>
        <v>318</v>
      </c>
      <c r="F321" s="43" t="str">
        <f t="shared" si="57"/>
        <v>, "group":</v>
      </c>
      <c r="G321" s="43" t="str">
        <f ca="1">G320</f>
        <v>"14.6"</v>
      </c>
      <c r="H321" s="43" t="str">
        <f t="shared" si="58"/>
        <v>, "subgroup": "</v>
      </c>
      <c r="I321" s="43" t="s">
        <v>397</v>
      </c>
      <c r="J321" s="43" t="str">
        <f t="shared" si="50"/>
        <v>", "subgroupOrder":</v>
      </c>
      <c r="K321" s="43">
        <v>0</v>
      </c>
      <c r="L321" s="43" t="str">
        <f t="shared" si="51"/>
        <v>, "className": "</v>
      </c>
      <c r="M321" s="29" t="str">
        <f t="shared" si="59"/>
        <v>orange</v>
      </c>
      <c r="N321" s="43" t="str">
        <f t="shared" si="52"/>
        <v>", "content": "</v>
      </c>
      <c r="O321" s="49" t="s">
        <v>392</v>
      </c>
      <c r="P321" s="43" t="str">
        <f t="shared" si="53"/>
        <v>", "start": "</v>
      </c>
      <c r="Q321" s="44" t="str">
        <f ca="1">S320</f>
        <v/>
      </c>
      <c r="R321" s="43" t="str">
        <f t="shared" si="54"/>
        <v>", "end": "</v>
      </c>
      <c r="S321" s="113" t="str">
        <f ca="1">IF(INDIRECT("Dashboard!M"&amp;(ROW()/3+2))="","",INDIRECT("Dashboard!M"&amp;(ROW()/3+2)))</f>
        <v/>
      </c>
      <c r="T321" s="117" t="str">
        <f ca="1">IF(C323="]);",LEFT(T320,2),T320)</f>
        <v>"},</v>
      </c>
      <c r="V321" s="32" t="str">
        <f t="shared" ca="1" si="55"/>
        <v/>
      </c>
      <c r="W321" s="37" t="s">
        <v>2</v>
      </c>
    </row>
    <row r="322" spans="1:24">
      <c r="A322" s="36"/>
      <c r="C322" s="25"/>
      <c r="D322" s="41" t="str">
        <f t="shared" si="49"/>
        <v xml:space="preserve">{"id": </v>
      </c>
      <c r="E322" s="26">
        <f t="shared" si="56"/>
        <v>319</v>
      </c>
      <c r="F322" s="41" t="str">
        <f t="shared" si="57"/>
        <v>, "group":</v>
      </c>
      <c r="G322" s="111" t="str">
        <f ca="1">CHAR(34)&amp;INDIRECT("Dashboard!A"&amp;(ROW()-1)/3+3)&amp;CHAR(34)</f>
        <v>"15"</v>
      </c>
      <c r="H322" s="41" t="str">
        <f t="shared" si="58"/>
        <v>, "subgroup": "</v>
      </c>
      <c r="I322" s="41" t="s">
        <v>396</v>
      </c>
      <c r="J322" s="41" t="str">
        <f t="shared" si="50"/>
        <v>", "subgroupOrder":</v>
      </c>
      <c r="K322" s="41">
        <v>1</v>
      </c>
      <c r="L322" s="41" t="str">
        <f t="shared" si="51"/>
        <v>, "className": "</v>
      </c>
      <c r="M322" s="26" t="str">
        <f t="shared" si="59"/>
        <v>gray</v>
      </c>
      <c r="N322" s="41" t="str">
        <f t="shared" si="52"/>
        <v>", "content": "</v>
      </c>
      <c r="O322" s="40" t="s">
        <v>388</v>
      </c>
      <c r="P322" s="41" t="str">
        <f t="shared" si="53"/>
        <v>", "start": "</v>
      </c>
      <c r="Q322" s="42">
        <f ca="1">IF(INDIRECT("Dashboard!I"&amp;(ROW()-1)/3+3)="","",INDIRECT("Dashboard!I"&amp;(ROW()-1)/3+3))</f>
        <v>45566</v>
      </c>
      <c r="R322" s="41" t="str">
        <f t="shared" si="54"/>
        <v>", "end": "</v>
      </c>
      <c r="S322" s="42">
        <f ca="1">IF(INDIRECT("Dashboard!J"&amp;(ROW()-1)/3+3)="","",INDIRECT("Dashboard!J"&amp;(ROW()-1)/3+3))</f>
        <v>45657</v>
      </c>
      <c r="T322" s="118" t="str">
        <f ca="1">IF(C326="]);",LEFT(T321,2),T321)</f>
        <v>"},</v>
      </c>
      <c r="V322" s="32" t="str">
        <f t="shared" ca="1" si="55"/>
        <v>{"id": 319, "group":"15", "subgroup": "plan", "subgroupOrder":1, "className": "gray", "content": "Planned", "start": "2024-10-01", "end": "2024-12-31"},</v>
      </c>
      <c r="W322" s="37" t="s">
        <v>2</v>
      </c>
    </row>
    <row r="323" spans="1:24">
      <c r="A323" s="36"/>
      <c r="C323" s="31" t="str">
        <f ca="1">IF(AND(Q323="", S323=""),"//","")</f>
        <v>//</v>
      </c>
      <c r="D323" s="37" t="str">
        <f t="shared" si="49"/>
        <v xml:space="preserve">{"id": </v>
      </c>
      <c r="E323" s="32">
        <f t="shared" si="56"/>
        <v>320</v>
      </c>
      <c r="F323" s="37" t="str">
        <f t="shared" si="57"/>
        <v>, "group":</v>
      </c>
      <c r="G323" s="37" t="str">
        <f ca="1">G322</f>
        <v>"15"</v>
      </c>
      <c r="H323" s="37" t="str">
        <f t="shared" si="58"/>
        <v>, "subgroup": "</v>
      </c>
      <c r="I323" s="37" t="s">
        <v>397</v>
      </c>
      <c r="J323" s="37" t="str">
        <f t="shared" si="50"/>
        <v>", "subgroupOrder":</v>
      </c>
      <c r="K323" s="37">
        <v>0</v>
      </c>
      <c r="L323" s="37" t="str">
        <f t="shared" si="51"/>
        <v>, "className": "</v>
      </c>
      <c r="M323" s="32" t="str">
        <f t="shared" ca="1" si="59"/>
        <v>pink-white</v>
      </c>
      <c r="N323" s="37" t="str">
        <f t="shared" si="52"/>
        <v>", "content": "</v>
      </c>
      <c r="O323" s="34" t="str">
        <f ca="1">IF(INDIRECT("Dashboard!P"&amp;((ROW()+1)/3+2))=1,"Completed",IF(INDIRECT("Dashboard!P"&amp;((ROW()+1)/3+2))="","","Pending"))</f>
        <v>Pending</v>
      </c>
      <c r="P323" s="37" t="str">
        <f t="shared" si="53"/>
        <v>", "start": "</v>
      </c>
      <c r="Q323" s="38" t="str">
        <f ca="1">IF(INDIRECT("Dashboard!K"&amp;((ROW()+1)/3+2))="","",INDIRECT("Dashboard!K"&amp;((ROW()+1)/3+2)))</f>
        <v/>
      </c>
      <c r="R323" s="37" t="str">
        <f t="shared" si="54"/>
        <v>", "end": "</v>
      </c>
      <c r="S323" s="38" t="str">
        <f ca="1">IF(INDIRECT("Dashboard!L"&amp;((ROW()+1)/3+2))="","",INDIRECT("Dashboard!L"&amp;((ROW()+1)/3+2)))</f>
        <v/>
      </c>
      <c r="T323" s="116" t="str">
        <f ca="1">IF(C326="]);",LEFT(T322,2),T322)</f>
        <v>"},</v>
      </c>
      <c r="V323" s="32" t="str">
        <f t="shared" ca="1" si="55"/>
        <v/>
      </c>
      <c r="W323" s="37" t="s">
        <v>2</v>
      </c>
      <c r="X323" s="32" t="str">
        <f ca="1">G323&amp;" : "&amp;INDIRECT("Dashboard!G"&amp;((ROW()+1)/3+2))</f>
        <v>"15" : M14. Decision Engine - Usecase 1</v>
      </c>
    </row>
    <row r="324" spans="1:24" ht="15" thickBot="1">
      <c r="A324" s="36"/>
      <c r="C324" s="28" t="str">
        <f ca="1">IF(OR(INDIRECT("Dashboard!B"&amp;(ROW()/3+2))&lt;&gt;"&gt;",AND(Q324="",S324="")),"//","")</f>
        <v>//</v>
      </c>
      <c r="D324" s="43" t="str">
        <f t="shared" si="49"/>
        <v xml:space="preserve">{"id": </v>
      </c>
      <c r="E324" s="29">
        <f t="shared" si="56"/>
        <v>321</v>
      </c>
      <c r="F324" s="43" t="str">
        <f t="shared" si="57"/>
        <v>, "group":</v>
      </c>
      <c r="G324" s="43" t="str">
        <f ca="1">G323</f>
        <v>"15"</v>
      </c>
      <c r="H324" s="43" t="str">
        <f t="shared" si="58"/>
        <v>, "subgroup": "</v>
      </c>
      <c r="I324" s="43" t="s">
        <v>397</v>
      </c>
      <c r="J324" s="43" t="str">
        <f t="shared" si="50"/>
        <v>", "subgroupOrder":</v>
      </c>
      <c r="K324" s="43">
        <v>0</v>
      </c>
      <c r="L324" s="43" t="str">
        <f t="shared" si="51"/>
        <v>, "className": "</v>
      </c>
      <c r="M324" s="29" t="str">
        <f t="shared" si="59"/>
        <v>orange</v>
      </c>
      <c r="N324" s="43" t="str">
        <f t="shared" si="52"/>
        <v>", "content": "</v>
      </c>
      <c r="O324" s="49" t="s">
        <v>392</v>
      </c>
      <c r="P324" s="43" t="str">
        <f t="shared" si="53"/>
        <v>", "start": "</v>
      </c>
      <c r="Q324" s="44" t="str">
        <f ca="1">S323</f>
        <v/>
      </c>
      <c r="R324" s="43" t="str">
        <f t="shared" si="54"/>
        <v>", "end": "</v>
      </c>
      <c r="S324" s="113" t="str">
        <f ca="1">IF(INDIRECT("Dashboard!M"&amp;(ROW()/3+2))="","",INDIRECT("Dashboard!M"&amp;(ROW()/3+2)))</f>
        <v/>
      </c>
      <c r="T324" s="117" t="str">
        <f ca="1">IF(C326="]);",LEFT(T323,2),T323)</f>
        <v>"},</v>
      </c>
      <c r="V324" s="32" t="str">
        <f t="shared" ca="1" si="55"/>
        <v/>
      </c>
      <c r="W324" s="37" t="s">
        <v>2</v>
      </c>
    </row>
    <row r="325" spans="1:24">
      <c r="A325" s="36"/>
      <c r="C325" s="25"/>
      <c r="D325" s="41" t="str">
        <f t="shared" ref="D325:D388" si="60">D324</f>
        <v xml:space="preserve">{"id": </v>
      </c>
      <c r="E325" s="26">
        <f t="shared" si="56"/>
        <v>322</v>
      </c>
      <c r="F325" s="41" t="str">
        <f t="shared" si="57"/>
        <v>, "group":</v>
      </c>
      <c r="G325" s="111" t="str">
        <f ca="1">CHAR(34)&amp;INDIRECT("Dashboard!A"&amp;(ROW()-1)/3+3)&amp;CHAR(34)</f>
        <v>"15.1"</v>
      </c>
      <c r="H325" s="41" t="str">
        <f t="shared" si="58"/>
        <v>, "subgroup": "</v>
      </c>
      <c r="I325" s="41" t="s">
        <v>396</v>
      </c>
      <c r="J325" s="41" t="str">
        <f t="shared" ref="J325:J388" si="61">J324</f>
        <v>", "subgroupOrder":</v>
      </c>
      <c r="K325" s="41">
        <v>1</v>
      </c>
      <c r="L325" s="41" t="str">
        <f t="shared" ref="L325:L388" si="62">L324</f>
        <v>, "className": "</v>
      </c>
      <c r="M325" s="26" t="str">
        <f t="shared" si="59"/>
        <v>gray</v>
      </c>
      <c r="N325" s="41" t="str">
        <f t="shared" ref="N325:N388" si="63">N324</f>
        <v>", "content": "</v>
      </c>
      <c r="O325" s="40" t="s">
        <v>388</v>
      </c>
      <c r="P325" s="41" t="str">
        <f t="shared" ref="P325:P388" si="64">P324</f>
        <v>", "start": "</v>
      </c>
      <c r="Q325" s="42" t="str">
        <f ca="1">IF(INDIRECT("Dashboard!I"&amp;(ROW()-1)/3+3)="","",INDIRECT("Dashboard!I"&amp;(ROW()-1)/3+3))</f>
        <v/>
      </c>
      <c r="R325" s="41" t="str">
        <f t="shared" ref="R325:R388" si="65">R324</f>
        <v>", "end": "</v>
      </c>
      <c r="S325" s="42" t="str">
        <f ca="1">IF(INDIRECT("Dashboard!J"&amp;(ROW()-1)/3+3)="","",INDIRECT("Dashboard!J"&amp;(ROW()-1)/3+3))</f>
        <v/>
      </c>
      <c r="T325" s="118" t="str">
        <f ca="1">IF(C329="]);",LEFT(T324,2),T324)</f>
        <v>"},</v>
      </c>
      <c r="V325" s="32" t="str">
        <f t="shared" ref="V325:V388" ca="1" si="66">IF(C325&lt;&gt;"//",D325&amp;E325&amp;F325&amp;G325&amp;H325&amp;I325&amp;J325&amp;K325&amp;L325&amp;M325&amp;N325&amp;O325&amp;P325&amp;TEXT(Q325,"yyyy-mm-dd")&amp;R325&amp;TEXT(S325,"yyyy-mm-dd")&amp;T325,"")</f>
        <v>{"id": 322, "group":"15.1", "subgroup": "plan", "subgroupOrder":1, "className": "gray", "content": "Planned", "start": "", "end": ""},</v>
      </c>
      <c r="W325" s="37" t="s">
        <v>2</v>
      </c>
    </row>
    <row r="326" spans="1:24">
      <c r="A326" s="36"/>
      <c r="C326" s="31" t="str">
        <f ca="1">IF(AND(Q326="", S326=""),"//","")</f>
        <v>//</v>
      </c>
      <c r="D326" s="37" t="str">
        <f t="shared" si="60"/>
        <v xml:space="preserve">{"id": </v>
      </c>
      <c r="E326" s="32">
        <f t="shared" si="56"/>
        <v>323</v>
      </c>
      <c r="F326" s="37" t="str">
        <f t="shared" si="57"/>
        <v>, "group":</v>
      </c>
      <c r="G326" s="37" t="str">
        <f ca="1">G325</f>
        <v>"15.1"</v>
      </c>
      <c r="H326" s="37" t="str">
        <f t="shared" si="58"/>
        <v>, "subgroup": "</v>
      </c>
      <c r="I326" s="37" t="s">
        <v>397</v>
      </c>
      <c r="J326" s="37" t="str">
        <f t="shared" si="61"/>
        <v>", "subgroupOrder":</v>
      </c>
      <c r="K326" s="37">
        <v>0</v>
      </c>
      <c r="L326" s="37" t="str">
        <f t="shared" si="62"/>
        <v>, "className": "</v>
      </c>
      <c r="M326" s="32" t="str">
        <f t="shared" ca="1" si="59"/>
        <v/>
      </c>
      <c r="N326" s="37" t="str">
        <f t="shared" si="63"/>
        <v>", "content": "</v>
      </c>
      <c r="O326" s="34" t="str">
        <f ca="1">IF(INDIRECT("Dashboard!P"&amp;((ROW()+1)/3+2))=1,"Completed",IF(INDIRECT("Dashboard!P"&amp;((ROW()+1)/3+2))="","","Pending"))</f>
        <v/>
      </c>
      <c r="P326" s="37" t="str">
        <f t="shared" si="64"/>
        <v>", "start": "</v>
      </c>
      <c r="Q326" s="38" t="str">
        <f ca="1">IF(INDIRECT("Dashboard!K"&amp;((ROW()+1)/3+2))="","",INDIRECT("Dashboard!K"&amp;((ROW()+1)/3+2)))</f>
        <v/>
      </c>
      <c r="R326" s="37" t="str">
        <f t="shared" si="65"/>
        <v>", "end": "</v>
      </c>
      <c r="S326" s="38" t="str">
        <f ca="1">IF(INDIRECT("Dashboard!L"&amp;((ROW()+1)/3+2))="","",INDIRECT("Dashboard!L"&amp;((ROW()+1)/3+2)))</f>
        <v/>
      </c>
      <c r="T326" s="116" t="str">
        <f ca="1">IF(C329="]);",LEFT(T325,2),T325)</f>
        <v>"},</v>
      </c>
      <c r="V326" s="32" t="str">
        <f t="shared" ca="1" si="66"/>
        <v/>
      </c>
      <c r="W326" s="37" t="s">
        <v>2</v>
      </c>
      <c r="X326" s="32" t="str">
        <f ca="1">G326&amp;" : "&amp;INDIRECT("Dashboard!G"&amp;((ROW()+1)/3+2))</f>
        <v>"15.1" : Note : Use case to be evaluated based on research basis in the area of smart home and smart grid &amp; smart factory applications</v>
      </c>
    </row>
    <row r="327" spans="1:24" ht="15" thickBot="1">
      <c r="A327" s="36"/>
      <c r="C327" s="28" t="str">
        <f ca="1">IF(OR(INDIRECT("Dashboard!B"&amp;(ROW()/3+2))&lt;&gt;"&gt;",AND(Q327="",S327="")),"//","")</f>
        <v>//</v>
      </c>
      <c r="D327" s="43" t="str">
        <f t="shared" si="60"/>
        <v xml:space="preserve">{"id": </v>
      </c>
      <c r="E327" s="29">
        <f t="shared" ref="E327:E390" si="67">E326+1</f>
        <v>324</v>
      </c>
      <c r="F327" s="43" t="str">
        <f t="shared" ref="F327:F390" si="68">F326</f>
        <v>, "group":</v>
      </c>
      <c r="G327" s="43" t="str">
        <f ca="1">G326</f>
        <v>"15.1"</v>
      </c>
      <c r="H327" s="43" t="str">
        <f t="shared" ref="H327:H390" si="69">H326</f>
        <v>, "subgroup": "</v>
      </c>
      <c r="I327" s="43" t="s">
        <v>397</v>
      </c>
      <c r="J327" s="43" t="str">
        <f t="shared" si="61"/>
        <v>", "subgroupOrder":</v>
      </c>
      <c r="K327" s="43">
        <v>0</v>
      </c>
      <c r="L327" s="43" t="str">
        <f t="shared" si="62"/>
        <v>, "className": "</v>
      </c>
      <c r="M327" s="29" t="str">
        <f t="shared" si="59"/>
        <v>orange</v>
      </c>
      <c r="N327" s="43" t="str">
        <f t="shared" si="63"/>
        <v>", "content": "</v>
      </c>
      <c r="O327" s="49" t="s">
        <v>392</v>
      </c>
      <c r="P327" s="43" t="str">
        <f t="shared" si="64"/>
        <v>", "start": "</v>
      </c>
      <c r="Q327" s="44" t="str">
        <f ca="1">S326</f>
        <v/>
      </c>
      <c r="R327" s="43" t="str">
        <f t="shared" si="65"/>
        <v>", "end": "</v>
      </c>
      <c r="S327" s="113" t="str">
        <f ca="1">IF(INDIRECT("Dashboard!M"&amp;(ROW()/3+2))="","",INDIRECT("Dashboard!M"&amp;(ROW()/3+2)))</f>
        <v/>
      </c>
      <c r="T327" s="117" t="str">
        <f ca="1">IF(C329="]);",LEFT(T326,2),T326)</f>
        <v>"},</v>
      </c>
      <c r="V327" s="32" t="str">
        <f t="shared" ca="1" si="66"/>
        <v/>
      </c>
      <c r="W327" s="37" t="s">
        <v>2</v>
      </c>
    </row>
    <row r="328" spans="1:24">
      <c r="A328" s="36"/>
      <c r="C328" s="25"/>
      <c r="D328" s="41" t="str">
        <f t="shared" si="60"/>
        <v xml:space="preserve">{"id": </v>
      </c>
      <c r="E328" s="26">
        <f t="shared" si="67"/>
        <v>325</v>
      </c>
      <c r="F328" s="41" t="str">
        <f t="shared" si="68"/>
        <v>, "group":</v>
      </c>
      <c r="G328" s="111" t="str">
        <f ca="1">CHAR(34)&amp;INDIRECT("Dashboard!A"&amp;(ROW()-1)/3+3)&amp;CHAR(34)</f>
        <v>"15.2"</v>
      </c>
      <c r="H328" s="41" t="str">
        <f t="shared" si="69"/>
        <v>, "subgroup": "</v>
      </c>
      <c r="I328" s="41" t="s">
        <v>396</v>
      </c>
      <c r="J328" s="41" t="str">
        <f t="shared" si="61"/>
        <v>", "subgroupOrder":</v>
      </c>
      <c r="K328" s="41">
        <v>1</v>
      </c>
      <c r="L328" s="41" t="str">
        <f t="shared" si="62"/>
        <v>, "className": "</v>
      </c>
      <c r="M328" s="26" t="str">
        <f t="shared" si="59"/>
        <v>gray</v>
      </c>
      <c r="N328" s="41" t="str">
        <f t="shared" si="63"/>
        <v>", "content": "</v>
      </c>
      <c r="O328" s="40" t="s">
        <v>388</v>
      </c>
      <c r="P328" s="41" t="str">
        <f t="shared" si="64"/>
        <v>", "start": "</v>
      </c>
      <c r="Q328" s="42">
        <f ca="1">IF(INDIRECT("Dashboard!I"&amp;(ROW()-1)/3+3)="","",INDIRECT("Dashboard!I"&amp;(ROW()-1)/3+3))</f>
        <v>45566</v>
      </c>
      <c r="R328" s="41" t="str">
        <f t="shared" si="65"/>
        <v>", "end": "</v>
      </c>
      <c r="S328" s="42">
        <f ca="1">IF(INDIRECT("Dashboard!J"&amp;(ROW()-1)/3+3)="","",INDIRECT("Dashboard!J"&amp;(ROW()-1)/3+3))</f>
        <v>45657</v>
      </c>
      <c r="T328" s="118" t="str">
        <f ca="1">IF(C332="]);",LEFT(T327,2),T327)</f>
        <v>"},</v>
      </c>
      <c r="V328" s="32" t="str">
        <f t="shared" ca="1" si="66"/>
        <v>{"id": 325, "group":"15.2", "subgroup": "plan", "subgroupOrder":1, "className": "gray", "content": "Planned", "start": "2024-10-01", "end": "2024-12-31"},</v>
      </c>
      <c r="W328" s="37" t="s">
        <v>2</v>
      </c>
    </row>
    <row r="329" spans="1:24">
      <c r="A329" s="36"/>
      <c r="C329" s="31" t="str">
        <f ca="1">IF(AND(Q329="", S329=""),"//","")</f>
        <v>//</v>
      </c>
      <c r="D329" s="37" t="str">
        <f t="shared" si="60"/>
        <v xml:space="preserve">{"id": </v>
      </c>
      <c r="E329" s="32">
        <f t="shared" si="67"/>
        <v>326</v>
      </c>
      <c r="F329" s="37" t="str">
        <f t="shared" si="68"/>
        <v>, "group":</v>
      </c>
      <c r="G329" s="37" t="str">
        <f ca="1">G328</f>
        <v>"15.2"</v>
      </c>
      <c r="H329" s="37" t="str">
        <f t="shared" si="69"/>
        <v>, "subgroup": "</v>
      </c>
      <c r="I329" s="37" t="s">
        <v>397</v>
      </c>
      <c r="J329" s="37" t="str">
        <f t="shared" si="61"/>
        <v>", "subgroupOrder":</v>
      </c>
      <c r="K329" s="37">
        <v>0</v>
      </c>
      <c r="L329" s="37" t="str">
        <f t="shared" si="62"/>
        <v>, "className": "</v>
      </c>
      <c r="M329" s="32" t="str">
        <f t="shared" ca="1" si="59"/>
        <v>pink-white</v>
      </c>
      <c r="N329" s="37" t="str">
        <f t="shared" si="63"/>
        <v>", "content": "</v>
      </c>
      <c r="O329" s="34" t="str">
        <f ca="1">IF(INDIRECT("Dashboard!P"&amp;((ROW()+1)/3+2))=1,"Completed",IF(INDIRECT("Dashboard!P"&amp;((ROW()+1)/3+2))="","","Pending"))</f>
        <v>Pending</v>
      </c>
      <c r="P329" s="37" t="str">
        <f t="shared" si="64"/>
        <v>", "start": "</v>
      </c>
      <c r="Q329" s="38" t="str">
        <f ca="1">IF(INDIRECT("Dashboard!K"&amp;((ROW()+1)/3+2))="","",INDIRECT("Dashboard!K"&amp;((ROW()+1)/3+2)))</f>
        <v/>
      </c>
      <c r="R329" s="37" t="str">
        <f t="shared" si="65"/>
        <v>", "end": "</v>
      </c>
      <c r="S329" s="38" t="str">
        <f ca="1">IF(INDIRECT("Dashboard!L"&amp;((ROW()+1)/3+2))="","",INDIRECT("Dashboard!L"&amp;((ROW()+1)/3+2)))</f>
        <v/>
      </c>
      <c r="T329" s="116" t="str">
        <f ca="1">IF(C332="]);",LEFT(T328,2),T328)</f>
        <v>"},</v>
      </c>
      <c r="V329" s="32" t="str">
        <f t="shared" ca="1" si="66"/>
        <v/>
      </c>
      <c r="W329" s="37" t="s">
        <v>2</v>
      </c>
      <c r="X329" s="32" t="str">
        <f ca="1">G329&amp;" : "&amp;INDIRECT("Dashboard!G"&amp;((ROW()+1)/3+2))</f>
        <v>"15.2" : Technical design document explaining the data schema and algorithm</v>
      </c>
    </row>
    <row r="330" spans="1:24" ht="15" thickBot="1">
      <c r="A330" s="36"/>
      <c r="C330" s="28" t="str">
        <f ca="1">IF(OR(INDIRECT("Dashboard!B"&amp;(ROW()/3+2))&lt;&gt;"&gt;",AND(Q330="",S330="")),"//","")</f>
        <v>//</v>
      </c>
      <c r="D330" s="43" t="str">
        <f t="shared" si="60"/>
        <v xml:space="preserve">{"id": </v>
      </c>
      <c r="E330" s="29">
        <f t="shared" si="67"/>
        <v>327</v>
      </c>
      <c r="F330" s="43" t="str">
        <f t="shared" si="68"/>
        <v>, "group":</v>
      </c>
      <c r="G330" s="43" t="str">
        <f ca="1">G329</f>
        <v>"15.2"</v>
      </c>
      <c r="H330" s="43" t="str">
        <f t="shared" si="69"/>
        <v>, "subgroup": "</v>
      </c>
      <c r="I330" s="43" t="s">
        <v>397</v>
      </c>
      <c r="J330" s="43" t="str">
        <f t="shared" si="61"/>
        <v>", "subgroupOrder":</v>
      </c>
      <c r="K330" s="43">
        <v>0</v>
      </c>
      <c r="L330" s="43" t="str">
        <f t="shared" si="62"/>
        <v>, "className": "</v>
      </c>
      <c r="M330" s="29" t="str">
        <f t="shared" si="59"/>
        <v>orange</v>
      </c>
      <c r="N330" s="43" t="str">
        <f t="shared" si="63"/>
        <v>", "content": "</v>
      </c>
      <c r="O330" s="49" t="s">
        <v>392</v>
      </c>
      <c r="P330" s="43" t="str">
        <f t="shared" si="64"/>
        <v>", "start": "</v>
      </c>
      <c r="Q330" s="44" t="str">
        <f ca="1">S329</f>
        <v/>
      </c>
      <c r="R330" s="43" t="str">
        <f t="shared" si="65"/>
        <v>", "end": "</v>
      </c>
      <c r="S330" s="113" t="str">
        <f ca="1">IF(INDIRECT("Dashboard!M"&amp;(ROW()/3+2))="","",INDIRECT("Dashboard!M"&amp;(ROW()/3+2)))</f>
        <v/>
      </c>
      <c r="T330" s="117" t="str">
        <f ca="1">IF(C332="]);",LEFT(T329,2),T329)</f>
        <v>"},</v>
      </c>
      <c r="V330" s="32" t="str">
        <f t="shared" ca="1" si="66"/>
        <v/>
      </c>
      <c r="W330" s="37" t="s">
        <v>2</v>
      </c>
    </row>
    <row r="331" spans="1:24">
      <c r="A331" s="36"/>
      <c r="C331" s="25"/>
      <c r="D331" s="41" t="str">
        <f t="shared" si="60"/>
        <v xml:space="preserve">{"id": </v>
      </c>
      <c r="E331" s="26">
        <f t="shared" si="67"/>
        <v>328</v>
      </c>
      <c r="F331" s="41" t="str">
        <f t="shared" si="68"/>
        <v>, "group":</v>
      </c>
      <c r="G331" s="111" t="str">
        <f ca="1">CHAR(34)&amp;INDIRECT("Dashboard!A"&amp;(ROW()-1)/3+3)&amp;CHAR(34)</f>
        <v>"15.3"</v>
      </c>
      <c r="H331" s="41" t="str">
        <f t="shared" si="69"/>
        <v>, "subgroup": "</v>
      </c>
      <c r="I331" s="41" t="s">
        <v>396</v>
      </c>
      <c r="J331" s="41" t="str">
        <f t="shared" si="61"/>
        <v>", "subgroupOrder":</v>
      </c>
      <c r="K331" s="41">
        <v>1</v>
      </c>
      <c r="L331" s="41" t="str">
        <f t="shared" si="62"/>
        <v>, "className": "</v>
      </c>
      <c r="M331" s="26" t="str">
        <f t="shared" si="59"/>
        <v>gray</v>
      </c>
      <c r="N331" s="41" t="str">
        <f t="shared" si="63"/>
        <v>", "content": "</v>
      </c>
      <c r="O331" s="40" t="s">
        <v>388</v>
      </c>
      <c r="P331" s="41" t="str">
        <f t="shared" si="64"/>
        <v>", "start": "</v>
      </c>
      <c r="Q331" s="42">
        <f ca="1">IF(INDIRECT("Dashboard!I"&amp;(ROW()-1)/3+3)="","",INDIRECT("Dashboard!I"&amp;(ROW()-1)/3+3))</f>
        <v>45566</v>
      </c>
      <c r="R331" s="41" t="str">
        <f t="shared" si="65"/>
        <v>", "end": "</v>
      </c>
      <c r="S331" s="42">
        <f ca="1">IF(INDIRECT("Dashboard!J"&amp;(ROW()-1)/3+3)="","",INDIRECT("Dashboard!J"&amp;(ROW()-1)/3+3))</f>
        <v>45657</v>
      </c>
      <c r="T331" s="118" t="str">
        <f ca="1">IF(C335="]);",LEFT(T330,2),T330)</f>
        <v>"},</v>
      </c>
      <c r="V331" s="32" t="str">
        <f t="shared" ca="1" si="66"/>
        <v>{"id": 328, "group":"15.3", "subgroup": "plan", "subgroupOrder":1, "className": "gray", "content": "Planned", "start": "2024-10-01", "end": "2024-12-31"},</v>
      </c>
      <c r="W331" s="37" t="s">
        <v>2</v>
      </c>
    </row>
    <row r="332" spans="1:24">
      <c r="A332" s="36"/>
      <c r="C332" s="31" t="str">
        <f ca="1">IF(AND(Q332="", S332=""),"//","")</f>
        <v>//</v>
      </c>
      <c r="D332" s="37" t="str">
        <f t="shared" si="60"/>
        <v xml:space="preserve">{"id": </v>
      </c>
      <c r="E332" s="32">
        <f t="shared" si="67"/>
        <v>329</v>
      </c>
      <c r="F332" s="37" t="str">
        <f t="shared" si="68"/>
        <v>, "group":</v>
      </c>
      <c r="G332" s="37" t="str">
        <f ca="1">G331</f>
        <v>"15.3"</v>
      </c>
      <c r="H332" s="37" t="str">
        <f t="shared" si="69"/>
        <v>, "subgroup": "</v>
      </c>
      <c r="I332" s="37" t="s">
        <v>397</v>
      </c>
      <c r="J332" s="37" t="str">
        <f t="shared" si="61"/>
        <v>", "subgroupOrder":</v>
      </c>
      <c r="K332" s="37">
        <v>0</v>
      </c>
      <c r="L332" s="37" t="str">
        <f t="shared" si="62"/>
        <v>, "className": "</v>
      </c>
      <c r="M332" s="32" t="str">
        <f t="shared" ca="1" si="59"/>
        <v>pink-white</v>
      </c>
      <c r="N332" s="37" t="str">
        <f t="shared" si="63"/>
        <v>", "content": "</v>
      </c>
      <c r="O332" s="34" t="str">
        <f ca="1">IF(INDIRECT("Dashboard!P"&amp;((ROW()+1)/3+2))=1,"Completed",IF(INDIRECT("Dashboard!P"&amp;((ROW()+1)/3+2))="","","Pending"))</f>
        <v>Pending</v>
      </c>
      <c r="P332" s="37" t="str">
        <f t="shared" si="64"/>
        <v>", "start": "</v>
      </c>
      <c r="Q332" s="38" t="str">
        <f ca="1">IF(INDIRECT("Dashboard!K"&amp;((ROW()+1)/3+2))="","",INDIRECT("Dashboard!K"&amp;((ROW()+1)/3+2)))</f>
        <v/>
      </c>
      <c r="R332" s="37" t="str">
        <f t="shared" si="65"/>
        <v>", "end": "</v>
      </c>
      <c r="S332" s="38" t="str">
        <f ca="1">IF(INDIRECT("Dashboard!L"&amp;((ROW()+1)/3+2))="","",INDIRECT("Dashboard!L"&amp;((ROW()+1)/3+2)))</f>
        <v/>
      </c>
      <c r="T332" s="116" t="str">
        <f ca="1">IF(C335="]);",LEFT(T331,2),T331)</f>
        <v>"},</v>
      </c>
      <c r="V332" s="32" t="str">
        <f t="shared" ca="1" si="66"/>
        <v/>
      </c>
      <c r="W332" s="37" t="s">
        <v>2</v>
      </c>
      <c r="X332" s="32" t="str">
        <f ca="1">G332&amp;" : "&amp;INDIRECT("Dashboard!G"&amp;((ROW()+1)/3+2))</f>
        <v>"15.3" : Software Code</v>
      </c>
    </row>
    <row r="333" spans="1:24" ht="15" thickBot="1">
      <c r="A333" s="36"/>
      <c r="C333" s="28" t="str">
        <f ca="1">IF(OR(INDIRECT("Dashboard!B"&amp;(ROW()/3+2))&lt;&gt;"&gt;",AND(Q333="",S333="")),"//","")</f>
        <v>//</v>
      </c>
      <c r="D333" s="43" t="str">
        <f t="shared" si="60"/>
        <v xml:space="preserve">{"id": </v>
      </c>
      <c r="E333" s="29">
        <f t="shared" si="67"/>
        <v>330</v>
      </c>
      <c r="F333" s="43" t="str">
        <f t="shared" si="68"/>
        <v>, "group":</v>
      </c>
      <c r="G333" s="43" t="str">
        <f ca="1">G332</f>
        <v>"15.3"</v>
      </c>
      <c r="H333" s="43" t="str">
        <f t="shared" si="69"/>
        <v>, "subgroup": "</v>
      </c>
      <c r="I333" s="43" t="s">
        <v>397</v>
      </c>
      <c r="J333" s="43" t="str">
        <f t="shared" si="61"/>
        <v>", "subgroupOrder":</v>
      </c>
      <c r="K333" s="43">
        <v>0</v>
      </c>
      <c r="L333" s="43" t="str">
        <f t="shared" si="62"/>
        <v>, "className": "</v>
      </c>
      <c r="M333" s="29" t="str">
        <f t="shared" si="59"/>
        <v>orange</v>
      </c>
      <c r="N333" s="43" t="str">
        <f t="shared" si="63"/>
        <v>", "content": "</v>
      </c>
      <c r="O333" s="49" t="s">
        <v>392</v>
      </c>
      <c r="P333" s="43" t="str">
        <f t="shared" si="64"/>
        <v>", "start": "</v>
      </c>
      <c r="Q333" s="44" t="str">
        <f ca="1">S332</f>
        <v/>
      </c>
      <c r="R333" s="43" t="str">
        <f t="shared" si="65"/>
        <v>", "end": "</v>
      </c>
      <c r="S333" s="113" t="str">
        <f ca="1">IF(INDIRECT("Dashboard!M"&amp;(ROW()/3+2))="","",INDIRECT("Dashboard!M"&amp;(ROW()/3+2)))</f>
        <v/>
      </c>
      <c r="T333" s="117" t="str">
        <f ca="1">IF(C335="]);",LEFT(T332,2),T332)</f>
        <v>"},</v>
      </c>
      <c r="V333" s="32" t="str">
        <f t="shared" ca="1" si="66"/>
        <v/>
      </c>
      <c r="W333" s="37" t="s">
        <v>2</v>
      </c>
    </row>
    <row r="334" spans="1:24">
      <c r="A334" s="36"/>
      <c r="C334" s="25"/>
      <c r="D334" s="41" t="str">
        <f t="shared" si="60"/>
        <v xml:space="preserve">{"id": </v>
      </c>
      <c r="E334" s="26">
        <f t="shared" si="67"/>
        <v>331</v>
      </c>
      <c r="F334" s="41" t="str">
        <f t="shared" si="68"/>
        <v>, "group":</v>
      </c>
      <c r="G334" s="111" t="str">
        <f ca="1">CHAR(34)&amp;INDIRECT("Dashboard!A"&amp;(ROW()-1)/3+3)&amp;CHAR(34)</f>
        <v>"15.4"</v>
      </c>
      <c r="H334" s="41" t="str">
        <f t="shared" si="69"/>
        <v>, "subgroup": "</v>
      </c>
      <c r="I334" s="41" t="s">
        <v>396</v>
      </c>
      <c r="J334" s="41" t="str">
        <f t="shared" si="61"/>
        <v>", "subgroupOrder":</v>
      </c>
      <c r="K334" s="41">
        <v>1</v>
      </c>
      <c r="L334" s="41" t="str">
        <f t="shared" si="62"/>
        <v>, "className": "</v>
      </c>
      <c r="M334" s="26" t="str">
        <f t="shared" si="59"/>
        <v>gray</v>
      </c>
      <c r="N334" s="41" t="str">
        <f t="shared" si="63"/>
        <v>", "content": "</v>
      </c>
      <c r="O334" s="40" t="s">
        <v>388</v>
      </c>
      <c r="P334" s="41" t="str">
        <f t="shared" si="64"/>
        <v>", "start": "</v>
      </c>
      <c r="Q334" s="42">
        <f ca="1">IF(INDIRECT("Dashboard!I"&amp;(ROW()-1)/3+3)="","",INDIRECT("Dashboard!I"&amp;(ROW()-1)/3+3))</f>
        <v>45566</v>
      </c>
      <c r="R334" s="41" t="str">
        <f t="shared" si="65"/>
        <v>", "end": "</v>
      </c>
      <c r="S334" s="42">
        <f ca="1">IF(INDIRECT("Dashboard!J"&amp;(ROW()-1)/3+3)="","",INDIRECT("Dashboard!J"&amp;(ROW()-1)/3+3))</f>
        <v>45657</v>
      </c>
      <c r="T334" s="118" t="str">
        <f ca="1">IF(C338="]);",LEFT(T333,2),T333)</f>
        <v>"},</v>
      </c>
      <c r="V334" s="32" t="str">
        <f t="shared" ca="1" si="66"/>
        <v>{"id": 331, "group":"15.4", "subgroup": "plan", "subgroupOrder":1, "className": "gray", "content": "Planned", "start": "2024-10-01", "end": "2024-12-31"},</v>
      </c>
      <c r="W334" s="37" t="s">
        <v>2</v>
      </c>
    </row>
    <row r="335" spans="1:24">
      <c r="A335" s="36"/>
      <c r="C335" s="31" t="str">
        <f ca="1">IF(AND(Q335="", S335=""),"//","")</f>
        <v>//</v>
      </c>
      <c r="D335" s="37" t="str">
        <f t="shared" si="60"/>
        <v xml:space="preserve">{"id": </v>
      </c>
      <c r="E335" s="32">
        <f t="shared" si="67"/>
        <v>332</v>
      </c>
      <c r="F335" s="37" t="str">
        <f t="shared" si="68"/>
        <v>, "group":</v>
      </c>
      <c r="G335" s="37" t="str">
        <f ca="1">G334</f>
        <v>"15.4"</v>
      </c>
      <c r="H335" s="37" t="str">
        <f t="shared" si="69"/>
        <v>, "subgroup": "</v>
      </c>
      <c r="I335" s="37" t="s">
        <v>397</v>
      </c>
      <c r="J335" s="37" t="str">
        <f t="shared" si="61"/>
        <v>", "subgroupOrder":</v>
      </c>
      <c r="K335" s="37">
        <v>0</v>
      </c>
      <c r="L335" s="37" t="str">
        <f t="shared" si="62"/>
        <v>, "className": "</v>
      </c>
      <c r="M335" s="32" t="str">
        <f t="shared" ca="1" si="59"/>
        <v>pink-white</v>
      </c>
      <c r="N335" s="37" t="str">
        <f t="shared" si="63"/>
        <v>", "content": "</v>
      </c>
      <c r="O335" s="34" t="str">
        <f ca="1">IF(INDIRECT("Dashboard!P"&amp;((ROW()+1)/3+2))=1,"Completed",IF(INDIRECT("Dashboard!P"&amp;((ROW()+1)/3+2))="","","Pending"))</f>
        <v>Pending</v>
      </c>
      <c r="P335" s="37" t="str">
        <f t="shared" si="64"/>
        <v>", "start": "</v>
      </c>
      <c r="Q335" s="38" t="str">
        <f ca="1">IF(INDIRECT("Dashboard!K"&amp;((ROW()+1)/3+2))="","",INDIRECT("Dashboard!K"&amp;((ROW()+1)/3+2)))</f>
        <v/>
      </c>
      <c r="R335" s="37" t="str">
        <f t="shared" si="65"/>
        <v>", "end": "</v>
      </c>
      <c r="S335" s="38" t="str">
        <f ca="1">IF(INDIRECT("Dashboard!L"&amp;((ROW()+1)/3+2))="","",INDIRECT("Dashboard!L"&amp;((ROW()+1)/3+2)))</f>
        <v/>
      </c>
      <c r="T335" s="116" t="str">
        <f ca="1">IF(C338="]);",LEFT(T334,2),T334)</f>
        <v>"},</v>
      </c>
      <c r="V335" s="32" t="str">
        <f t="shared" ca="1" si="66"/>
        <v/>
      </c>
      <c r="W335" s="37" t="s">
        <v>2</v>
      </c>
      <c r="X335" s="32" t="str">
        <f ca="1">G335&amp;" : "&amp;INDIRECT("Dashboard!G"&amp;((ROW()+1)/3+2))</f>
        <v>"15.4" : Deployment Procedure of the code</v>
      </c>
    </row>
    <row r="336" spans="1:24" ht="15" thickBot="1">
      <c r="A336" s="36"/>
      <c r="C336" s="28" t="str">
        <f ca="1">IF(OR(INDIRECT("Dashboard!B"&amp;(ROW()/3+2))&lt;&gt;"&gt;",AND(Q336="",S336="")),"//","")</f>
        <v>//</v>
      </c>
      <c r="D336" s="43" t="str">
        <f t="shared" si="60"/>
        <v xml:space="preserve">{"id": </v>
      </c>
      <c r="E336" s="29">
        <f t="shared" si="67"/>
        <v>333</v>
      </c>
      <c r="F336" s="43" t="str">
        <f t="shared" si="68"/>
        <v>, "group":</v>
      </c>
      <c r="G336" s="43" t="str">
        <f ca="1">G335</f>
        <v>"15.4"</v>
      </c>
      <c r="H336" s="43" t="str">
        <f t="shared" si="69"/>
        <v>, "subgroup": "</v>
      </c>
      <c r="I336" s="43" t="s">
        <v>397</v>
      </c>
      <c r="J336" s="43" t="str">
        <f t="shared" si="61"/>
        <v>", "subgroupOrder":</v>
      </c>
      <c r="K336" s="43">
        <v>0</v>
      </c>
      <c r="L336" s="43" t="str">
        <f t="shared" si="62"/>
        <v>, "className": "</v>
      </c>
      <c r="M336" s="29" t="str">
        <f t="shared" si="59"/>
        <v>orange</v>
      </c>
      <c r="N336" s="43" t="str">
        <f t="shared" si="63"/>
        <v>", "content": "</v>
      </c>
      <c r="O336" s="49" t="s">
        <v>392</v>
      </c>
      <c r="P336" s="43" t="str">
        <f t="shared" si="64"/>
        <v>", "start": "</v>
      </c>
      <c r="Q336" s="44" t="str">
        <f ca="1">S335</f>
        <v/>
      </c>
      <c r="R336" s="43" t="str">
        <f t="shared" si="65"/>
        <v>", "end": "</v>
      </c>
      <c r="S336" s="113" t="str">
        <f ca="1">IF(INDIRECT("Dashboard!M"&amp;(ROW()/3+2))="","",INDIRECT("Dashboard!M"&amp;(ROW()/3+2)))</f>
        <v/>
      </c>
      <c r="T336" s="117" t="str">
        <f ca="1">IF(C338="]);",LEFT(T335,2),T335)</f>
        <v>"},</v>
      </c>
      <c r="V336" s="32" t="str">
        <f t="shared" ca="1" si="66"/>
        <v/>
      </c>
      <c r="W336" s="37" t="s">
        <v>2</v>
      </c>
    </row>
    <row r="337" spans="1:24">
      <c r="A337" s="36"/>
      <c r="C337" s="25"/>
      <c r="D337" s="41" t="str">
        <f t="shared" si="60"/>
        <v xml:space="preserve">{"id": </v>
      </c>
      <c r="E337" s="26">
        <f t="shared" si="67"/>
        <v>334</v>
      </c>
      <c r="F337" s="41" t="str">
        <f t="shared" si="68"/>
        <v>, "group":</v>
      </c>
      <c r="G337" s="111" t="str">
        <f ca="1">CHAR(34)&amp;INDIRECT("Dashboard!A"&amp;(ROW()-1)/3+3)&amp;CHAR(34)</f>
        <v>"15.5"</v>
      </c>
      <c r="H337" s="41" t="str">
        <f t="shared" si="69"/>
        <v>, "subgroup": "</v>
      </c>
      <c r="I337" s="41" t="s">
        <v>396</v>
      </c>
      <c r="J337" s="41" t="str">
        <f t="shared" si="61"/>
        <v>", "subgroupOrder":</v>
      </c>
      <c r="K337" s="41">
        <v>1</v>
      </c>
      <c r="L337" s="41" t="str">
        <f t="shared" si="62"/>
        <v>, "className": "</v>
      </c>
      <c r="M337" s="26" t="str">
        <f t="shared" si="59"/>
        <v>gray</v>
      </c>
      <c r="N337" s="41" t="str">
        <f t="shared" si="63"/>
        <v>", "content": "</v>
      </c>
      <c r="O337" s="40" t="s">
        <v>388</v>
      </c>
      <c r="P337" s="41" t="str">
        <f t="shared" si="64"/>
        <v>", "start": "</v>
      </c>
      <c r="Q337" s="42">
        <f ca="1">IF(INDIRECT("Dashboard!I"&amp;(ROW()-1)/3+3)="","",INDIRECT("Dashboard!I"&amp;(ROW()-1)/3+3))</f>
        <v>45566</v>
      </c>
      <c r="R337" s="41" t="str">
        <f t="shared" si="65"/>
        <v>", "end": "</v>
      </c>
      <c r="S337" s="42">
        <f ca="1">IF(INDIRECT("Dashboard!J"&amp;(ROW()-1)/3+3)="","",INDIRECT("Dashboard!J"&amp;(ROW()-1)/3+3))</f>
        <v>45657</v>
      </c>
      <c r="T337" s="118" t="str">
        <f ca="1">IF(C341="]);",LEFT(T336,2),T336)</f>
        <v>"},</v>
      </c>
      <c r="V337" s="32" t="str">
        <f t="shared" ca="1" si="66"/>
        <v>{"id": 334, "group":"15.5", "subgroup": "plan", "subgroupOrder":1, "className": "gray", "content": "Planned", "start": "2024-10-01", "end": "2024-12-31"},</v>
      </c>
      <c r="W337" s="37" t="s">
        <v>2</v>
      </c>
    </row>
    <row r="338" spans="1:24">
      <c r="A338" s="36"/>
      <c r="C338" s="31" t="str">
        <f ca="1">IF(AND(Q338="", S338=""),"//","")</f>
        <v>//</v>
      </c>
      <c r="D338" s="37" t="str">
        <f t="shared" si="60"/>
        <v xml:space="preserve">{"id": </v>
      </c>
      <c r="E338" s="32">
        <f t="shared" si="67"/>
        <v>335</v>
      </c>
      <c r="F338" s="37" t="str">
        <f t="shared" si="68"/>
        <v>, "group":</v>
      </c>
      <c r="G338" s="37" t="str">
        <f ca="1">G337</f>
        <v>"15.5"</v>
      </c>
      <c r="H338" s="37" t="str">
        <f t="shared" si="69"/>
        <v>, "subgroup": "</v>
      </c>
      <c r="I338" s="37" t="s">
        <v>397</v>
      </c>
      <c r="J338" s="37" t="str">
        <f t="shared" si="61"/>
        <v>", "subgroupOrder":</v>
      </c>
      <c r="K338" s="37">
        <v>0</v>
      </c>
      <c r="L338" s="37" t="str">
        <f t="shared" si="62"/>
        <v>, "className": "</v>
      </c>
      <c r="M338" s="32" t="str">
        <f t="shared" ca="1" si="59"/>
        <v>pink-white</v>
      </c>
      <c r="N338" s="37" t="str">
        <f t="shared" si="63"/>
        <v>", "content": "</v>
      </c>
      <c r="O338" s="34" t="str">
        <f ca="1">IF(INDIRECT("Dashboard!P"&amp;((ROW()+1)/3+2))=1,"Completed",IF(INDIRECT("Dashboard!P"&amp;((ROW()+1)/3+2))="","","Pending"))</f>
        <v>Pending</v>
      </c>
      <c r="P338" s="37" t="str">
        <f t="shared" si="64"/>
        <v>", "start": "</v>
      </c>
      <c r="Q338" s="38" t="str">
        <f ca="1">IF(INDIRECT("Dashboard!K"&amp;((ROW()+1)/3+2))="","",INDIRECT("Dashboard!K"&amp;((ROW()+1)/3+2)))</f>
        <v/>
      </c>
      <c r="R338" s="37" t="str">
        <f t="shared" si="65"/>
        <v>", "end": "</v>
      </c>
      <c r="S338" s="38" t="str">
        <f ca="1">IF(INDIRECT("Dashboard!L"&amp;((ROW()+1)/3+2))="","",INDIRECT("Dashboard!L"&amp;((ROW()+1)/3+2)))</f>
        <v/>
      </c>
      <c r="T338" s="116" t="str">
        <f ca="1">IF(C341="]);",LEFT(T337,2),T337)</f>
        <v>"},</v>
      </c>
      <c r="V338" s="32" t="str">
        <f t="shared" ca="1" si="66"/>
        <v/>
      </c>
      <c r="W338" s="37" t="s">
        <v>2</v>
      </c>
      <c r="X338" s="32" t="str">
        <f ca="1">G338&amp;" : "&amp;INDIRECT("Dashboard!G"&amp;((ROW()+1)/3+2))</f>
        <v>"15.5" : Product usage guide with examples for all the functional usecases</v>
      </c>
    </row>
    <row r="339" spans="1:24" ht="15" thickBot="1">
      <c r="A339" s="36"/>
      <c r="C339" s="28" t="str">
        <f ca="1">IF(OR(INDIRECT("Dashboard!B"&amp;(ROW()/3+2))&lt;&gt;"&gt;",AND(Q339="",S339="")),"//","")</f>
        <v>//</v>
      </c>
      <c r="D339" s="43" t="str">
        <f t="shared" si="60"/>
        <v xml:space="preserve">{"id": </v>
      </c>
      <c r="E339" s="29">
        <f t="shared" si="67"/>
        <v>336</v>
      </c>
      <c r="F339" s="43" t="str">
        <f t="shared" si="68"/>
        <v>, "group":</v>
      </c>
      <c r="G339" s="43" t="str">
        <f ca="1">G338</f>
        <v>"15.5"</v>
      </c>
      <c r="H339" s="43" t="str">
        <f t="shared" si="69"/>
        <v>, "subgroup": "</v>
      </c>
      <c r="I339" s="43" t="s">
        <v>397</v>
      </c>
      <c r="J339" s="43" t="str">
        <f t="shared" si="61"/>
        <v>", "subgroupOrder":</v>
      </c>
      <c r="K339" s="43">
        <v>0</v>
      </c>
      <c r="L339" s="43" t="str">
        <f t="shared" si="62"/>
        <v>, "className": "</v>
      </c>
      <c r="M339" s="29" t="str">
        <f t="shared" si="59"/>
        <v>orange</v>
      </c>
      <c r="N339" s="43" t="str">
        <f t="shared" si="63"/>
        <v>", "content": "</v>
      </c>
      <c r="O339" s="49" t="s">
        <v>392</v>
      </c>
      <c r="P339" s="43" t="str">
        <f t="shared" si="64"/>
        <v>", "start": "</v>
      </c>
      <c r="Q339" s="44" t="str">
        <f ca="1">S338</f>
        <v/>
      </c>
      <c r="R339" s="43" t="str">
        <f t="shared" si="65"/>
        <v>", "end": "</v>
      </c>
      <c r="S339" s="113" t="str">
        <f ca="1">IF(INDIRECT("Dashboard!M"&amp;(ROW()/3+2))="","",INDIRECT("Dashboard!M"&amp;(ROW()/3+2)))</f>
        <v/>
      </c>
      <c r="T339" s="117" t="str">
        <f ca="1">IF(C341="]);",LEFT(T338,2),T338)</f>
        <v>"},</v>
      </c>
      <c r="V339" s="32" t="str">
        <f t="shared" ca="1" si="66"/>
        <v/>
      </c>
      <c r="W339" s="37" t="s">
        <v>2</v>
      </c>
    </row>
    <row r="340" spans="1:24">
      <c r="A340" s="36"/>
      <c r="C340" s="25"/>
      <c r="D340" s="41" t="str">
        <f t="shared" si="60"/>
        <v xml:space="preserve">{"id": </v>
      </c>
      <c r="E340" s="26">
        <f t="shared" si="67"/>
        <v>337</v>
      </c>
      <c r="F340" s="41" t="str">
        <f t="shared" si="68"/>
        <v>, "group":</v>
      </c>
      <c r="G340" s="111" t="str">
        <f ca="1">CHAR(34)&amp;INDIRECT("Dashboard!A"&amp;(ROW()-1)/3+3)&amp;CHAR(34)</f>
        <v>"15.6"</v>
      </c>
      <c r="H340" s="41" t="str">
        <f t="shared" si="69"/>
        <v>, "subgroup": "</v>
      </c>
      <c r="I340" s="41" t="s">
        <v>396</v>
      </c>
      <c r="J340" s="41" t="str">
        <f t="shared" si="61"/>
        <v>", "subgroupOrder":</v>
      </c>
      <c r="K340" s="41">
        <v>1</v>
      </c>
      <c r="L340" s="41" t="str">
        <f t="shared" si="62"/>
        <v>, "className": "</v>
      </c>
      <c r="M340" s="26" t="str">
        <f t="shared" si="59"/>
        <v>gray</v>
      </c>
      <c r="N340" s="41" t="str">
        <f t="shared" si="63"/>
        <v>", "content": "</v>
      </c>
      <c r="O340" s="40" t="s">
        <v>388</v>
      </c>
      <c r="P340" s="41" t="str">
        <f t="shared" si="64"/>
        <v>", "start": "</v>
      </c>
      <c r="Q340" s="42">
        <f ca="1">IF(INDIRECT("Dashboard!I"&amp;(ROW()-1)/3+3)="","",INDIRECT("Dashboard!I"&amp;(ROW()-1)/3+3))</f>
        <v>45566</v>
      </c>
      <c r="R340" s="41" t="str">
        <f t="shared" si="65"/>
        <v>", "end": "</v>
      </c>
      <c r="S340" s="42">
        <f ca="1">IF(INDIRECT("Dashboard!J"&amp;(ROW()-1)/3+3)="","",INDIRECT("Dashboard!J"&amp;(ROW()-1)/3+3))</f>
        <v>45657</v>
      </c>
      <c r="T340" s="118" t="str">
        <f ca="1">IF(C344="]);",LEFT(T339,2),T339)</f>
        <v>"},</v>
      </c>
      <c r="V340" s="32" t="str">
        <f t="shared" ca="1" si="66"/>
        <v>{"id": 337, "group":"15.6", "subgroup": "plan", "subgroupOrder":1, "className": "gray", "content": "Planned", "start": "2024-10-01", "end": "2024-12-31"},</v>
      </c>
      <c r="W340" s="37" t="s">
        <v>2</v>
      </c>
    </row>
    <row r="341" spans="1:24">
      <c r="A341" s="36"/>
      <c r="C341" s="31" t="str">
        <f ca="1">IF(AND(Q341="", S341=""),"//","")</f>
        <v>//</v>
      </c>
      <c r="D341" s="37" t="str">
        <f t="shared" si="60"/>
        <v xml:space="preserve">{"id": </v>
      </c>
      <c r="E341" s="32">
        <f t="shared" si="67"/>
        <v>338</v>
      </c>
      <c r="F341" s="37" t="str">
        <f t="shared" si="68"/>
        <v>, "group":</v>
      </c>
      <c r="G341" s="37" t="str">
        <f ca="1">G340</f>
        <v>"15.6"</v>
      </c>
      <c r="H341" s="37" t="str">
        <f t="shared" si="69"/>
        <v>, "subgroup": "</v>
      </c>
      <c r="I341" s="37" t="s">
        <v>397</v>
      </c>
      <c r="J341" s="37" t="str">
        <f t="shared" si="61"/>
        <v>", "subgroupOrder":</v>
      </c>
      <c r="K341" s="37">
        <v>0</v>
      </c>
      <c r="L341" s="37" t="str">
        <f t="shared" si="62"/>
        <v>, "className": "</v>
      </c>
      <c r="M341" s="32" t="str">
        <f t="shared" ca="1" si="59"/>
        <v>pink-white</v>
      </c>
      <c r="N341" s="37" t="str">
        <f t="shared" si="63"/>
        <v>", "content": "</v>
      </c>
      <c r="O341" s="34" t="str">
        <f ca="1">IF(INDIRECT("Dashboard!P"&amp;((ROW()+1)/3+2))=1,"Completed",IF(INDIRECT("Dashboard!P"&amp;((ROW()+1)/3+2))="","","Pending"))</f>
        <v>Pending</v>
      </c>
      <c r="P341" s="37" t="str">
        <f t="shared" si="64"/>
        <v>", "start": "</v>
      </c>
      <c r="Q341" s="38" t="str">
        <f ca="1">IF(INDIRECT("Dashboard!K"&amp;((ROW()+1)/3+2))="","",INDIRECT("Dashboard!K"&amp;((ROW()+1)/3+2)))</f>
        <v/>
      </c>
      <c r="R341" s="37" t="str">
        <f t="shared" si="65"/>
        <v>", "end": "</v>
      </c>
      <c r="S341" s="38" t="str">
        <f ca="1">IF(INDIRECT("Dashboard!L"&amp;((ROW()+1)/3+2))="","",INDIRECT("Dashboard!L"&amp;((ROW()+1)/3+2)))</f>
        <v/>
      </c>
      <c r="T341" s="116" t="str">
        <f ca="1">IF(C344="]);",LEFT(T340,2),T340)</f>
        <v>"},</v>
      </c>
      <c r="V341" s="32" t="str">
        <f t="shared" ca="1" si="66"/>
        <v/>
      </c>
      <c r="W341" s="37" t="s">
        <v>2</v>
      </c>
      <c r="X341" s="32" t="str">
        <f ca="1">G341&amp;" : "&amp;INDIRECT("Dashboard!G"&amp;((ROW()+1)/3+2))</f>
        <v xml:space="preserve">"15.6" : Test report </v>
      </c>
    </row>
    <row r="342" spans="1:24" ht="15" thickBot="1">
      <c r="A342" s="36"/>
      <c r="C342" s="28" t="str">
        <f ca="1">IF(OR(INDIRECT("Dashboard!B"&amp;(ROW()/3+2))&lt;&gt;"&gt;",AND(Q342="",S342="")),"//","")</f>
        <v>//</v>
      </c>
      <c r="D342" s="43" t="str">
        <f t="shared" si="60"/>
        <v xml:space="preserve">{"id": </v>
      </c>
      <c r="E342" s="29">
        <f t="shared" si="67"/>
        <v>339</v>
      </c>
      <c r="F342" s="43" t="str">
        <f t="shared" si="68"/>
        <v>, "group":</v>
      </c>
      <c r="G342" s="43" t="str">
        <f ca="1">G341</f>
        <v>"15.6"</v>
      </c>
      <c r="H342" s="43" t="str">
        <f t="shared" si="69"/>
        <v>, "subgroup": "</v>
      </c>
      <c r="I342" s="43" t="s">
        <v>397</v>
      </c>
      <c r="J342" s="43" t="str">
        <f t="shared" si="61"/>
        <v>", "subgroupOrder":</v>
      </c>
      <c r="K342" s="43">
        <v>0</v>
      </c>
      <c r="L342" s="43" t="str">
        <f t="shared" si="62"/>
        <v>, "className": "</v>
      </c>
      <c r="M342" s="29" t="str">
        <f t="shared" si="59"/>
        <v>orange</v>
      </c>
      <c r="N342" s="43" t="str">
        <f t="shared" si="63"/>
        <v>", "content": "</v>
      </c>
      <c r="O342" s="49" t="s">
        <v>392</v>
      </c>
      <c r="P342" s="43" t="str">
        <f t="shared" si="64"/>
        <v>", "start": "</v>
      </c>
      <c r="Q342" s="44" t="str">
        <f ca="1">S341</f>
        <v/>
      </c>
      <c r="R342" s="43" t="str">
        <f t="shared" si="65"/>
        <v>", "end": "</v>
      </c>
      <c r="S342" s="113" t="str">
        <f ca="1">IF(INDIRECT("Dashboard!M"&amp;(ROW()/3+2))="","",INDIRECT("Dashboard!M"&amp;(ROW()/3+2)))</f>
        <v/>
      </c>
      <c r="T342" s="117" t="str">
        <f ca="1">IF(C344="]);",LEFT(T341,2),T341)</f>
        <v>"},</v>
      </c>
      <c r="V342" s="32" t="str">
        <f t="shared" ca="1" si="66"/>
        <v/>
      </c>
      <c r="W342" s="37" t="s">
        <v>2</v>
      </c>
    </row>
    <row r="343" spans="1:24">
      <c r="A343" s="36"/>
      <c r="C343" s="25"/>
      <c r="D343" s="41" t="str">
        <f t="shared" si="60"/>
        <v xml:space="preserve">{"id": </v>
      </c>
      <c r="E343" s="26">
        <f t="shared" si="67"/>
        <v>340</v>
      </c>
      <c r="F343" s="41" t="str">
        <f t="shared" si="68"/>
        <v>, "group":</v>
      </c>
      <c r="G343" s="111" t="str">
        <f ca="1">CHAR(34)&amp;INDIRECT("Dashboard!A"&amp;(ROW()-1)/3+3)&amp;CHAR(34)</f>
        <v>"16"</v>
      </c>
      <c r="H343" s="41" t="str">
        <f t="shared" si="69"/>
        <v>, "subgroup": "</v>
      </c>
      <c r="I343" s="41" t="s">
        <v>396</v>
      </c>
      <c r="J343" s="41" t="str">
        <f t="shared" si="61"/>
        <v>", "subgroupOrder":</v>
      </c>
      <c r="K343" s="41">
        <v>1</v>
      </c>
      <c r="L343" s="41" t="str">
        <f t="shared" si="62"/>
        <v>, "className": "</v>
      </c>
      <c r="M343" s="26" t="str">
        <f t="shared" si="59"/>
        <v>gray</v>
      </c>
      <c r="N343" s="41" t="str">
        <f t="shared" si="63"/>
        <v>", "content": "</v>
      </c>
      <c r="O343" s="40" t="s">
        <v>388</v>
      </c>
      <c r="P343" s="41" t="str">
        <f t="shared" si="64"/>
        <v>", "start": "</v>
      </c>
      <c r="Q343" s="42">
        <f ca="1">IF(INDIRECT("Dashboard!I"&amp;(ROW()-1)/3+3)="","",INDIRECT("Dashboard!I"&amp;(ROW()-1)/3+3))</f>
        <v>45659</v>
      </c>
      <c r="R343" s="41" t="str">
        <f t="shared" si="65"/>
        <v>", "end": "</v>
      </c>
      <c r="S343" s="42">
        <f ca="1">IF(INDIRECT("Dashboard!J"&amp;(ROW()-1)/3+3)="","",INDIRECT("Dashboard!J"&amp;(ROW()-1)/3+3))</f>
        <v>45747</v>
      </c>
      <c r="T343" s="118" t="str">
        <f ca="1">IF(C347="]);",LEFT(T342,2),T342)</f>
        <v>"},</v>
      </c>
      <c r="V343" s="32" t="str">
        <f t="shared" ca="1" si="66"/>
        <v>{"id": 340, "group":"16", "subgroup": "plan", "subgroupOrder":1, "className": "gray", "content": "Planned", "start": "2025-01-02", "end": "2025-03-31"},</v>
      </c>
      <c r="W343" s="37" t="s">
        <v>2</v>
      </c>
    </row>
    <row r="344" spans="1:24">
      <c r="A344" s="36"/>
      <c r="C344" s="31" t="str">
        <f ca="1">IF(AND(Q344="", S344=""),"//","")</f>
        <v>//</v>
      </c>
      <c r="D344" s="37" t="str">
        <f t="shared" si="60"/>
        <v xml:space="preserve">{"id": </v>
      </c>
      <c r="E344" s="32">
        <f t="shared" si="67"/>
        <v>341</v>
      </c>
      <c r="F344" s="37" t="str">
        <f t="shared" si="68"/>
        <v>, "group":</v>
      </c>
      <c r="G344" s="37" t="str">
        <f ca="1">G343</f>
        <v>"16"</v>
      </c>
      <c r="H344" s="37" t="str">
        <f t="shared" si="69"/>
        <v>, "subgroup": "</v>
      </c>
      <c r="I344" s="37" t="s">
        <v>397</v>
      </c>
      <c r="J344" s="37" t="str">
        <f t="shared" si="61"/>
        <v>", "subgroupOrder":</v>
      </c>
      <c r="K344" s="37">
        <v>0</v>
      </c>
      <c r="L344" s="37" t="str">
        <f t="shared" si="62"/>
        <v>, "className": "</v>
      </c>
      <c r="M344" s="32" t="str">
        <f t="shared" ca="1" si="59"/>
        <v>pink-white</v>
      </c>
      <c r="N344" s="37" t="str">
        <f t="shared" si="63"/>
        <v>", "content": "</v>
      </c>
      <c r="O344" s="34" t="str">
        <f ca="1">IF(INDIRECT("Dashboard!P"&amp;((ROW()+1)/3+2))=1,"Completed",IF(INDIRECT("Dashboard!P"&amp;((ROW()+1)/3+2))="","","Pending"))</f>
        <v>Pending</v>
      </c>
      <c r="P344" s="37" t="str">
        <f t="shared" si="64"/>
        <v>", "start": "</v>
      </c>
      <c r="Q344" s="38" t="str">
        <f ca="1">IF(INDIRECT("Dashboard!K"&amp;((ROW()+1)/3+2))="","",INDIRECT("Dashboard!K"&amp;((ROW()+1)/3+2)))</f>
        <v/>
      </c>
      <c r="R344" s="37" t="str">
        <f t="shared" si="65"/>
        <v>", "end": "</v>
      </c>
      <c r="S344" s="38" t="str">
        <f ca="1">IF(INDIRECT("Dashboard!L"&amp;((ROW()+1)/3+2))="","",INDIRECT("Dashboard!L"&amp;((ROW()+1)/3+2)))</f>
        <v/>
      </c>
      <c r="T344" s="116" t="str">
        <f ca="1">IF(C347="]);",LEFT(T343,2),T343)</f>
        <v>"},</v>
      </c>
      <c r="V344" s="32" t="str">
        <f t="shared" ca="1" si="66"/>
        <v/>
      </c>
      <c r="W344" s="37" t="s">
        <v>2</v>
      </c>
      <c r="X344" s="32" t="str">
        <f ca="1">G344&amp;" : "&amp;INDIRECT("Dashboard!G"&amp;((ROW()+1)/3+2))</f>
        <v>"16" : M15. Decision Engine - Usecase 2</v>
      </c>
    </row>
    <row r="345" spans="1:24" ht="15" thickBot="1">
      <c r="A345" s="36"/>
      <c r="C345" s="28" t="str">
        <f ca="1">IF(OR(INDIRECT("Dashboard!B"&amp;(ROW()/3+2))&lt;&gt;"&gt;",AND(Q345="",S345="")),"//","")</f>
        <v>//</v>
      </c>
      <c r="D345" s="43" t="str">
        <f t="shared" si="60"/>
        <v xml:space="preserve">{"id": </v>
      </c>
      <c r="E345" s="29">
        <f t="shared" si="67"/>
        <v>342</v>
      </c>
      <c r="F345" s="43" t="str">
        <f t="shared" si="68"/>
        <v>, "group":</v>
      </c>
      <c r="G345" s="43" t="str">
        <f ca="1">G344</f>
        <v>"16"</v>
      </c>
      <c r="H345" s="43" t="str">
        <f t="shared" si="69"/>
        <v>, "subgroup": "</v>
      </c>
      <c r="I345" s="43" t="s">
        <v>397</v>
      </c>
      <c r="J345" s="43" t="str">
        <f t="shared" si="61"/>
        <v>", "subgroupOrder":</v>
      </c>
      <c r="K345" s="43">
        <v>0</v>
      </c>
      <c r="L345" s="43" t="str">
        <f t="shared" si="62"/>
        <v>, "className": "</v>
      </c>
      <c r="M345" s="29" t="str">
        <f t="shared" si="59"/>
        <v>orange</v>
      </c>
      <c r="N345" s="43" t="str">
        <f t="shared" si="63"/>
        <v>", "content": "</v>
      </c>
      <c r="O345" s="49" t="s">
        <v>392</v>
      </c>
      <c r="P345" s="43" t="str">
        <f t="shared" si="64"/>
        <v>", "start": "</v>
      </c>
      <c r="Q345" s="44" t="str">
        <f ca="1">S344</f>
        <v/>
      </c>
      <c r="R345" s="43" t="str">
        <f t="shared" si="65"/>
        <v>", "end": "</v>
      </c>
      <c r="S345" s="113" t="str">
        <f ca="1">IF(INDIRECT("Dashboard!M"&amp;(ROW()/3+2))="","",INDIRECT("Dashboard!M"&amp;(ROW()/3+2)))</f>
        <v/>
      </c>
      <c r="T345" s="117" t="str">
        <f ca="1">IF(C347="]);",LEFT(T344,2),T344)</f>
        <v>"},</v>
      </c>
      <c r="V345" s="32" t="str">
        <f t="shared" ca="1" si="66"/>
        <v/>
      </c>
      <c r="W345" s="37" t="s">
        <v>2</v>
      </c>
    </row>
    <row r="346" spans="1:24">
      <c r="A346" s="36"/>
      <c r="C346" s="25"/>
      <c r="D346" s="41" t="str">
        <f t="shared" si="60"/>
        <v xml:space="preserve">{"id": </v>
      </c>
      <c r="E346" s="26">
        <f t="shared" si="67"/>
        <v>343</v>
      </c>
      <c r="F346" s="41" t="str">
        <f t="shared" si="68"/>
        <v>, "group":</v>
      </c>
      <c r="G346" s="111" t="str">
        <f ca="1">CHAR(34)&amp;INDIRECT("Dashboard!A"&amp;(ROW()-1)/3+3)&amp;CHAR(34)</f>
        <v>"16.1"</v>
      </c>
      <c r="H346" s="41" t="str">
        <f t="shared" si="69"/>
        <v>, "subgroup": "</v>
      </c>
      <c r="I346" s="41" t="s">
        <v>396</v>
      </c>
      <c r="J346" s="41" t="str">
        <f t="shared" si="61"/>
        <v>", "subgroupOrder":</v>
      </c>
      <c r="K346" s="41">
        <v>1</v>
      </c>
      <c r="L346" s="41" t="str">
        <f t="shared" si="62"/>
        <v>, "className": "</v>
      </c>
      <c r="M346" s="26" t="str">
        <f t="shared" si="59"/>
        <v>gray</v>
      </c>
      <c r="N346" s="41" t="str">
        <f t="shared" si="63"/>
        <v>", "content": "</v>
      </c>
      <c r="O346" s="40" t="s">
        <v>388</v>
      </c>
      <c r="P346" s="41" t="str">
        <f t="shared" si="64"/>
        <v>", "start": "</v>
      </c>
      <c r="Q346" s="42" t="str">
        <f ca="1">IF(INDIRECT("Dashboard!I"&amp;(ROW()-1)/3+3)="","",INDIRECT("Dashboard!I"&amp;(ROW()-1)/3+3))</f>
        <v/>
      </c>
      <c r="R346" s="41" t="str">
        <f t="shared" si="65"/>
        <v>", "end": "</v>
      </c>
      <c r="S346" s="42" t="str">
        <f ca="1">IF(INDIRECT("Dashboard!J"&amp;(ROW()-1)/3+3)="","",INDIRECT("Dashboard!J"&amp;(ROW()-1)/3+3))</f>
        <v/>
      </c>
      <c r="T346" s="118" t="str">
        <f ca="1">IF(C350="]);",LEFT(T345,2),T345)</f>
        <v>"},</v>
      </c>
      <c r="V346" s="32" t="str">
        <f t="shared" ca="1" si="66"/>
        <v>{"id": 343, "group":"16.1", "subgroup": "plan", "subgroupOrder":1, "className": "gray", "content": "Planned", "start": "", "end": ""},</v>
      </c>
      <c r="W346" s="37" t="s">
        <v>2</v>
      </c>
    </row>
    <row r="347" spans="1:24">
      <c r="A347" s="36"/>
      <c r="C347" s="31" t="str">
        <f ca="1">IF(AND(Q347="", S347=""),"//","")</f>
        <v>//</v>
      </c>
      <c r="D347" s="37" t="str">
        <f t="shared" si="60"/>
        <v xml:space="preserve">{"id": </v>
      </c>
      <c r="E347" s="32">
        <f t="shared" si="67"/>
        <v>344</v>
      </c>
      <c r="F347" s="37" t="str">
        <f t="shared" si="68"/>
        <v>, "group":</v>
      </c>
      <c r="G347" s="37" t="str">
        <f ca="1">G346</f>
        <v>"16.1"</v>
      </c>
      <c r="H347" s="37" t="str">
        <f t="shared" si="69"/>
        <v>, "subgroup": "</v>
      </c>
      <c r="I347" s="37" t="s">
        <v>397</v>
      </c>
      <c r="J347" s="37" t="str">
        <f t="shared" si="61"/>
        <v>", "subgroupOrder":</v>
      </c>
      <c r="K347" s="37">
        <v>0</v>
      </c>
      <c r="L347" s="37" t="str">
        <f t="shared" si="62"/>
        <v>, "className": "</v>
      </c>
      <c r="M347" s="32" t="str">
        <f t="shared" ca="1" si="59"/>
        <v/>
      </c>
      <c r="N347" s="37" t="str">
        <f t="shared" si="63"/>
        <v>", "content": "</v>
      </c>
      <c r="O347" s="34" t="str">
        <f ca="1">IF(INDIRECT("Dashboard!P"&amp;((ROW()+1)/3+2))=1,"Completed",IF(INDIRECT("Dashboard!P"&amp;((ROW()+1)/3+2))="","","Pending"))</f>
        <v/>
      </c>
      <c r="P347" s="37" t="str">
        <f t="shared" si="64"/>
        <v>", "start": "</v>
      </c>
      <c r="Q347" s="38" t="str">
        <f ca="1">IF(INDIRECT("Dashboard!K"&amp;((ROW()+1)/3+2))="","",INDIRECT("Dashboard!K"&amp;((ROW()+1)/3+2)))</f>
        <v/>
      </c>
      <c r="R347" s="37" t="str">
        <f t="shared" si="65"/>
        <v>", "end": "</v>
      </c>
      <c r="S347" s="38" t="str">
        <f ca="1">IF(INDIRECT("Dashboard!L"&amp;((ROW()+1)/3+2))="","",INDIRECT("Dashboard!L"&amp;((ROW()+1)/3+2)))</f>
        <v/>
      </c>
      <c r="T347" s="116" t="str">
        <f ca="1">IF(C350="]);",LEFT(T346,2),T346)</f>
        <v>"},</v>
      </c>
      <c r="V347" s="32" t="str">
        <f t="shared" ca="1" si="66"/>
        <v/>
      </c>
      <c r="W347" s="37" t="s">
        <v>2</v>
      </c>
      <c r="X347" s="32" t="str">
        <f ca="1">G347&amp;" : "&amp;INDIRECT("Dashboard!G"&amp;((ROW()+1)/3+2))</f>
        <v>"16.1" : Note : Use case to be evaluated based on research basis in the area of smart home and smart grid &amp; smart factory applications</v>
      </c>
    </row>
    <row r="348" spans="1:24" ht="15" thickBot="1">
      <c r="A348" s="36"/>
      <c r="C348" s="28" t="str">
        <f ca="1">IF(OR(INDIRECT("Dashboard!B"&amp;(ROW()/3+2))&lt;&gt;"&gt;",AND(Q348="",S348="")),"//","")</f>
        <v>//</v>
      </c>
      <c r="D348" s="43" t="str">
        <f t="shared" si="60"/>
        <v xml:space="preserve">{"id": </v>
      </c>
      <c r="E348" s="29">
        <f t="shared" si="67"/>
        <v>345</v>
      </c>
      <c r="F348" s="43" t="str">
        <f t="shared" si="68"/>
        <v>, "group":</v>
      </c>
      <c r="G348" s="43" t="str">
        <f ca="1">G347</f>
        <v>"16.1"</v>
      </c>
      <c r="H348" s="43" t="str">
        <f t="shared" si="69"/>
        <v>, "subgroup": "</v>
      </c>
      <c r="I348" s="43" t="s">
        <v>397</v>
      </c>
      <c r="J348" s="43" t="str">
        <f t="shared" si="61"/>
        <v>", "subgroupOrder":</v>
      </c>
      <c r="K348" s="43">
        <v>0</v>
      </c>
      <c r="L348" s="43" t="str">
        <f t="shared" si="62"/>
        <v>, "className": "</v>
      </c>
      <c r="M348" s="29" t="str">
        <f t="shared" si="59"/>
        <v>orange</v>
      </c>
      <c r="N348" s="43" t="str">
        <f t="shared" si="63"/>
        <v>", "content": "</v>
      </c>
      <c r="O348" s="49" t="s">
        <v>392</v>
      </c>
      <c r="P348" s="43" t="str">
        <f t="shared" si="64"/>
        <v>", "start": "</v>
      </c>
      <c r="Q348" s="44" t="str">
        <f ca="1">S347</f>
        <v/>
      </c>
      <c r="R348" s="43" t="str">
        <f t="shared" si="65"/>
        <v>", "end": "</v>
      </c>
      <c r="S348" s="113" t="str">
        <f ca="1">IF(INDIRECT("Dashboard!M"&amp;(ROW()/3+2))="","",INDIRECT("Dashboard!M"&amp;(ROW()/3+2)))</f>
        <v/>
      </c>
      <c r="T348" s="117" t="str">
        <f ca="1">IF(C350="]);",LEFT(T347,2),T347)</f>
        <v>"},</v>
      </c>
      <c r="V348" s="32" t="str">
        <f t="shared" ca="1" si="66"/>
        <v/>
      </c>
      <c r="W348" s="37" t="s">
        <v>2</v>
      </c>
    </row>
    <row r="349" spans="1:24">
      <c r="A349" s="36"/>
      <c r="C349" s="25"/>
      <c r="D349" s="41" t="str">
        <f t="shared" si="60"/>
        <v xml:space="preserve">{"id": </v>
      </c>
      <c r="E349" s="26">
        <f t="shared" si="67"/>
        <v>346</v>
      </c>
      <c r="F349" s="41" t="str">
        <f t="shared" si="68"/>
        <v>, "group":</v>
      </c>
      <c r="G349" s="111" t="str">
        <f ca="1">CHAR(34)&amp;INDIRECT("Dashboard!A"&amp;(ROW()-1)/3+3)&amp;CHAR(34)</f>
        <v>"16.2"</v>
      </c>
      <c r="H349" s="41" t="str">
        <f t="shared" si="69"/>
        <v>, "subgroup": "</v>
      </c>
      <c r="I349" s="41" t="s">
        <v>396</v>
      </c>
      <c r="J349" s="41" t="str">
        <f t="shared" si="61"/>
        <v>", "subgroupOrder":</v>
      </c>
      <c r="K349" s="41">
        <v>1</v>
      </c>
      <c r="L349" s="41" t="str">
        <f t="shared" si="62"/>
        <v>, "className": "</v>
      </c>
      <c r="M349" s="26" t="str">
        <f t="shared" si="59"/>
        <v>gray</v>
      </c>
      <c r="N349" s="41" t="str">
        <f t="shared" si="63"/>
        <v>", "content": "</v>
      </c>
      <c r="O349" s="40" t="s">
        <v>388</v>
      </c>
      <c r="P349" s="41" t="str">
        <f t="shared" si="64"/>
        <v>", "start": "</v>
      </c>
      <c r="Q349" s="42">
        <f ca="1">IF(INDIRECT("Dashboard!I"&amp;(ROW()-1)/3+3)="","",INDIRECT("Dashboard!I"&amp;(ROW()-1)/3+3))</f>
        <v>45659</v>
      </c>
      <c r="R349" s="41" t="str">
        <f t="shared" si="65"/>
        <v>", "end": "</v>
      </c>
      <c r="S349" s="42">
        <f ca="1">IF(INDIRECT("Dashboard!J"&amp;(ROW()-1)/3+3)="","",INDIRECT("Dashboard!J"&amp;(ROW()-1)/3+3))</f>
        <v>45747</v>
      </c>
      <c r="T349" s="118" t="str">
        <f ca="1">IF(C353="]);",LEFT(T348,2),T348)</f>
        <v>"},</v>
      </c>
      <c r="V349" s="32" t="str">
        <f t="shared" ca="1" si="66"/>
        <v>{"id": 346, "group":"16.2", "subgroup": "plan", "subgroupOrder":1, "className": "gray", "content": "Planned", "start": "2025-01-02", "end": "2025-03-31"},</v>
      </c>
      <c r="W349" s="37" t="s">
        <v>2</v>
      </c>
    </row>
    <row r="350" spans="1:24">
      <c r="A350" s="36"/>
      <c r="C350" s="31" t="str">
        <f ca="1">IF(AND(Q350="", S350=""),"//","")</f>
        <v>//</v>
      </c>
      <c r="D350" s="37" t="str">
        <f t="shared" si="60"/>
        <v xml:space="preserve">{"id": </v>
      </c>
      <c r="E350" s="32">
        <f t="shared" si="67"/>
        <v>347</v>
      </c>
      <c r="F350" s="37" t="str">
        <f t="shared" si="68"/>
        <v>, "group":</v>
      </c>
      <c r="G350" s="37" t="str">
        <f ca="1">G349</f>
        <v>"16.2"</v>
      </c>
      <c r="H350" s="37" t="str">
        <f t="shared" si="69"/>
        <v>, "subgroup": "</v>
      </c>
      <c r="I350" s="37" t="s">
        <v>397</v>
      </c>
      <c r="J350" s="37" t="str">
        <f t="shared" si="61"/>
        <v>", "subgroupOrder":</v>
      </c>
      <c r="K350" s="37">
        <v>0</v>
      </c>
      <c r="L350" s="37" t="str">
        <f t="shared" si="62"/>
        <v>, "className": "</v>
      </c>
      <c r="M350" s="32" t="str">
        <f t="shared" ca="1" si="59"/>
        <v>pink-white</v>
      </c>
      <c r="N350" s="37" t="str">
        <f t="shared" si="63"/>
        <v>", "content": "</v>
      </c>
      <c r="O350" s="34" t="str">
        <f ca="1">IF(INDIRECT("Dashboard!P"&amp;((ROW()+1)/3+2))=1,"Completed",IF(INDIRECT("Dashboard!P"&amp;((ROW()+1)/3+2))="","","Pending"))</f>
        <v>Pending</v>
      </c>
      <c r="P350" s="37" t="str">
        <f t="shared" si="64"/>
        <v>", "start": "</v>
      </c>
      <c r="Q350" s="38" t="str">
        <f ca="1">IF(INDIRECT("Dashboard!K"&amp;((ROW()+1)/3+2))="","",INDIRECT("Dashboard!K"&amp;((ROW()+1)/3+2)))</f>
        <v/>
      </c>
      <c r="R350" s="37" t="str">
        <f t="shared" si="65"/>
        <v>", "end": "</v>
      </c>
      <c r="S350" s="38" t="str">
        <f ca="1">IF(INDIRECT("Dashboard!L"&amp;((ROW()+1)/3+2))="","",INDIRECT("Dashboard!L"&amp;((ROW()+1)/3+2)))</f>
        <v/>
      </c>
      <c r="T350" s="116" t="str">
        <f ca="1">IF(C353="]);",LEFT(T349,2),T349)</f>
        <v>"},</v>
      </c>
      <c r="V350" s="32" t="str">
        <f t="shared" ca="1" si="66"/>
        <v/>
      </c>
      <c r="W350" s="37" t="s">
        <v>2</v>
      </c>
      <c r="X350" s="32" t="str">
        <f ca="1">G350&amp;" : "&amp;INDIRECT("Dashboard!G"&amp;((ROW()+1)/3+2))</f>
        <v>"16.2" : Technical design document explaining the data schema and algorithm</v>
      </c>
    </row>
    <row r="351" spans="1:24" ht="15" thickBot="1">
      <c r="A351" s="36"/>
      <c r="C351" s="28" t="str">
        <f ca="1">IF(OR(INDIRECT("Dashboard!B"&amp;(ROW()/3+2))&lt;&gt;"&gt;",AND(Q351="",S351="")),"//","")</f>
        <v>//</v>
      </c>
      <c r="D351" s="43" t="str">
        <f t="shared" si="60"/>
        <v xml:space="preserve">{"id": </v>
      </c>
      <c r="E351" s="29">
        <f t="shared" si="67"/>
        <v>348</v>
      </c>
      <c r="F351" s="43" t="str">
        <f t="shared" si="68"/>
        <v>, "group":</v>
      </c>
      <c r="G351" s="43" t="str">
        <f ca="1">G350</f>
        <v>"16.2"</v>
      </c>
      <c r="H351" s="43" t="str">
        <f t="shared" si="69"/>
        <v>, "subgroup": "</v>
      </c>
      <c r="I351" s="43" t="s">
        <v>397</v>
      </c>
      <c r="J351" s="43" t="str">
        <f t="shared" si="61"/>
        <v>", "subgroupOrder":</v>
      </c>
      <c r="K351" s="43">
        <v>0</v>
      </c>
      <c r="L351" s="43" t="str">
        <f t="shared" si="62"/>
        <v>, "className": "</v>
      </c>
      <c r="M351" s="29" t="str">
        <f t="shared" si="59"/>
        <v>orange</v>
      </c>
      <c r="N351" s="43" t="str">
        <f t="shared" si="63"/>
        <v>", "content": "</v>
      </c>
      <c r="O351" s="49" t="s">
        <v>392</v>
      </c>
      <c r="P351" s="43" t="str">
        <f t="shared" si="64"/>
        <v>", "start": "</v>
      </c>
      <c r="Q351" s="44" t="str">
        <f ca="1">S350</f>
        <v/>
      </c>
      <c r="R351" s="43" t="str">
        <f t="shared" si="65"/>
        <v>", "end": "</v>
      </c>
      <c r="S351" s="113" t="str">
        <f ca="1">IF(INDIRECT("Dashboard!M"&amp;(ROW()/3+2))="","",INDIRECT("Dashboard!M"&amp;(ROW()/3+2)))</f>
        <v/>
      </c>
      <c r="T351" s="117" t="str">
        <f ca="1">IF(C353="]);",LEFT(T350,2),T350)</f>
        <v>"},</v>
      </c>
      <c r="V351" s="32" t="str">
        <f t="shared" ca="1" si="66"/>
        <v/>
      </c>
      <c r="W351" s="37" t="s">
        <v>2</v>
      </c>
    </row>
    <row r="352" spans="1:24">
      <c r="A352" s="36"/>
      <c r="C352" s="25"/>
      <c r="D352" s="41" t="str">
        <f t="shared" si="60"/>
        <v xml:space="preserve">{"id": </v>
      </c>
      <c r="E352" s="26">
        <f t="shared" si="67"/>
        <v>349</v>
      </c>
      <c r="F352" s="41" t="str">
        <f t="shared" si="68"/>
        <v>, "group":</v>
      </c>
      <c r="G352" s="111" t="str">
        <f ca="1">CHAR(34)&amp;INDIRECT("Dashboard!A"&amp;(ROW()-1)/3+3)&amp;CHAR(34)</f>
        <v>"16.3"</v>
      </c>
      <c r="H352" s="41" t="str">
        <f t="shared" si="69"/>
        <v>, "subgroup": "</v>
      </c>
      <c r="I352" s="41" t="s">
        <v>396</v>
      </c>
      <c r="J352" s="41" t="str">
        <f t="shared" si="61"/>
        <v>", "subgroupOrder":</v>
      </c>
      <c r="K352" s="41">
        <v>1</v>
      </c>
      <c r="L352" s="41" t="str">
        <f t="shared" si="62"/>
        <v>, "className": "</v>
      </c>
      <c r="M352" s="26" t="str">
        <f t="shared" si="59"/>
        <v>gray</v>
      </c>
      <c r="N352" s="41" t="str">
        <f t="shared" si="63"/>
        <v>", "content": "</v>
      </c>
      <c r="O352" s="40" t="s">
        <v>388</v>
      </c>
      <c r="P352" s="41" t="str">
        <f t="shared" si="64"/>
        <v>", "start": "</v>
      </c>
      <c r="Q352" s="42">
        <f ca="1">IF(INDIRECT("Dashboard!I"&amp;(ROW()-1)/3+3)="","",INDIRECT("Dashboard!I"&amp;(ROW()-1)/3+3))</f>
        <v>45659</v>
      </c>
      <c r="R352" s="41" t="str">
        <f t="shared" si="65"/>
        <v>", "end": "</v>
      </c>
      <c r="S352" s="42">
        <f ca="1">IF(INDIRECT("Dashboard!J"&amp;(ROW()-1)/3+3)="","",INDIRECT("Dashboard!J"&amp;(ROW()-1)/3+3))</f>
        <v>45747</v>
      </c>
      <c r="T352" s="118" t="str">
        <f ca="1">IF(C356="]);",LEFT(T351,2),T351)</f>
        <v>"},</v>
      </c>
      <c r="V352" s="32" t="str">
        <f t="shared" ca="1" si="66"/>
        <v>{"id": 349, "group":"16.3", "subgroup": "plan", "subgroupOrder":1, "className": "gray", "content": "Planned", "start": "2025-01-02", "end": "2025-03-31"},</v>
      </c>
      <c r="W352" s="37" t="s">
        <v>2</v>
      </c>
    </row>
    <row r="353" spans="1:24">
      <c r="A353" s="36"/>
      <c r="C353" s="31" t="str">
        <f ca="1">IF(AND(Q353="", S353=""),"//","")</f>
        <v>//</v>
      </c>
      <c r="D353" s="37" t="str">
        <f t="shared" si="60"/>
        <v xml:space="preserve">{"id": </v>
      </c>
      <c r="E353" s="32">
        <f t="shared" si="67"/>
        <v>350</v>
      </c>
      <c r="F353" s="37" t="str">
        <f t="shared" si="68"/>
        <v>, "group":</v>
      </c>
      <c r="G353" s="37" t="str">
        <f ca="1">G352</f>
        <v>"16.3"</v>
      </c>
      <c r="H353" s="37" t="str">
        <f t="shared" si="69"/>
        <v>, "subgroup": "</v>
      </c>
      <c r="I353" s="37" t="s">
        <v>397</v>
      </c>
      <c r="J353" s="37" t="str">
        <f t="shared" si="61"/>
        <v>", "subgroupOrder":</v>
      </c>
      <c r="K353" s="37">
        <v>0</v>
      </c>
      <c r="L353" s="37" t="str">
        <f t="shared" si="62"/>
        <v>, "className": "</v>
      </c>
      <c r="M353" s="32" t="str">
        <f t="shared" ca="1" si="59"/>
        <v>pink-white</v>
      </c>
      <c r="N353" s="37" t="str">
        <f t="shared" si="63"/>
        <v>", "content": "</v>
      </c>
      <c r="O353" s="34" t="str">
        <f ca="1">IF(INDIRECT("Dashboard!P"&amp;((ROW()+1)/3+2))=1,"Completed",IF(INDIRECT("Dashboard!P"&amp;((ROW()+1)/3+2))="","","Pending"))</f>
        <v>Pending</v>
      </c>
      <c r="P353" s="37" t="str">
        <f t="shared" si="64"/>
        <v>", "start": "</v>
      </c>
      <c r="Q353" s="38" t="str">
        <f ca="1">IF(INDIRECT("Dashboard!K"&amp;((ROW()+1)/3+2))="","",INDIRECT("Dashboard!K"&amp;((ROW()+1)/3+2)))</f>
        <v/>
      </c>
      <c r="R353" s="37" t="str">
        <f t="shared" si="65"/>
        <v>", "end": "</v>
      </c>
      <c r="S353" s="38" t="str">
        <f ca="1">IF(INDIRECT("Dashboard!L"&amp;((ROW()+1)/3+2))="","",INDIRECT("Dashboard!L"&amp;((ROW()+1)/3+2)))</f>
        <v/>
      </c>
      <c r="T353" s="116" t="str">
        <f ca="1">IF(C356="]);",LEFT(T352,2),T352)</f>
        <v>"},</v>
      </c>
      <c r="V353" s="32" t="str">
        <f t="shared" ca="1" si="66"/>
        <v/>
      </c>
      <c r="W353" s="37" t="s">
        <v>2</v>
      </c>
      <c r="X353" s="32" t="str">
        <f ca="1">G353&amp;" : "&amp;INDIRECT("Dashboard!G"&amp;((ROW()+1)/3+2))</f>
        <v>"16.3" : Software Code</v>
      </c>
    </row>
    <row r="354" spans="1:24" ht="15" thickBot="1">
      <c r="A354" s="36"/>
      <c r="C354" s="28" t="str">
        <f ca="1">IF(OR(INDIRECT("Dashboard!B"&amp;(ROW()/3+2))&lt;&gt;"&gt;",AND(Q354="",S354="")),"//","")</f>
        <v>//</v>
      </c>
      <c r="D354" s="43" t="str">
        <f t="shared" si="60"/>
        <v xml:space="preserve">{"id": </v>
      </c>
      <c r="E354" s="29">
        <f t="shared" si="67"/>
        <v>351</v>
      </c>
      <c r="F354" s="43" t="str">
        <f t="shared" si="68"/>
        <v>, "group":</v>
      </c>
      <c r="G354" s="43" t="str">
        <f ca="1">G353</f>
        <v>"16.3"</v>
      </c>
      <c r="H354" s="43" t="str">
        <f t="shared" si="69"/>
        <v>, "subgroup": "</v>
      </c>
      <c r="I354" s="43" t="s">
        <v>397</v>
      </c>
      <c r="J354" s="43" t="str">
        <f t="shared" si="61"/>
        <v>", "subgroupOrder":</v>
      </c>
      <c r="K354" s="43">
        <v>0</v>
      </c>
      <c r="L354" s="43" t="str">
        <f t="shared" si="62"/>
        <v>, "className": "</v>
      </c>
      <c r="M354" s="29" t="str">
        <f t="shared" ref="M354:M411" si="70">IF(ISNA(VLOOKUP(O354,$X$1:$Y$4,2,FALSE)),"",VLOOKUP(O354,$X$1:$Y$4,2,FALSE))</f>
        <v>orange</v>
      </c>
      <c r="N354" s="43" t="str">
        <f t="shared" si="63"/>
        <v>", "content": "</v>
      </c>
      <c r="O354" s="49" t="s">
        <v>392</v>
      </c>
      <c r="P354" s="43" t="str">
        <f t="shared" si="64"/>
        <v>", "start": "</v>
      </c>
      <c r="Q354" s="44" t="str">
        <f ca="1">S353</f>
        <v/>
      </c>
      <c r="R354" s="43" t="str">
        <f t="shared" si="65"/>
        <v>", "end": "</v>
      </c>
      <c r="S354" s="113" t="str">
        <f ca="1">IF(INDIRECT("Dashboard!M"&amp;(ROW()/3+2))="","",INDIRECT("Dashboard!M"&amp;(ROW()/3+2)))</f>
        <v/>
      </c>
      <c r="T354" s="117" t="str">
        <f ca="1">IF(C356="]);",LEFT(T353,2),T353)</f>
        <v>"},</v>
      </c>
      <c r="V354" s="32" t="str">
        <f t="shared" ca="1" si="66"/>
        <v/>
      </c>
      <c r="W354" s="37" t="s">
        <v>2</v>
      </c>
    </row>
    <row r="355" spans="1:24">
      <c r="A355" s="36"/>
      <c r="C355" s="25"/>
      <c r="D355" s="41" t="str">
        <f t="shared" si="60"/>
        <v xml:space="preserve">{"id": </v>
      </c>
      <c r="E355" s="26">
        <f t="shared" si="67"/>
        <v>352</v>
      </c>
      <c r="F355" s="41" t="str">
        <f t="shared" si="68"/>
        <v>, "group":</v>
      </c>
      <c r="G355" s="111" t="str">
        <f ca="1">CHAR(34)&amp;INDIRECT("Dashboard!A"&amp;(ROW()-1)/3+3)&amp;CHAR(34)</f>
        <v>"16.4"</v>
      </c>
      <c r="H355" s="41" t="str">
        <f t="shared" si="69"/>
        <v>, "subgroup": "</v>
      </c>
      <c r="I355" s="41" t="s">
        <v>396</v>
      </c>
      <c r="J355" s="41" t="str">
        <f t="shared" si="61"/>
        <v>", "subgroupOrder":</v>
      </c>
      <c r="K355" s="41">
        <v>1</v>
      </c>
      <c r="L355" s="41" t="str">
        <f t="shared" si="62"/>
        <v>, "className": "</v>
      </c>
      <c r="M355" s="26" t="str">
        <f t="shared" si="70"/>
        <v>gray</v>
      </c>
      <c r="N355" s="41" t="str">
        <f t="shared" si="63"/>
        <v>", "content": "</v>
      </c>
      <c r="O355" s="40" t="s">
        <v>388</v>
      </c>
      <c r="P355" s="41" t="str">
        <f t="shared" si="64"/>
        <v>", "start": "</v>
      </c>
      <c r="Q355" s="42">
        <f ca="1">IF(INDIRECT("Dashboard!I"&amp;(ROW()-1)/3+3)="","",INDIRECT("Dashboard!I"&amp;(ROW()-1)/3+3))</f>
        <v>45659</v>
      </c>
      <c r="R355" s="41" t="str">
        <f t="shared" si="65"/>
        <v>", "end": "</v>
      </c>
      <c r="S355" s="42">
        <f ca="1">IF(INDIRECT("Dashboard!J"&amp;(ROW()-1)/3+3)="","",INDIRECT("Dashboard!J"&amp;(ROW()-1)/3+3))</f>
        <v>45747</v>
      </c>
      <c r="T355" s="118" t="str">
        <f ca="1">IF(C359="]);",LEFT(T354,2),T354)</f>
        <v>"},</v>
      </c>
      <c r="V355" s="32" t="str">
        <f t="shared" ca="1" si="66"/>
        <v>{"id": 352, "group":"16.4", "subgroup": "plan", "subgroupOrder":1, "className": "gray", "content": "Planned", "start": "2025-01-02", "end": "2025-03-31"},</v>
      </c>
      <c r="W355" s="37" t="s">
        <v>2</v>
      </c>
    </row>
    <row r="356" spans="1:24">
      <c r="A356" s="36"/>
      <c r="C356" s="31" t="str">
        <f ca="1">IF(AND(Q356="", S356=""),"//","")</f>
        <v>//</v>
      </c>
      <c r="D356" s="37" t="str">
        <f t="shared" si="60"/>
        <v xml:space="preserve">{"id": </v>
      </c>
      <c r="E356" s="32">
        <f t="shared" si="67"/>
        <v>353</v>
      </c>
      <c r="F356" s="37" t="str">
        <f t="shared" si="68"/>
        <v>, "group":</v>
      </c>
      <c r="G356" s="37" t="str">
        <f ca="1">G355</f>
        <v>"16.4"</v>
      </c>
      <c r="H356" s="37" t="str">
        <f t="shared" si="69"/>
        <v>, "subgroup": "</v>
      </c>
      <c r="I356" s="37" t="s">
        <v>397</v>
      </c>
      <c r="J356" s="37" t="str">
        <f t="shared" si="61"/>
        <v>", "subgroupOrder":</v>
      </c>
      <c r="K356" s="37">
        <v>0</v>
      </c>
      <c r="L356" s="37" t="str">
        <f t="shared" si="62"/>
        <v>, "className": "</v>
      </c>
      <c r="M356" s="32" t="str">
        <f t="shared" ca="1" si="70"/>
        <v>pink-white</v>
      </c>
      <c r="N356" s="37" t="str">
        <f t="shared" si="63"/>
        <v>", "content": "</v>
      </c>
      <c r="O356" s="34" t="str">
        <f ca="1">IF(INDIRECT("Dashboard!P"&amp;((ROW()+1)/3+2))=1,"Completed",IF(INDIRECT("Dashboard!P"&amp;((ROW()+1)/3+2))="","","Pending"))</f>
        <v>Pending</v>
      </c>
      <c r="P356" s="37" t="str">
        <f t="shared" si="64"/>
        <v>", "start": "</v>
      </c>
      <c r="Q356" s="38" t="str">
        <f ca="1">IF(INDIRECT("Dashboard!K"&amp;((ROW()+1)/3+2))="","",INDIRECT("Dashboard!K"&amp;((ROW()+1)/3+2)))</f>
        <v/>
      </c>
      <c r="R356" s="37" t="str">
        <f t="shared" si="65"/>
        <v>", "end": "</v>
      </c>
      <c r="S356" s="38" t="str">
        <f ca="1">IF(INDIRECT("Dashboard!L"&amp;((ROW()+1)/3+2))="","",INDIRECT("Dashboard!L"&amp;((ROW()+1)/3+2)))</f>
        <v/>
      </c>
      <c r="T356" s="116" t="str">
        <f ca="1">IF(C359="]);",LEFT(T355,2),T355)</f>
        <v>"},</v>
      </c>
      <c r="V356" s="32" t="str">
        <f t="shared" ca="1" si="66"/>
        <v/>
      </c>
      <c r="W356" s="37" t="s">
        <v>2</v>
      </c>
      <c r="X356" s="32" t="str">
        <f ca="1">G356&amp;" : "&amp;INDIRECT("Dashboard!G"&amp;((ROW()+1)/3+2))</f>
        <v>"16.4" : Deployment Procedure of the code</v>
      </c>
    </row>
    <row r="357" spans="1:24" ht="15" thickBot="1">
      <c r="A357" s="36"/>
      <c r="C357" s="28" t="str">
        <f ca="1">IF(OR(INDIRECT("Dashboard!B"&amp;(ROW()/3+2))&lt;&gt;"&gt;",AND(Q357="",S357="")),"//","")</f>
        <v>//</v>
      </c>
      <c r="D357" s="43" t="str">
        <f t="shared" si="60"/>
        <v xml:space="preserve">{"id": </v>
      </c>
      <c r="E357" s="29">
        <f t="shared" si="67"/>
        <v>354</v>
      </c>
      <c r="F357" s="43" t="str">
        <f t="shared" si="68"/>
        <v>, "group":</v>
      </c>
      <c r="G357" s="43" t="str">
        <f ca="1">G356</f>
        <v>"16.4"</v>
      </c>
      <c r="H357" s="43" t="str">
        <f t="shared" si="69"/>
        <v>, "subgroup": "</v>
      </c>
      <c r="I357" s="43" t="s">
        <v>397</v>
      </c>
      <c r="J357" s="43" t="str">
        <f t="shared" si="61"/>
        <v>", "subgroupOrder":</v>
      </c>
      <c r="K357" s="43">
        <v>0</v>
      </c>
      <c r="L357" s="43" t="str">
        <f t="shared" si="62"/>
        <v>, "className": "</v>
      </c>
      <c r="M357" s="29" t="str">
        <f t="shared" si="70"/>
        <v>orange</v>
      </c>
      <c r="N357" s="43" t="str">
        <f t="shared" si="63"/>
        <v>", "content": "</v>
      </c>
      <c r="O357" s="49" t="s">
        <v>392</v>
      </c>
      <c r="P357" s="43" t="str">
        <f t="shared" si="64"/>
        <v>", "start": "</v>
      </c>
      <c r="Q357" s="44" t="str">
        <f ca="1">S356</f>
        <v/>
      </c>
      <c r="R357" s="43" t="str">
        <f t="shared" si="65"/>
        <v>", "end": "</v>
      </c>
      <c r="S357" s="113" t="str">
        <f ca="1">IF(INDIRECT("Dashboard!M"&amp;(ROW()/3+2))="","",INDIRECT("Dashboard!M"&amp;(ROW()/3+2)))</f>
        <v/>
      </c>
      <c r="T357" s="117" t="str">
        <f ca="1">IF(C359="]);",LEFT(T356,2),T356)</f>
        <v>"},</v>
      </c>
      <c r="V357" s="32" t="str">
        <f t="shared" ca="1" si="66"/>
        <v/>
      </c>
      <c r="W357" s="37" t="s">
        <v>2</v>
      </c>
    </row>
    <row r="358" spans="1:24">
      <c r="A358" s="36"/>
      <c r="C358" s="25"/>
      <c r="D358" s="41" t="str">
        <f t="shared" si="60"/>
        <v xml:space="preserve">{"id": </v>
      </c>
      <c r="E358" s="26">
        <f t="shared" si="67"/>
        <v>355</v>
      </c>
      <c r="F358" s="41" t="str">
        <f t="shared" si="68"/>
        <v>, "group":</v>
      </c>
      <c r="G358" s="111" t="str">
        <f ca="1">CHAR(34)&amp;INDIRECT("Dashboard!A"&amp;(ROW()-1)/3+3)&amp;CHAR(34)</f>
        <v>"16.5"</v>
      </c>
      <c r="H358" s="41" t="str">
        <f t="shared" si="69"/>
        <v>, "subgroup": "</v>
      </c>
      <c r="I358" s="41" t="s">
        <v>396</v>
      </c>
      <c r="J358" s="41" t="str">
        <f t="shared" si="61"/>
        <v>", "subgroupOrder":</v>
      </c>
      <c r="K358" s="41">
        <v>1</v>
      </c>
      <c r="L358" s="41" t="str">
        <f t="shared" si="62"/>
        <v>, "className": "</v>
      </c>
      <c r="M358" s="26" t="str">
        <f t="shared" si="70"/>
        <v>gray</v>
      </c>
      <c r="N358" s="41" t="str">
        <f t="shared" si="63"/>
        <v>", "content": "</v>
      </c>
      <c r="O358" s="40" t="s">
        <v>388</v>
      </c>
      <c r="P358" s="41" t="str">
        <f t="shared" si="64"/>
        <v>", "start": "</v>
      </c>
      <c r="Q358" s="42">
        <f ca="1">IF(INDIRECT("Dashboard!I"&amp;(ROW()-1)/3+3)="","",INDIRECT("Dashboard!I"&amp;(ROW()-1)/3+3))</f>
        <v>45659</v>
      </c>
      <c r="R358" s="41" t="str">
        <f t="shared" si="65"/>
        <v>", "end": "</v>
      </c>
      <c r="S358" s="42">
        <f ca="1">IF(INDIRECT("Dashboard!J"&amp;(ROW()-1)/3+3)="","",INDIRECT("Dashboard!J"&amp;(ROW()-1)/3+3))</f>
        <v>45747</v>
      </c>
      <c r="T358" s="118" t="str">
        <f ca="1">IF(C362="]);",LEFT(T357,2),T357)</f>
        <v>"},</v>
      </c>
      <c r="V358" s="32" t="str">
        <f t="shared" ca="1" si="66"/>
        <v>{"id": 355, "group":"16.5", "subgroup": "plan", "subgroupOrder":1, "className": "gray", "content": "Planned", "start": "2025-01-02", "end": "2025-03-31"},</v>
      </c>
      <c r="W358" s="37" t="s">
        <v>2</v>
      </c>
    </row>
    <row r="359" spans="1:24">
      <c r="A359" s="36"/>
      <c r="C359" s="31" t="str">
        <f ca="1">IF(AND(Q359="", S359=""),"//","")</f>
        <v>//</v>
      </c>
      <c r="D359" s="37" t="str">
        <f t="shared" si="60"/>
        <v xml:space="preserve">{"id": </v>
      </c>
      <c r="E359" s="32">
        <f t="shared" si="67"/>
        <v>356</v>
      </c>
      <c r="F359" s="37" t="str">
        <f t="shared" si="68"/>
        <v>, "group":</v>
      </c>
      <c r="G359" s="37" t="str">
        <f ca="1">G358</f>
        <v>"16.5"</v>
      </c>
      <c r="H359" s="37" t="str">
        <f t="shared" si="69"/>
        <v>, "subgroup": "</v>
      </c>
      <c r="I359" s="37" t="s">
        <v>397</v>
      </c>
      <c r="J359" s="37" t="str">
        <f t="shared" si="61"/>
        <v>", "subgroupOrder":</v>
      </c>
      <c r="K359" s="37">
        <v>0</v>
      </c>
      <c r="L359" s="37" t="str">
        <f t="shared" si="62"/>
        <v>, "className": "</v>
      </c>
      <c r="M359" s="32" t="str">
        <f t="shared" ca="1" si="70"/>
        <v>pink-white</v>
      </c>
      <c r="N359" s="37" t="str">
        <f t="shared" si="63"/>
        <v>", "content": "</v>
      </c>
      <c r="O359" s="34" t="str">
        <f ca="1">IF(INDIRECT("Dashboard!P"&amp;((ROW()+1)/3+2))=1,"Completed",IF(INDIRECT("Dashboard!P"&amp;((ROW()+1)/3+2))="","","Pending"))</f>
        <v>Pending</v>
      </c>
      <c r="P359" s="37" t="str">
        <f t="shared" si="64"/>
        <v>", "start": "</v>
      </c>
      <c r="Q359" s="38" t="str">
        <f ca="1">IF(INDIRECT("Dashboard!K"&amp;((ROW()+1)/3+2))="","",INDIRECT("Dashboard!K"&amp;((ROW()+1)/3+2)))</f>
        <v/>
      </c>
      <c r="R359" s="37" t="str">
        <f t="shared" si="65"/>
        <v>", "end": "</v>
      </c>
      <c r="S359" s="38" t="str">
        <f ca="1">IF(INDIRECT("Dashboard!L"&amp;((ROW()+1)/3+2))="","",INDIRECT("Dashboard!L"&amp;((ROW()+1)/3+2)))</f>
        <v/>
      </c>
      <c r="T359" s="116" t="str">
        <f ca="1">IF(C362="]);",LEFT(T358,2),T358)</f>
        <v>"},</v>
      </c>
      <c r="V359" s="32" t="str">
        <f t="shared" ca="1" si="66"/>
        <v/>
      </c>
      <c r="W359" s="37" t="s">
        <v>2</v>
      </c>
      <c r="X359" s="32" t="str">
        <f ca="1">G359&amp;" : "&amp;INDIRECT("Dashboard!G"&amp;((ROW()+1)/3+2))</f>
        <v>"16.5" : Product usage guide with examples for all the functional usecases</v>
      </c>
    </row>
    <row r="360" spans="1:24" ht="15" thickBot="1">
      <c r="A360" s="36"/>
      <c r="C360" s="28" t="str">
        <f ca="1">IF(OR(INDIRECT("Dashboard!B"&amp;(ROW()/3+2))&lt;&gt;"&gt;",AND(Q360="",S360="")),"//","")</f>
        <v>//</v>
      </c>
      <c r="D360" s="43" t="str">
        <f t="shared" si="60"/>
        <v xml:space="preserve">{"id": </v>
      </c>
      <c r="E360" s="29">
        <f t="shared" si="67"/>
        <v>357</v>
      </c>
      <c r="F360" s="43" t="str">
        <f t="shared" si="68"/>
        <v>, "group":</v>
      </c>
      <c r="G360" s="43" t="str">
        <f ca="1">G359</f>
        <v>"16.5"</v>
      </c>
      <c r="H360" s="43" t="str">
        <f t="shared" si="69"/>
        <v>, "subgroup": "</v>
      </c>
      <c r="I360" s="43" t="s">
        <v>397</v>
      </c>
      <c r="J360" s="43" t="str">
        <f t="shared" si="61"/>
        <v>", "subgroupOrder":</v>
      </c>
      <c r="K360" s="43">
        <v>0</v>
      </c>
      <c r="L360" s="43" t="str">
        <f t="shared" si="62"/>
        <v>, "className": "</v>
      </c>
      <c r="M360" s="29" t="str">
        <f t="shared" si="70"/>
        <v>orange</v>
      </c>
      <c r="N360" s="43" t="str">
        <f t="shared" si="63"/>
        <v>", "content": "</v>
      </c>
      <c r="O360" s="49" t="s">
        <v>392</v>
      </c>
      <c r="P360" s="43" t="str">
        <f t="shared" si="64"/>
        <v>", "start": "</v>
      </c>
      <c r="Q360" s="44" t="str">
        <f ca="1">S359</f>
        <v/>
      </c>
      <c r="R360" s="43" t="str">
        <f t="shared" si="65"/>
        <v>", "end": "</v>
      </c>
      <c r="S360" s="113" t="str">
        <f ca="1">IF(INDIRECT("Dashboard!M"&amp;(ROW()/3+2))="","",INDIRECT("Dashboard!M"&amp;(ROW()/3+2)))</f>
        <v/>
      </c>
      <c r="T360" s="117" t="str">
        <f ca="1">IF(C362="]);",LEFT(T359,2),T359)</f>
        <v>"},</v>
      </c>
      <c r="V360" s="32" t="str">
        <f t="shared" ca="1" si="66"/>
        <v/>
      </c>
      <c r="W360" s="37" t="s">
        <v>2</v>
      </c>
    </row>
    <row r="361" spans="1:24">
      <c r="A361" s="36"/>
      <c r="C361" s="25"/>
      <c r="D361" s="41" t="str">
        <f t="shared" si="60"/>
        <v xml:space="preserve">{"id": </v>
      </c>
      <c r="E361" s="26">
        <f t="shared" si="67"/>
        <v>358</v>
      </c>
      <c r="F361" s="41" t="str">
        <f t="shared" si="68"/>
        <v>, "group":</v>
      </c>
      <c r="G361" s="111" t="str">
        <f ca="1">CHAR(34)&amp;INDIRECT("Dashboard!A"&amp;(ROW()-1)/3+3)&amp;CHAR(34)</f>
        <v>"16.6"</v>
      </c>
      <c r="H361" s="41" t="str">
        <f t="shared" si="69"/>
        <v>, "subgroup": "</v>
      </c>
      <c r="I361" s="41" t="s">
        <v>396</v>
      </c>
      <c r="J361" s="41" t="str">
        <f t="shared" si="61"/>
        <v>", "subgroupOrder":</v>
      </c>
      <c r="K361" s="41">
        <v>1</v>
      </c>
      <c r="L361" s="41" t="str">
        <f t="shared" si="62"/>
        <v>, "className": "</v>
      </c>
      <c r="M361" s="26" t="str">
        <f t="shared" si="70"/>
        <v>gray</v>
      </c>
      <c r="N361" s="41" t="str">
        <f t="shared" si="63"/>
        <v>", "content": "</v>
      </c>
      <c r="O361" s="40" t="s">
        <v>388</v>
      </c>
      <c r="P361" s="41" t="str">
        <f t="shared" si="64"/>
        <v>", "start": "</v>
      </c>
      <c r="Q361" s="42">
        <f ca="1">IF(INDIRECT("Dashboard!I"&amp;(ROW()-1)/3+3)="","",INDIRECT("Dashboard!I"&amp;(ROW()-1)/3+3))</f>
        <v>45659</v>
      </c>
      <c r="R361" s="41" t="str">
        <f t="shared" si="65"/>
        <v>", "end": "</v>
      </c>
      <c r="S361" s="42">
        <f ca="1">IF(INDIRECT("Dashboard!J"&amp;(ROW()-1)/3+3)="","",INDIRECT("Dashboard!J"&amp;(ROW()-1)/3+3))</f>
        <v>45747</v>
      </c>
      <c r="T361" s="118" t="str">
        <f ca="1">IF(C365="]);",LEFT(T360,2),T360)</f>
        <v>"},</v>
      </c>
      <c r="V361" s="32" t="str">
        <f t="shared" ca="1" si="66"/>
        <v>{"id": 358, "group":"16.6", "subgroup": "plan", "subgroupOrder":1, "className": "gray", "content": "Planned", "start": "2025-01-02", "end": "2025-03-31"},</v>
      </c>
      <c r="W361" s="37" t="s">
        <v>2</v>
      </c>
    </row>
    <row r="362" spans="1:24">
      <c r="A362" s="36"/>
      <c r="C362" s="31" t="str">
        <f ca="1">IF(AND(Q362="", S362=""),"//","")</f>
        <v>//</v>
      </c>
      <c r="D362" s="37" t="str">
        <f t="shared" si="60"/>
        <v xml:space="preserve">{"id": </v>
      </c>
      <c r="E362" s="32">
        <f t="shared" si="67"/>
        <v>359</v>
      </c>
      <c r="F362" s="37" t="str">
        <f t="shared" si="68"/>
        <v>, "group":</v>
      </c>
      <c r="G362" s="37" t="str">
        <f ca="1">G361</f>
        <v>"16.6"</v>
      </c>
      <c r="H362" s="37" t="str">
        <f t="shared" si="69"/>
        <v>, "subgroup": "</v>
      </c>
      <c r="I362" s="37" t="s">
        <v>397</v>
      </c>
      <c r="J362" s="37" t="str">
        <f t="shared" si="61"/>
        <v>", "subgroupOrder":</v>
      </c>
      <c r="K362" s="37">
        <v>0</v>
      </c>
      <c r="L362" s="37" t="str">
        <f t="shared" si="62"/>
        <v>, "className": "</v>
      </c>
      <c r="M362" s="32" t="str">
        <f t="shared" ca="1" si="70"/>
        <v>pink-white</v>
      </c>
      <c r="N362" s="37" t="str">
        <f t="shared" si="63"/>
        <v>", "content": "</v>
      </c>
      <c r="O362" s="34" t="str">
        <f ca="1">IF(INDIRECT("Dashboard!P"&amp;((ROW()+1)/3+2))=1,"Completed",IF(INDIRECT("Dashboard!P"&amp;((ROW()+1)/3+2))="","","Pending"))</f>
        <v>Pending</v>
      </c>
      <c r="P362" s="37" t="str">
        <f t="shared" si="64"/>
        <v>", "start": "</v>
      </c>
      <c r="Q362" s="38" t="str">
        <f ca="1">IF(INDIRECT("Dashboard!K"&amp;((ROW()+1)/3+2))="","",INDIRECT("Dashboard!K"&amp;((ROW()+1)/3+2)))</f>
        <v/>
      </c>
      <c r="R362" s="37" t="str">
        <f t="shared" si="65"/>
        <v>", "end": "</v>
      </c>
      <c r="S362" s="38" t="str">
        <f ca="1">IF(INDIRECT("Dashboard!L"&amp;((ROW()+1)/3+2))="","",INDIRECT("Dashboard!L"&amp;((ROW()+1)/3+2)))</f>
        <v/>
      </c>
      <c r="T362" s="116" t="str">
        <f ca="1">IF(C365="]);",LEFT(T361,2),T361)</f>
        <v>"},</v>
      </c>
      <c r="V362" s="32" t="str">
        <f t="shared" ca="1" si="66"/>
        <v/>
      </c>
      <c r="W362" s="37" t="s">
        <v>2</v>
      </c>
      <c r="X362" s="32" t="str">
        <f ca="1">G362&amp;" : "&amp;INDIRECT("Dashboard!G"&amp;((ROW()+1)/3+2))</f>
        <v xml:space="preserve">"16.6" : Test report </v>
      </c>
    </row>
    <row r="363" spans="1:24" ht="15" thickBot="1">
      <c r="A363" s="36"/>
      <c r="C363" s="28" t="str">
        <f ca="1">IF(OR(INDIRECT("Dashboard!B"&amp;(ROW()/3+2))&lt;&gt;"&gt;",AND(Q363="",S363="")),"//","")</f>
        <v>//</v>
      </c>
      <c r="D363" s="43" t="str">
        <f t="shared" si="60"/>
        <v xml:space="preserve">{"id": </v>
      </c>
      <c r="E363" s="29">
        <f t="shared" si="67"/>
        <v>360</v>
      </c>
      <c r="F363" s="43" t="str">
        <f t="shared" si="68"/>
        <v>, "group":</v>
      </c>
      <c r="G363" s="43" t="str">
        <f ca="1">G362</f>
        <v>"16.6"</v>
      </c>
      <c r="H363" s="43" t="str">
        <f t="shared" si="69"/>
        <v>, "subgroup": "</v>
      </c>
      <c r="I363" s="43" t="s">
        <v>397</v>
      </c>
      <c r="J363" s="43" t="str">
        <f t="shared" si="61"/>
        <v>", "subgroupOrder":</v>
      </c>
      <c r="K363" s="43">
        <v>0</v>
      </c>
      <c r="L363" s="43" t="str">
        <f t="shared" si="62"/>
        <v>, "className": "</v>
      </c>
      <c r="M363" s="29" t="str">
        <f t="shared" si="70"/>
        <v>orange</v>
      </c>
      <c r="N363" s="43" t="str">
        <f t="shared" si="63"/>
        <v>", "content": "</v>
      </c>
      <c r="O363" s="49" t="s">
        <v>392</v>
      </c>
      <c r="P363" s="43" t="str">
        <f t="shared" si="64"/>
        <v>", "start": "</v>
      </c>
      <c r="Q363" s="44" t="str">
        <f ca="1">S362</f>
        <v/>
      </c>
      <c r="R363" s="43" t="str">
        <f t="shared" si="65"/>
        <v>", "end": "</v>
      </c>
      <c r="S363" s="113" t="str">
        <f ca="1">IF(INDIRECT("Dashboard!M"&amp;(ROW()/3+2))="","",INDIRECT("Dashboard!M"&amp;(ROW()/3+2)))</f>
        <v/>
      </c>
      <c r="T363" s="117" t="str">
        <f ca="1">IF(C365="]);",LEFT(T362,2),T362)</f>
        <v>"},</v>
      </c>
      <c r="V363" s="32" t="str">
        <f t="shared" ca="1" si="66"/>
        <v/>
      </c>
      <c r="W363" s="37" t="s">
        <v>2</v>
      </c>
    </row>
    <row r="364" spans="1:24">
      <c r="A364" s="36"/>
      <c r="C364" s="25"/>
      <c r="D364" s="41" t="str">
        <f t="shared" si="60"/>
        <v xml:space="preserve">{"id": </v>
      </c>
      <c r="E364" s="26">
        <f t="shared" si="67"/>
        <v>361</v>
      </c>
      <c r="F364" s="41" t="str">
        <f t="shared" si="68"/>
        <v>, "group":</v>
      </c>
      <c r="G364" s="111" t="str">
        <f ca="1">CHAR(34)&amp;INDIRECT("Dashboard!A"&amp;(ROW()-1)/3+3)&amp;CHAR(34)</f>
        <v>"17"</v>
      </c>
      <c r="H364" s="41" t="str">
        <f t="shared" si="69"/>
        <v>, "subgroup": "</v>
      </c>
      <c r="I364" s="41" t="s">
        <v>396</v>
      </c>
      <c r="J364" s="41" t="str">
        <f t="shared" si="61"/>
        <v>", "subgroupOrder":</v>
      </c>
      <c r="K364" s="41">
        <v>1</v>
      </c>
      <c r="L364" s="41" t="str">
        <f t="shared" si="62"/>
        <v>, "className": "</v>
      </c>
      <c r="M364" s="26" t="str">
        <f t="shared" si="70"/>
        <v>gray</v>
      </c>
      <c r="N364" s="41" t="str">
        <f t="shared" si="63"/>
        <v>", "content": "</v>
      </c>
      <c r="O364" s="40" t="s">
        <v>388</v>
      </c>
      <c r="P364" s="41" t="str">
        <f t="shared" si="64"/>
        <v>", "start": "</v>
      </c>
      <c r="Q364" s="42">
        <f ca="1">IF(INDIRECT("Dashboard!I"&amp;(ROW()-1)/3+3)="","",INDIRECT("Dashboard!I"&amp;(ROW()-1)/3+3))</f>
        <v>45748</v>
      </c>
      <c r="R364" s="41" t="str">
        <f t="shared" si="65"/>
        <v>", "end": "</v>
      </c>
      <c r="S364" s="42">
        <f ca="1">IF(INDIRECT("Dashboard!J"&amp;(ROW()-1)/3+3)="","",INDIRECT("Dashboard!J"&amp;(ROW()-1)/3+3))</f>
        <v>45838</v>
      </c>
      <c r="T364" s="118" t="str">
        <f ca="1">IF(C368="]);",LEFT(T363,2),T363)</f>
        <v>"},</v>
      </c>
      <c r="V364" s="32" t="str">
        <f t="shared" ca="1" si="66"/>
        <v>{"id": 361, "group":"17", "subgroup": "plan", "subgroupOrder":1, "className": "gray", "content": "Planned", "start": "2025-04-01", "end": "2025-06-30"},</v>
      </c>
      <c r="W364" s="37" t="s">
        <v>2</v>
      </c>
    </row>
    <row r="365" spans="1:24">
      <c r="A365" s="36"/>
      <c r="C365" s="31" t="str">
        <f ca="1">IF(AND(Q365="", S365=""),"//","")</f>
        <v>//</v>
      </c>
      <c r="D365" s="37" t="str">
        <f t="shared" si="60"/>
        <v xml:space="preserve">{"id": </v>
      </c>
      <c r="E365" s="32">
        <f t="shared" si="67"/>
        <v>362</v>
      </c>
      <c r="F365" s="37" t="str">
        <f t="shared" si="68"/>
        <v>, "group":</v>
      </c>
      <c r="G365" s="37" t="str">
        <f ca="1">G364</f>
        <v>"17"</v>
      </c>
      <c r="H365" s="37" t="str">
        <f t="shared" si="69"/>
        <v>, "subgroup": "</v>
      </c>
      <c r="I365" s="37" t="s">
        <v>397</v>
      </c>
      <c r="J365" s="37" t="str">
        <f t="shared" si="61"/>
        <v>", "subgroupOrder":</v>
      </c>
      <c r="K365" s="37">
        <v>0</v>
      </c>
      <c r="L365" s="37" t="str">
        <f t="shared" si="62"/>
        <v>, "className": "</v>
      </c>
      <c r="M365" s="32" t="str">
        <f t="shared" ca="1" si="70"/>
        <v>pink-white</v>
      </c>
      <c r="N365" s="37" t="str">
        <f t="shared" si="63"/>
        <v>", "content": "</v>
      </c>
      <c r="O365" s="34" t="str">
        <f ca="1">IF(INDIRECT("Dashboard!P"&amp;((ROW()+1)/3+2))=1,"Completed",IF(INDIRECT("Dashboard!P"&amp;((ROW()+1)/3+2))="","","Pending"))</f>
        <v>Pending</v>
      </c>
      <c r="P365" s="37" t="str">
        <f t="shared" si="64"/>
        <v>", "start": "</v>
      </c>
      <c r="Q365" s="38" t="str">
        <f ca="1">IF(INDIRECT("Dashboard!K"&amp;((ROW()+1)/3+2))="","",INDIRECT("Dashboard!K"&amp;((ROW()+1)/3+2)))</f>
        <v/>
      </c>
      <c r="R365" s="37" t="str">
        <f t="shared" si="65"/>
        <v>", "end": "</v>
      </c>
      <c r="S365" s="38" t="str">
        <f ca="1">IF(INDIRECT("Dashboard!L"&amp;((ROW()+1)/3+2))="","",INDIRECT("Dashboard!L"&amp;((ROW()+1)/3+2)))</f>
        <v/>
      </c>
      <c r="T365" s="116" t="str">
        <f ca="1">IF(C368="]);",LEFT(T364,2),T364)</f>
        <v>"},</v>
      </c>
      <c r="V365" s="32" t="str">
        <f t="shared" ca="1" si="66"/>
        <v/>
      </c>
      <c r="W365" s="37" t="s">
        <v>2</v>
      </c>
      <c r="X365" s="32" t="str">
        <f ca="1">G365&amp;" : "&amp;INDIRECT("Dashboard!G"&amp;((ROW()+1)/3+2))</f>
        <v>"17" : M16. Decision Engine - Usecase 3</v>
      </c>
    </row>
    <row r="366" spans="1:24" ht="15" thickBot="1">
      <c r="A366" s="36"/>
      <c r="C366" s="28" t="str">
        <f ca="1">IF(OR(INDIRECT("Dashboard!B"&amp;(ROW()/3+2))&lt;&gt;"&gt;",AND(Q366="",S366="")),"//","")</f>
        <v>//</v>
      </c>
      <c r="D366" s="43" t="str">
        <f t="shared" si="60"/>
        <v xml:space="preserve">{"id": </v>
      </c>
      <c r="E366" s="29">
        <f t="shared" si="67"/>
        <v>363</v>
      </c>
      <c r="F366" s="43" t="str">
        <f t="shared" si="68"/>
        <v>, "group":</v>
      </c>
      <c r="G366" s="43" t="str">
        <f ca="1">G365</f>
        <v>"17"</v>
      </c>
      <c r="H366" s="43" t="str">
        <f t="shared" si="69"/>
        <v>, "subgroup": "</v>
      </c>
      <c r="I366" s="43" t="s">
        <v>397</v>
      </c>
      <c r="J366" s="43" t="str">
        <f t="shared" si="61"/>
        <v>", "subgroupOrder":</v>
      </c>
      <c r="K366" s="43">
        <v>0</v>
      </c>
      <c r="L366" s="43" t="str">
        <f t="shared" si="62"/>
        <v>, "className": "</v>
      </c>
      <c r="M366" s="29" t="str">
        <f t="shared" si="70"/>
        <v>orange</v>
      </c>
      <c r="N366" s="43" t="str">
        <f t="shared" si="63"/>
        <v>", "content": "</v>
      </c>
      <c r="O366" s="49" t="s">
        <v>392</v>
      </c>
      <c r="P366" s="43" t="str">
        <f t="shared" si="64"/>
        <v>", "start": "</v>
      </c>
      <c r="Q366" s="44" t="str">
        <f ca="1">S365</f>
        <v/>
      </c>
      <c r="R366" s="43" t="str">
        <f t="shared" si="65"/>
        <v>", "end": "</v>
      </c>
      <c r="S366" s="113" t="str">
        <f ca="1">IF(INDIRECT("Dashboard!M"&amp;(ROW()/3+2))="","",INDIRECT("Dashboard!M"&amp;(ROW()/3+2)))</f>
        <v/>
      </c>
      <c r="T366" s="117" t="str">
        <f ca="1">IF(C368="]);",LEFT(T365,2),T365)</f>
        <v>"},</v>
      </c>
      <c r="V366" s="32" t="str">
        <f t="shared" ca="1" si="66"/>
        <v/>
      </c>
      <c r="W366" s="37" t="s">
        <v>2</v>
      </c>
    </row>
    <row r="367" spans="1:24">
      <c r="A367" s="36"/>
      <c r="C367" s="25"/>
      <c r="D367" s="41" t="str">
        <f t="shared" si="60"/>
        <v xml:space="preserve">{"id": </v>
      </c>
      <c r="E367" s="26">
        <f t="shared" si="67"/>
        <v>364</v>
      </c>
      <c r="F367" s="41" t="str">
        <f t="shared" si="68"/>
        <v>, "group":</v>
      </c>
      <c r="G367" s="111" t="str">
        <f ca="1">CHAR(34)&amp;INDIRECT("Dashboard!A"&amp;(ROW()-1)/3+3)&amp;CHAR(34)</f>
        <v>"17.1"</v>
      </c>
      <c r="H367" s="41" t="str">
        <f t="shared" si="69"/>
        <v>, "subgroup": "</v>
      </c>
      <c r="I367" s="41" t="s">
        <v>396</v>
      </c>
      <c r="J367" s="41" t="str">
        <f t="shared" si="61"/>
        <v>", "subgroupOrder":</v>
      </c>
      <c r="K367" s="41">
        <v>1</v>
      </c>
      <c r="L367" s="41" t="str">
        <f t="shared" si="62"/>
        <v>, "className": "</v>
      </c>
      <c r="M367" s="26" t="str">
        <f t="shared" si="70"/>
        <v>gray</v>
      </c>
      <c r="N367" s="41" t="str">
        <f t="shared" si="63"/>
        <v>", "content": "</v>
      </c>
      <c r="O367" s="40" t="s">
        <v>388</v>
      </c>
      <c r="P367" s="41" t="str">
        <f t="shared" si="64"/>
        <v>", "start": "</v>
      </c>
      <c r="Q367" s="42" t="str">
        <f ca="1">IF(INDIRECT("Dashboard!I"&amp;(ROW()-1)/3+3)="","",INDIRECT("Dashboard!I"&amp;(ROW()-1)/3+3))</f>
        <v/>
      </c>
      <c r="R367" s="41" t="str">
        <f t="shared" si="65"/>
        <v>", "end": "</v>
      </c>
      <c r="S367" s="42" t="str">
        <f ca="1">IF(INDIRECT("Dashboard!J"&amp;(ROW()-1)/3+3)="","",INDIRECT("Dashboard!J"&amp;(ROW()-1)/3+3))</f>
        <v/>
      </c>
      <c r="T367" s="118" t="str">
        <f ca="1">IF(C371="]);",LEFT(T366,2),T366)</f>
        <v>"},</v>
      </c>
      <c r="V367" s="32" t="str">
        <f t="shared" ca="1" si="66"/>
        <v>{"id": 364, "group":"17.1", "subgroup": "plan", "subgroupOrder":1, "className": "gray", "content": "Planned", "start": "", "end": ""},</v>
      </c>
      <c r="W367" s="37" t="s">
        <v>2</v>
      </c>
    </row>
    <row r="368" spans="1:24">
      <c r="A368" s="36"/>
      <c r="C368" s="31" t="str">
        <f ca="1">IF(AND(Q368="", S368=""),"//","")</f>
        <v>//</v>
      </c>
      <c r="D368" s="37" t="str">
        <f t="shared" si="60"/>
        <v xml:space="preserve">{"id": </v>
      </c>
      <c r="E368" s="32">
        <f t="shared" si="67"/>
        <v>365</v>
      </c>
      <c r="F368" s="37" t="str">
        <f t="shared" si="68"/>
        <v>, "group":</v>
      </c>
      <c r="G368" s="37" t="str">
        <f ca="1">G367</f>
        <v>"17.1"</v>
      </c>
      <c r="H368" s="37" t="str">
        <f t="shared" si="69"/>
        <v>, "subgroup": "</v>
      </c>
      <c r="I368" s="37" t="s">
        <v>397</v>
      </c>
      <c r="J368" s="37" t="str">
        <f t="shared" si="61"/>
        <v>", "subgroupOrder":</v>
      </c>
      <c r="K368" s="37">
        <v>0</v>
      </c>
      <c r="L368" s="37" t="str">
        <f t="shared" si="62"/>
        <v>, "className": "</v>
      </c>
      <c r="M368" s="32" t="str">
        <f t="shared" ca="1" si="70"/>
        <v/>
      </c>
      <c r="N368" s="37" t="str">
        <f t="shared" si="63"/>
        <v>", "content": "</v>
      </c>
      <c r="O368" s="34" t="str">
        <f ca="1">IF(INDIRECT("Dashboard!P"&amp;((ROW()+1)/3+2))=1,"Completed",IF(INDIRECT("Dashboard!P"&amp;((ROW()+1)/3+2))="","","Pending"))</f>
        <v/>
      </c>
      <c r="P368" s="37" t="str">
        <f t="shared" si="64"/>
        <v>", "start": "</v>
      </c>
      <c r="Q368" s="38" t="str">
        <f ca="1">IF(INDIRECT("Dashboard!K"&amp;((ROW()+1)/3+2))="","",INDIRECT("Dashboard!K"&amp;((ROW()+1)/3+2)))</f>
        <v/>
      </c>
      <c r="R368" s="37" t="str">
        <f t="shared" si="65"/>
        <v>", "end": "</v>
      </c>
      <c r="S368" s="38" t="str">
        <f ca="1">IF(INDIRECT("Dashboard!L"&amp;((ROW()+1)/3+2))="","",INDIRECT("Dashboard!L"&amp;((ROW()+1)/3+2)))</f>
        <v/>
      </c>
      <c r="T368" s="116" t="str">
        <f ca="1">IF(C371="]);",LEFT(T367,2),T367)</f>
        <v>"},</v>
      </c>
      <c r="V368" s="32" t="str">
        <f t="shared" ca="1" si="66"/>
        <v/>
      </c>
      <c r="W368" s="37" t="s">
        <v>2</v>
      </c>
      <c r="X368" s="32" t="str">
        <f ca="1">G368&amp;" : "&amp;INDIRECT("Dashboard!G"&amp;((ROW()+1)/3+2))</f>
        <v>"17.1" : Note : Use case to be evaluated based on research basis in the area of smart home and smart grid &amp; smart factory applications</v>
      </c>
    </row>
    <row r="369" spans="1:24" ht="15" thickBot="1">
      <c r="A369" s="36"/>
      <c r="C369" s="28" t="str">
        <f ca="1">IF(OR(INDIRECT("Dashboard!B"&amp;(ROW()/3+2))&lt;&gt;"&gt;",AND(Q369="",S369="")),"//","")</f>
        <v>//</v>
      </c>
      <c r="D369" s="43" t="str">
        <f t="shared" si="60"/>
        <v xml:space="preserve">{"id": </v>
      </c>
      <c r="E369" s="29">
        <f t="shared" si="67"/>
        <v>366</v>
      </c>
      <c r="F369" s="43" t="str">
        <f t="shared" si="68"/>
        <v>, "group":</v>
      </c>
      <c r="G369" s="43" t="str">
        <f ca="1">G368</f>
        <v>"17.1"</v>
      </c>
      <c r="H369" s="43" t="str">
        <f t="shared" si="69"/>
        <v>, "subgroup": "</v>
      </c>
      <c r="I369" s="43" t="s">
        <v>397</v>
      </c>
      <c r="J369" s="43" t="str">
        <f t="shared" si="61"/>
        <v>", "subgroupOrder":</v>
      </c>
      <c r="K369" s="43">
        <v>0</v>
      </c>
      <c r="L369" s="43" t="str">
        <f t="shared" si="62"/>
        <v>, "className": "</v>
      </c>
      <c r="M369" s="29" t="str">
        <f t="shared" si="70"/>
        <v>orange</v>
      </c>
      <c r="N369" s="43" t="str">
        <f t="shared" si="63"/>
        <v>", "content": "</v>
      </c>
      <c r="O369" s="49" t="s">
        <v>392</v>
      </c>
      <c r="P369" s="43" t="str">
        <f t="shared" si="64"/>
        <v>", "start": "</v>
      </c>
      <c r="Q369" s="44" t="str">
        <f ca="1">S368</f>
        <v/>
      </c>
      <c r="R369" s="43" t="str">
        <f t="shared" si="65"/>
        <v>", "end": "</v>
      </c>
      <c r="S369" s="113" t="str">
        <f ca="1">IF(INDIRECT("Dashboard!M"&amp;(ROW()/3+2))="","",INDIRECT("Dashboard!M"&amp;(ROW()/3+2)))</f>
        <v/>
      </c>
      <c r="T369" s="117" t="str">
        <f ca="1">IF(C371="]);",LEFT(T368,2),T368)</f>
        <v>"},</v>
      </c>
      <c r="V369" s="32" t="str">
        <f t="shared" ca="1" si="66"/>
        <v/>
      </c>
      <c r="W369" s="37" t="s">
        <v>2</v>
      </c>
    </row>
    <row r="370" spans="1:24">
      <c r="A370" s="36"/>
      <c r="C370" s="25"/>
      <c r="D370" s="41" t="str">
        <f t="shared" si="60"/>
        <v xml:space="preserve">{"id": </v>
      </c>
      <c r="E370" s="26">
        <f t="shared" si="67"/>
        <v>367</v>
      </c>
      <c r="F370" s="41" t="str">
        <f t="shared" si="68"/>
        <v>, "group":</v>
      </c>
      <c r="G370" s="111" t="str">
        <f ca="1">CHAR(34)&amp;INDIRECT("Dashboard!A"&amp;(ROW()-1)/3+3)&amp;CHAR(34)</f>
        <v>"17.2"</v>
      </c>
      <c r="H370" s="41" t="str">
        <f t="shared" si="69"/>
        <v>, "subgroup": "</v>
      </c>
      <c r="I370" s="41" t="s">
        <v>396</v>
      </c>
      <c r="J370" s="41" t="str">
        <f t="shared" si="61"/>
        <v>", "subgroupOrder":</v>
      </c>
      <c r="K370" s="41">
        <v>1</v>
      </c>
      <c r="L370" s="41" t="str">
        <f t="shared" si="62"/>
        <v>, "className": "</v>
      </c>
      <c r="M370" s="26" t="str">
        <f t="shared" si="70"/>
        <v>gray</v>
      </c>
      <c r="N370" s="41" t="str">
        <f t="shared" si="63"/>
        <v>", "content": "</v>
      </c>
      <c r="O370" s="40" t="s">
        <v>388</v>
      </c>
      <c r="P370" s="41" t="str">
        <f t="shared" si="64"/>
        <v>", "start": "</v>
      </c>
      <c r="Q370" s="42">
        <f ca="1">IF(INDIRECT("Dashboard!I"&amp;(ROW()-1)/3+3)="","",INDIRECT("Dashboard!I"&amp;(ROW()-1)/3+3))</f>
        <v>45748</v>
      </c>
      <c r="R370" s="41" t="str">
        <f t="shared" si="65"/>
        <v>", "end": "</v>
      </c>
      <c r="S370" s="42">
        <f ca="1">IF(INDIRECT("Dashboard!J"&amp;(ROW()-1)/3+3)="","",INDIRECT("Dashboard!J"&amp;(ROW()-1)/3+3))</f>
        <v>45838</v>
      </c>
      <c r="T370" s="118" t="str">
        <f ca="1">IF(C374="]);",LEFT(T369,2),T369)</f>
        <v>"},</v>
      </c>
      <c r="V370" s="32" t="str">
        <f t="shared" ca="1" si="66"/>
        <v>{"id": 367, "group":"17.2", "subgroup": "plan", "subgroupOrder":1, "className": "gray", "content": "Planned", "start": "2025-04-01", "end": "2025-06-30"},</v>
      </c>
      <c r="W370" s="37" t="s">
        <v>2</v>
      </c>
    </row>
    <row r="371" spans="1:24">
      <c r="A371" s="36"/>
      <c r="C371" s="31" t="str">
        <f ca="1">IF(AND(Q371="", S371=""),"//","")</f>
        <v>//</v>
      </c>
      <c r="D371" s="37" t="str">
        <f t="shared" si="60"/>
        <v xml:space="preserve">{"id": </v>
      </c>
      <c r="E371" s="32">
        <f t="shared" si="67"/>
        <v>368</v>
      </c>
      <c r="F371" s="37" t="str">
        <f t="shared" si="68"/>
        <v>, "group":</v>
      </c>
      <c r="G371" s="37" t="str">
        <f ca="1">G370</f>
        <v>"17.2"</v>
      </c>
      <c r="H371" s="37" t="str">
        <f t="shared" si="69"/>
        <v>, "subgroup": "</v>
      </c>
      <c r="I371" s="37" t="s">
        <v>397</v>
      </c>
      <c r="J371" s="37" t="str">
        <f t="shared" si="61"/>
        <v>", "subgroupOrder":</v>
      </c>
      <c r="K371" s="37">
        <v>0</v>
      </c>
      <c r="L371" s="37" t="str">
        <f t="shared" si="62"/>
        <v>, "className": "</v>
      </c>
      <c r="M371" s="32" t="str">
        <f t="shared" ca="1" si="70"/>
        <v>pink-white</v>
      </c>
      <c r="N371" s="37" t="str">
        <f t="shared" si="63"/>
        <v>", "content": "</v>
      </c>
      <c r="O371" s="34" t="str">
        <f ca="1">IF(INDIRECT("Dashboard!P"&amp;((ROW()+1)/3+2))=1,"Completed",IF(INDIRECT("Dashboard!P"&amp;((ROW()+1)/3+2))="","","Pending"))</f>
        <v>Pending</v>
      </c>
      <c r="P371" s="37" t="str">
        <f t="shared" si="64"/>
        <v>", "start": "</v>
      </c>
      <c r="Q371" s="38" t="str">
        <f ca="1">IF(INDIRECT("Dashboard!K"&amp;((ROW()+1)/3+2))="","",INDIRECT("Dashboard!K"&amp;((ROW()+1)/3+2)))</f>
        <v/>
      </c>
      <c r="R371" s="37" t="str">
        <f t="shared" si="65"/>
        <v>", "end": "</v>
      </c>
      <c r="S371" s="38" t="str">
        <f ca="1">IF(INDIRECT("Dashboard!L"&amp;((ROW()+1)/3+2))="","",INDIRECT("Dashboard!L"&amp;((ROW()+1)/3+2)))</f>
        <v/>
      </c>
      <c r="T371" s="116" t="str">
        <f ca="1">IF(C374="]);",LEFT(T370,2),T370)</f>
        <v>"},</v>
      </c>
      <c r="V371" s="32" t="str">
        <f t="shared" ca="1" si="66"/>
        <v/>
      </c>
      <c r="W371" s="37" t="s">
        <v>2</v>
      </c>
      <c r="X371" s="32" t="str">
        <f ca="1">G371&amp;" : "&amp;INDIRECT("Dashboard!G"&amp;((ROW()+1)/3+2))</f>
        <v>"17.2" : Technical design document explaining the data schema and algorithm</v>
      </c>
    </row>
    <row r="372" spans="1:24" ht="15" thickBot="1">
      <c r="A372" s="36"/>
      <c r="C372" s="28" t="str">
        <f ca="1">IF(OR(INDIRECT("Dashboard!B"&amp;(ROW()/3+2))&lt;&gt;"&gt;",AND(Q372="",S372="")),"//","")</f>
        <v>//</v>
      </c>
      <c r="D372" s="43" t="str">
        <f t="shared" si="60"/>
        <v xml:space="preserve">{"id": </v>
      </c>
      <c r="E372" s="29">
        <f t="shared" si="67"/>
        <v>369</v>
      </c>
      <c r="F372" s="43" t="str">
        <f t="shared" si="68"/>
        <v>, "group":</v>
      </c>
      <c r="G372" s="43" t="str">
        <f ca="1">G371</f>
        <v>"17.2"</v>
      </c>
      <c r="H372" s="43" t="str">
        <f t="shared" si="69"/>
        <v>, "subgroup": "</v>
      </c>
      <c r="I372" s="43" t="s">
        <v>397</v>
      </c>
      <c r="J372" s="43" t="str">
        <f t="shared" si="61"/>
        <v>", "subgroupOrder":</v>
      </c>
      <c r="K372" s="43">
        <v>0</v>
      </c>
      <c r="L372" s="43" t="str">
        <f t="shared" si="62"/>
        <v>, "className": "</v>
      </c>
      <c r="M372" s="29" t="str">
        <f t="shared" si="70"/>
        <v>orange</v>
      </c>
      <c r="N372" s="43" t="str">
        <f t="shared" si="63"/>
        <v>", "content": "</v>
      </c>
      <c r="O372" s="49" t="s">
        <v>392</v>
      </c>
      <c r="P372" s="43" t="str">
        <f t="shared" si="64"/>
        <v>", "start": "</v>
      </c>
      <c r="Q372" s="44" t="str">
        <f ca="1">S371</f>
        <v/>
      </c>
      <c r="R372" s="43" t="str">
        <f t="shared" si="65"/>
        <v>", "end": "</v>
      </c>
      <c r="S372" s="113" t="str">
        <f ca="1">IF(INDIRECT("Dashboard!M"&amp;(ROW()/3+2))="","",INDIRECT("Dashboard!M"&amp;(ROW()/3+2)))</f>
        <v/>
      </c>
      <c r="T372" s="117" t="str">
        <f ca="1">IF(C374="]);",LEFT(T371,2),T371)</f>
        <v>"},</v>
      </c>
      <c r="V372" s="32" t="str">
        <f t="shared" ca="1" si="66"/>
        <v/>
      </c>
      <c r="W372" s="37" t="s">
        <v>2</v>
      </c>
    </row>
    <row r="373" spans="1:24">
      <c r="A373" s="36"/>
      <c r="C373" s="25"/>
      <c r="D373" s="41" t="str">
        <f t="shared" si="60"/>
        <v xml:space="preserve">{"id": </v>
      </c>
      <c r="E373" s="26">
        <f t="shared" si="67"/>
        <v>370</v>
      </c>
      <c r="F373" s="41" t="str">
        <f t="shared" si="68"/>
        <v>, "group":</v>
      </c>
      <c r="G373" s="111" t="str">
        <f ca="1">CHAR(34)&amp;INDIRECT("Dashboard!A"&amp;(ROW()-1)/3+3)&amp;CHAR(34)</f>
        <v>"17.3"</v>
      </c>
      <c r="H373" s="41" t="str">
        <f t="shared" si="69"/>
        <v>, "subgroup": "</v>
      </c>
      <c r="I373" s="41" t="s">
        <v>396</v>
      </c>
      <c r="J373" s="41" t="str">
        <f t="shared" si="61"/>
        <v>", "subgroupOrder":</v>
      </c>
      <c r="K373" s="41">
        <v>1</v>
      </c>
      <c r="L373" s="41" t="str">
        <f t="shared" si="62"/>
        <v>, "className": "</v>
      </c>
      <c r="M373" s="26" t="str">
        <f t="shared" si="70"/>
        <v>gray</v>
      </c>
      <c r="N373" s="41" t="str">
        <f t="shared" si="63"/>
        <v>", "content": "</v>
      </c>
      <c r="O373" s="40" t="s">
        <v>388</v>
      </c>
      <c r="P373" s="41" t="str">
        <f t="shared" si="64"/>
        <v>", "start": "</v>
      </c>
      <c r="Q373" s="42">
        <f ca="1">IF(INDIRECT("Dashboard!I"&amp;(ROW()-1)/3+3)="","",INDIRECT("Dashboard!I"&amp;(ROW()-1)/3+3))</f>
        <v>45748</v>
      </c>
      <c r="R373" s="41" t="str">
        <f t="shared" si="65"/>
        <v>", "end": "</v>
      </c>
      <c r="S373" s="42">
        <f ca="1">IF(INDIRECT("Dashboard!J"&amp;(ROW()-1)/3+3)="","",INDIRECT("Dashboard!J"&amp;(ROW()-1)/3+3))</f>
        <v>45838</v>
      </c>
      <c r="T373" s="118" t="str">
        <f ca="1">IF(C377="]);",LEFT(T372,2),T372)</f>
        <v>"},</v>
      </c>
      <c r="V373" s="32" t="str">
        <f t="shared" ca="1" si="66"/>
        <v>{"id": 370, "group":"17.3", "subgroup": "plan", "subgroupOrder":1, "className": "gray", "content": "Planned", "start": "2025-04-01", "end": "2025-06-30"},</v>
      </c>
      <c r="W373" s="37" t="s">
        <v>2</v>
      </c>
    </row>
    <row r="374" spans="1:24">
      <c r="A374" s="36"/>
      <c r="C374" s="31" t="str">
        <f ca="1">IF(AND(Q374="", S374=""),"//","")</f>
        <v>//</v>
      </c>
      <c r="D374" s="37" t="str">
        <f t="shared" si="60"/>
        <v xml:space="preserve">{"id": </v>
      </c>
      <c r="E374" s="32">
        <f t="shared" si="67"/>
        <v>371</v>
      </c>
      <c r="F374" s="37" t="str">
        <f t="shared" si="68"/>
        <v>, "group":</v>
      </c>
      <c r="G374" s="37" t="str">
        <f ca="1">G373</f>
        <v>"17.3"</v>
      </c>
      <c r="H374" s="37" t="str">
        <f t="shared" si="69"/>
        <v>, "subgroup": "</v>
      </c>
      <c r="I374" s="37" t="s">
        <v>397</v>
      </c>
      <c r="J374" s="37" t="str">
        <f t="shared" si="61"/>
        <v>", "subgroupOrder":</v>
      </c>
      <c r="K374" s="37">
        <v>0</v>
      </c>
      <c r="L374" s="37" t="str">
        <f t="shared" si="62"/>
        <v>, "className": "</v>
      </c>
      <c r="M374" s="32" t="str">
        <f t="shared" ca="1" si="70"/>
        <v>pink-white</v>
      </c>
      <c r="N374" s="37" t="str">
        <f t="shared" si="63"/>
        <v>", "content": "</v>
      </c>
      <c r="O374" s="34" t="str">
        <f ca="1">IF(INDIRECT("Dashboard!P"&amp;((ROW()+1)/3+2))=1,"Completed",IF(INDIRECT("Dashboard!P"&amp;((ROW()+1)/3+2))="","","Pending"))</f>
        <v>Pending</v>
      </c>
      <c r="P374" s="37" t="str">
        <f t="shared" si="64"/>
        <v>", "start": "</v>
      </c>
      <c r="Q374" s="38" t="str">
        <f ca="1">IF(INDIRECT("Dashboard!K"&amp;((ROW()+1)/3+2))="","",INDIRECT("Dashboard!K"&amp;((ROW()+1)/3+2)))</f>
        <v/>
      </c>
      <c r="R374" s="37" t="str">
        <f t="shared" si="65"/>
        <v>", "end": "</v>
      </c>
      <c r="S374" s="38" t="str">
        <f ca="1">IF(INDIRECT("Dashboard!L"&amp;((ROW()+1)/3+2))="","",INDIRECT("Dashboard!L"&amp;((ROW()+1)/3+2)))</f>
        <v/>
      </c>
      <c r="T374" s="116" t="str">
        <f ca="1">IF(C377="]);",LEFT(T373,2),T373)</f>
        <v>"},</v>
      </c>
      <c r="V374" s="32" t="str">
        <f t="shared" ca="1" si="66"/>
        <v/>
      </c>
      <c r="W374" s="37" t="s">
        <v>2</v>
      </c>
      <c r="X374" s="32" t="str">
        <f ca="1">G374&amp;" : "&amp;INDIRECT("Dashboard!G"&amp;((ROW()+1)/3+2))</f>
        <v>"17.3" : Software Code</v>
      </c>
    </row>
    <row r="375" spans="1:24" ht="15" thickBot="1">
      <c r="A375" s="36"/>
      <c r="C375" s="28" t="str">
        <f ca="1">IF(OR(INDIRECT("Dashboard!B"&amp;(ROW()/3+2))&lt;&gt;"&gt;",AND(Q375="",S375="")),"//","")</f>
        <v>//</v>
      </c>
      <c r="D375" s="43" t="str">
        <f t="shared" si="60"/>
        <v xml:space="preserve">{"id": </v>
      </c>
      <c r="E375" s="29">
        <f t="shared" si="67"/>
        <v>372</v>
      </c>
      <c r="F375" s="43" t="str">
        <f t="shared" si="68"/>
        <v>, "group":</v>
      </c>
      <c r="G375" s="43" t="str">
        <f ca="1">G374</f>
        <v>"17.3"</v>
      </c>
      <c r="H375" s="43" t="str">
        <f t="shared" si="69"/>
        <v>, "subgroup": "</v>
      </c>
      <c r="I375" s="43" t="s">
        <v>397</v>
      </c>
      <c r="J375" s="43" t="str">
        <f t="shared" si="61"/>
        <v>", "subgroupOrder":</v>
      </c>
      <c r="K375" s="43">
        <v>0</v>
      </c>
      <c r="L375" s="43" t="str">
        <f t="shared" si="62"/>
        <v>, "className": "</v>
      </c>
      <c r="M375" s="29" t="str">
        <f t="shared" si="70"/>
        <v>orange</v>
      </c>
      <c r="N375" s="43" t="str">
        <f t="shared" si="63"/>
        <v>", "content": "</v>
      </c>
      <c r="O375" s="49" t="s">
        <v>392</v>
      </c>
      <c r="P375" s="43" t="str">
        <f t="shared" si="64"/>
        <v>", "start": "</v>
      </c>
      <c r="Q375" s="44" t="str">
        <f ca="1">S374</f>
        <v/>
      </c>
      <c r="R375" s="43" t="str">
        <f t="shared" si="65"/>
        <v>", "end": "</v>
      </c>
      <c r="S375" s="113" t="str">
        <f ca="1">IF(INDIRECT("Dashboard!M"&amp;(ROW()/3+2))="","",INDIRECT("Dashboard!M"&amp;(ROW()/3+2)))</f>
        <v/>
      </c>
      <c r="T375" s="117" t="str">
        <f ca="1">IF(C377="]);",LEFT(T374,2),T374)</f>
        <v>"},</v>
      </c>
      <c r="V375" s="32" t="str">
        <f t="shared" ca="1" si="66"/>
        <v/>
      </c>
      <c r="W375" s="37" t="s">
        <v>2</v>
      </c>
    </row>
    <row r="376" spans="1:24">
      <c r="A376" s="36"/>
      <c r="C376" s="25"/>
      <c r="D376" s="41" t="str">
        <f t="shared" si="60"/>
        <v xml:space="preserve">{"id": </v>
      </c>
      <c r="E376" s="26">
        <f t="shared" si="67"/>
        <v>373</v>
      </c>
      <c r="F376" s="41" t="str">
        <f t="shared" si="68"/>
        <v>, "group":</v>
      </c>
      <c r="G376" s="111" t="str">
        <f ca="1">CHAR(34)&amp;INDIRECT("Dashboard!A"&amp;(ROW()-1)/3+3)&amp;CHAR(34)</f>
        <v>"17.4"</v>
      </c>
      <c r="H376" s="41" t="str">
        <f t="shared" si="69"/>
        <v>, "subgroup": "</v>
      </c>
      <c r="I376" s="41" t="s">
        <v>396</v>
      </c>
      <c r="J376" s="41" t="str">
        <f t="shared" si="61"/>
        <v>", "subgroupOrder":</v>
      </c>
      <c r="K376" s="41">
        <v>1</v>
      </c>
      <c r="L376" s="41" t="str">
        <f t="shared" si="62"/>
        <v>, "className": "</v>
      </c>
      <c r="M376" s="26" t="str">
        <f t="shared" si="70"/>
        <v>gray</v>
      </c>
      <c r="N376" s="41" t="str">
        <f t="shared" si="63"/>
        <v>", "content": "</v>
      </c>
      <c r="O376" s="40" t="s">
        <v>388</v>
      </c>
      <c r="P376" s="41" t="str">
        <f t="shared" si="64"/>
        <v>", "start": "</v>
      </c>
      <c r="Q376" s="42">
        <f ca="1">IF(INDIRECT("Dashboard!I"&amp;(ROW()-1)/3+3)="","",INDIRECT("Dashboard!I"&amp;(ROW()-1)/3+3))</f>
        <v>45748</v>
      </c>
      <c r="R376" s="41" t="str">
        <f t="shared" si="65"/>
        <v>", "end": "</v>
      </c>
      <c r="S376" s="42">
        <f ca="1">IF(INDIRECT("Dashboard!J"&amp;(ROW()-1)/3+3)="","",INDIRECT("Dashboard!J"&amp;(ROW()-1)/3+3))</f>
        <v>45838</v>
      </c>
      <c r="T376" s="118" t="str">
        <f ca="1">IF(C380="]);",LEFT(T375,2),T375)</f>
        <v>"},</v>
      </c>
      <c r="V376" s="32" t="str">
        <f t="shared" ca="1" si="66"/>
        <v>{"id": 373, "group":"17.4", "subgroup": "plan", "subgroupOrder":1, "className": "gray", "content": "Planned", "start": "2025-04-01", "end": "2025-06-30"},</v>
      </c>
      <c r="W376" s="37" t="s">
        <v>2</v>
      </c>
    </row>
    <row r="377" spans="1:24">
      <c r="A377" s="36"/>
      <c r="C377" s="31" t="str">
        <f ca="1">IF(AND(Q377="", S377=""),"//","")</f>
        <v>//</v>
      </c>
      <c r="D377" s="37" t="str">
        <f t="shared" si="60"/>
        <v xml:space="preserve">{"id": </v>
      </c>
      <c r="E377" s="32">
        <f t="shared" si="67"/>
        <v>374</v>
      </c>
      <c r="F377" s="37" t="str">
        <f t="shared" si="68"/>
        <v>, "group":</v>
      </c>
      <c r="G377" s="37" t="str">
        <f ca="1">G376</f>
        <v>"17.4"</v>
      </c>
      <c r="H377" s="37" t="str">
        <f t="shared" si="69"/>
        <v>, "subgroup": "</v>
      </c>
      <c r="I377" s="37" t="s">
        <v>397</v>
      </c>
      <c r="J377" s="37" t="str">
        <f t="shared" si="61"/>
        <v>", "subgroupOrder":</v>
      </c>
      <c r="K377" s="37">
        <v>0</v>
      </c>
      <c r="L377" s="37" t="str">
        <f t="shared" si="62"/>
        <v>, "className": "</v>
      </c>
      <c r="M377" s="32" t="str">
        <f t="shared" ca="1" si="70"/>
        <v>pink-white</v>
      </c>
      <c r="N377" s="37" t="str">
        <f t="shared" si="63"/>
        <v>", "content": "</v>
      </c>
      <c r="O377" s="34" t="str">
        <f ca="1">IF(INDIRECT("Dashboard!P"&amp;((ROW()+1)/3+2))=1,"Completed",IF(INDIRECT("Dashboard!P"&amp;((ROW()+1)/3+2))="","","Pending"))</f>
        <v>Pending</v>
      </c>
      <c r="P377" s="37" t="str">
        <f t="shared" si="64"/>
        <v>", "start": "</v>
      </c>
      <c r="Q377" s="38" t="str">
        <f ca="1">IF(INDIRECT("Dashboard!K"&amp;((ROW()+1)/3+2))="","",INDIRECT("Dashboard!K"&amp;((ROW()+1)/3+2)))</f>
        <v/>
      </c>
      <c r="R377" s="37" t="str">
        <f t="shared" si="65"/>
        <v>", "end": "</v>
      </c>
      <c r="S377" s="38" t="str">
        <f ca="1">IF(INDIRECT("Dashboard!L"&amp;((ROW()+1)/3+2))="","",INDIRECT("Dashboard!L"&amp;((ROW()+1)/3+2)))</f>
        <v/>
      </c>
      <c r="T377" s="116" t="str">
        <f ca="1">IF(C380="]);",LEFT(T376,2),T376)</f>
        <v>"},</v>
      </c>
      <c r="V377" s="32" t="str">
        <f t="shared" ca="1" si="66"/>
        <v/>
      </c>
      <c r="W377" s="37" t="s">
        <v>2</v>
      </c>
      <c r="X377" s="32" t="str">
        <f ca="1">G377&amp;" : "&amp;INDIRECT("Dashboard!G"&amp;((ROW()+1)/3+2))</f>
        <v>"17.4" : Deployment Procedure of the code</v>
      </c>
    </row>
    <row r="378" spans="1:24" ht="15" thickBot="1">
      <c r="A378" s="36"/>
      <c r="C378" s="28" t="str">
        <f ca="1">IF(OR(INDIRECT("Dashboard!B"&amp;(ROW()/3+2))&lt;&gt;"&gt;",AND(Q378="",S378="")),"//","")</f>
        <v>//</v>
      </c>
      <c r="D378" s="43" t="str">
        <f t="shared" si="60"/>
        <v xml:space="preserve">{"id": </v>
      </c>
      <c r="E378" s="29">
        <f t="shared" si="67"/>
        <v>375</v>
      </c>
      <c r="F378" s="43" t="str">
        <f t="shared" si="68"/>
        <v>, "group":</v>
      </c>
      <c r="G378" s="43" t="str">
        <f ca="1">G377</f>
        <v>"17.4"</v>
      </c>
      <c r="H378" s="43" t="str">
        <f t="shared" si="69"/>
        <v>, "subgroup": "</v>
      </c>
      <c r="I378" s="43" t="s">
        <v>397</v>
      </c>
      <c r="J378" s="43" t="str">
        <f t="shared" si="61"/>
        <v>", "subgroupOrder":</v>
      </c>
      <c r="K378" s="43">
        <v>0</v>
      </c>
      <c r="L378" s="43" t="str">
        <f t="shared" si="62"/>
        <v>, "className": "</v>
      </c>
      <c r="M378" s="29" t="str">
        <f t="shared" si="70"/>
        <v>orange</v>
      </c>
      <c r="N378" s="43" t="str">
        <f t="shared" si="63"/>
        <v>", "content": "</v>
      </c>
      <c r="O378" s="49" t="s">
        <v>392</v>
      </c>
      <c r="P378" s="43" t="str">
        <f t="shared" si="64"/>
        <v>", "start": "</v>
      </c>
      <c r="Q378" s="44" t="str">
        <f ca="1">S377</f>
        <v/>
      </c>
      <c r="R378" s="43" t="str">
        <f t="shared" si="65"/>
        <v>", "end": "</v>
      </c>
      <c r="S378" s="113" t="str">
        <f ca="1">IF(INDIRECT("Dashboard!M"&amp;(ROW()/3+2))="","",INDIRECT("Dashboard!M"&amp;(ROW()/3+2)))</f>
        <v/>
      </c>
      <c r="T378" s="117" t="str">
        <f ca="1">IF(C380="]);",LEFT(T377,2),T377)</f>
        <v>"},</v>
      </c>
      <c r="V378" s="32" t="str">
        <f t="shared" ca="1" si="66"/>
        <v/>
      </c>
      <c r="W378" s="37" t="s">
        <v>2</v>
      </c>
    </row>
    <row r="379" spans="1:24">
      <c r="A379" s="36"/>
      <c r="C379" s="25"/>
      <c r="D379" s="41" t="str">
        <f t="shared" si="60"/>
        <v xml:space="preserve">{"id": </v>
      </c>
      <c r="E379" s="26">
        <f t="shared" si="67"/>
        <v>376</v>
      </c>
      <c r="F379" s="41" t="str">
        <f t="shared" si="68"/>
        <v>, "group":</v>
      </c>
      <c r="G379" s="111" t="str">
        <f ca="1">CHAR(34)&amp;INDIRECT("Dashboard!A"&amp;(ROW()-1)/3+3)&amp;CHAR(34)</f>
        <v>"17.5"</v>
      </c>
      <c r="H379" s="41" t="str">
        <f t="shared" si="69"/>
        <v>, "subgroup": "</v>
      </c>
      <c r="I379" s="41" t="s">
        <v>396</v>
      </c>
      <c r="J379" s="41" t="str">
        <f t="shared" si="61"/>
        <v>", "subgroupOrder":</v>
      </c>
      <c r="K379" s="41">
        <v>1</v>
      </c>
      <c r="L379" s="41" t="str">
        <f t="shared" si="62"/>
        <v>, "className": "</v>
      </c>
      <c r="M379" s="26" t="str">
        <f t="shared" si="70"/>
        <v>gray</v>
      </c>
      <c r="N379" s="41" t="str">
        <f t="shared" si="63"/>
        <v>", "content": "</v>
      </c>
      <c r="O379" s="40" t="s">
        <v>388</v>
      </c>
      <c r="P379" s="41" t="str">
        <f t="shared" si="64"/>
        <v>", "start": "</v>
      </c>
      <c r="Q379" s="42">
        <f ca="1">IF(INDIRECT("Dashboard!I"&amp;(ROW()-1)/3+3)="","",INDIRECT("Dashboard!I"&amp;(ROW()-1)/3+3))</f>
        <v>45748</v>
      </c>
      <c r="R379" s="41" t="str">
        <f t="shared" si="65"/>
        <v>", "end": "</v>
      </c>
      <c r="S379" s="42">
        <f ca="1">IF(INDIRECT("Dashboard!J"&amp;(ROW()-1)/3+3)="","",INDIRECT("Dashboard!J"&amp;(ROW()-1)/3+3))</f>
        <v>45838</v>
      </c>
      <c r="T379" s="118" t="str">
        <f ca="1">IF(C383="]);",LEFT(T378,2),T378)</f>
        <v>"},</v>
      </c>
      <c r="V379" s="32" t="str">
        <f t="shared" ca="1" si="66"/>
        <v>{"id": 376, "group":"17.5", "subgroup": "plan", "subgroupOrder":1, "className": "gray", "content": "Planned", "start": "2025-04-01", "end": "2025-06-30"},</v>
      </c>
      <c r="W379" s="37" t="s">
        <v>2</v>
      </c>
    </row>
    <row r="380" spans="1:24">
      <c r="A380" s="36"/>
      <c r="C380" s="31" t="str">
        <f ca="1">IF(AND(Q380="", S380=""),"//","")</f>
        <v>//</v>
      </c>
      <c r="D380" s="37" t="str">
        <f t="shared" si="60"/>
        <v xml:space="preserve">{"id": </v>
      </c>
      <c r="E380" s="32">
        <f t="shared" si="67"/>
        <v>377</v>
      </c>
      <c r="F380" s="37" t="str">
        <f t="shared" si="68"/>
        <v>, "group":</v>
      </c>
      <c r="G380" s="37" t="str">
        <f ca="1">G379</f>
        <v>"17.5"</v>
      </c>
      <c r="H380" s="37" t="str">
        <f t="shared" si="69"/>
        <v>, "subgroup": "</v>
      </c>
      <c r="I380" s="37" t="s">
        <v>397</v>
      </c>
      <c r="J380" s="37" t="str">
        <f t="shared" si="61"/>
        <v>", "subgroupOrder":</v>
      </c>
      <c r="K380" s="37">
        <v>0</v>
      </c>
      <c r="L380" s="37" t="str">
        <f t="shared" si="62"/>
        <v>, "className": "</v>
      </c>
      <c r="M380" s="32" t="str">
        <f t="shared" ca="1" si="70"/>
        <v>pink-white</v>
      </c>
      <c r="N380" s="37" t="str">
        <f t="shared" si="63"/>
        <v>", "content": "</v>
      </c>
      <c r="O380" s="34" t="str">
        <f ca="1">IF(INDIRECT("Dashboard!P"&amp;((ROW()+1)/3+2))=1,"Completed",IF(INDIRECT("Dashboard!P"&amp;((ROW()+1)/3+2))="","","Pending"))</f>
        <v>Pending</v>
      </c>
      <c r="P380" s="37" t="str">
        <f t="shared" si="64"/>
        <v>", "start": "</v>
      </c>
      <c r="Q380" s="38" t="str">
        <f ca="1">IF(INDIRECT("Dashboard!K"&amp;((ROW()+1)/3+2))="","",INDIRECT("Dashboard!K"&amp;((ROW()+1)/3+2)))</f>
        <v/>
      </c>
      <c r="R380" s="37" t="str">
        <f t="shared" si="65"/>
        <v>", "end": "</v>
      </c>
      <c r="S380" s="38" t="str">
        <f ca="1">IF(INDIRECT("Dashboard!L"&amp;((ROW()+1)/3+2))="","",INDIRECT("Dashboard!L"&amp;((ROW()+1)/3+2)))</f>
        <v/>
      </c>
      <c r="T380" s="116" t="str">
        <f ca="1">IF(C383="]);",LEFT(T379,2),T379)</f>
        <v>"},</v>
      </c>
      <c r="V380" s="32" t="str">
        <f t="shared" ca="1" si="66"/>
        <v/>
      </c>
      <c r="W380" s="37" t="s">
        <v>2</v>
      </c>
      <c r="X380" s="32" t="str">
        <f ca="1">G380&amp;" : "&amp;INDIRECT("Dashboard!G"&amp;((ROW()+1)/3+2))</f>
        <v>"17.5" : Product usage guide with examples for all the functional usecases</v>
      </c>
    </row>
    <row r="381" spans="1:24" ht="15" thickBot="1">
      <c r="A381" s="36"/>
      <c r="C381" s="28" t="str">
        <f ca="1">IF(OR(INDIRECT("Dashboard!B"&amp;(ROW()/3+2))&lt;&gt;"&gt;",AND(Q381="",S381="")),"//","")</f>
        <v>//</v>
      </c>
      <c r="D381" s="43" t="str">
        <f t="shared" si="60"/>
        <v xml:space="preserve">{"id": </v>
      </c>
      <c r="E381" s="29">
        <f t="shared" si="67"/>
        <v>378</v>
      </c>
      <c r="F381" s="43" t="str">
        <f t="shared" si="68"/>
        <v>, "group":</v>
      </c>
      <c r="G381" s="43" t="str">
        <f ca="1">G380</f>
        <v>"17.5"</v>
      </c>
      <c r="H381" s="43" t="str">
        <f t="shared" si="69"/>
        <v>, "subgroup": "</v>
      </c>
      <c r="I381" s="43" t="s">
        <v>397</v>
      </c>
      <c r="J381" s="43" t="str">
        <f t="shared" si="61"/>
        <v>", "subgroupOrder":</v>
      </c>
      <c r="K381" s="43">
        <v>0</v>
      </c>
      <c r="L381" s="43" t="str">
        <f t="shared" si="62"/>
        <v>, "className": "</v>
      </c>
      <c r="M381" s="29" t="str">
        <f t="shared" si="70"/>
        <v>orange</v>
      </c>
      <c r="N381" s="43" t="str">
        <f t="shared" si="63"/>
        <v>", "content": "</v>
      </c>
      <c r="O381" s="49" t="s">
        <v>392</v>
      </c>
      <c r="P381" s="43" t="str">
        <f t="shared" si="64"/>
        <v>", "start": "</v>
      </c>
      <c r="Q381" s="44" t="str">
        <f ca="1">S380</f>
        <v/>
      </c>
      <c r="R381" s="43" t="str">
        <f t="shared" si="65"/>
        <v>", "end": "</v>
      </c>
      <c r="S381" s="113" t="str">
        <f ca="1">IF(INDIRECT("Dashboard!M"&amp;(ROW()/3+2))="","",INDIRECT("Dashboard!M"&amp;(ROW()/3+2)))</f>
        <v/>
      </c>
      <c r="T381" s="117" t="str">
        <f ca="1">IF(C383="]);",LEFT(T380,2),T380)</f>
        <v>"},</v>
      </c>
      <c r="V381" s="32" t="str">
        <f t="shared" ca="1" si="66"/>
        <v/>
      </c>
      <c r="W381" s="37" t="s">
        <v>2</v>
      </c>
    </row>
    <row r="382" spans="1:24">
      <c r="A382" s="36"/>
      <c r="C382" s="25"/>
      <c r="D382" s="41" t="str">
        <f t="shared" si="60"/>
        <v xml:space="preserve">{"id": </v>
      </c>
      <c r="E382" s="26">
        <f t="shared" si="67"/>
        <v>379</v>
      </c>
      <c r="F382" s="41" t="str">
        <f t="shared" si="68"/>
        <v>, "group":</v>
      </c>
      <c r="G382" s="111" t="str">
        <f ca="1">CHAR(34)&amp;INDIRECT("Dashboard!A"&amp;(ROW()-1)/3+3)&amp;CHAR(34)</f>
        <v>"17.6"</v>
      </c>
      <c r="H382" s="41" t="str">
        <f t="shared" si="69"/>
        <v>, "subgroup": "</v>
      </c>
      <c r="I382" s="41" t="s">
        <v>396</v>
      </c>
      <c r="J382" s="41" t="str">
        <f t="shared" si="61"/>
        <v>", "subgroupOrder":</v>
      </c>
      <c r="K382" s="41">
        <v>1</v>
      </c>
      <c r="L382" s="41" t="str">
        <f t="shared" si="62"/>
        <v>, "className": "</v>
      </c>
      <c r="M382" s="26" t="str">
        <f t="shared" si="70"/>
        <v>gray</v>
      </c>
      <c r="N382" s="41" t="str">
        <f t="shared" si="63"/>
        <v>", "content": "</v>
      </c>
      <c r="O382" s="40" t="s">
        <v>388</v>
      </c>
      <c r="P382" s="41" t="str">
        <f t="shared" si="64"/>
        <v>", "start": "</v>
      </c>
      <c r="Q382" s="42">
        <f ca="1">IF(INDIRECT("Dashboard!I"&amp;(ROW()-1)/3+3)="","",INDIRECT("Dashboard!I"&amp;(ROW()-1)/3+3))</f>
        <v>45748</v>
      </c>
      <c r="R382" s="41" t="str">
        <f t="shared" si="65"/>
        <v>", "end": "</v>
      </c>
      <c r="S382" s="42">
        <f ca="1">IF(INDIRECT("Dashboard!J"&amp;(ROW()-1)/3+3)="","",INDIRECT("Dashboard!J"&amp;(ROW()-1)/3+3))</f>
        <v>45838</v>
      </c>
      <c r="T382" s="118" t="str">
        <f ca="1">IF(C386="]);",LEFT(T381,2),T381)</f>
        <v>"},</v>
      </c>
      <c r="V382" s="32" t="str">
        <f t="shared" ca="1" si="66"/>
        <v>{"id": 379, "group":"17.6", "subgroup": "plan", "subgroupOrder":1, "className": "gray", "content": "Planned", "start": "2025-04-01", "end": "2025-06-30"},</v>
      </c>
      <c r="W382" s="37" t="s">
        <v>2</v>
      </c>
    </row>
    <row r="383" spans="1:24">
      <c r="A383" s="36"/>
      <c r="C383" s="31" t="str">
        <f ca="1">IF(AND(Q383="", S383=""),"//","")</f>
        <v>//</v>
      </c>
      <c r="D383" s="37" t="str">
        <f t="shared" si="60"/>
        <v xml:space="preserve">{"id": </v>
      </c>
      <c r="E383" s="32">
        <f t="shared" si="67"/>
        <v>380</v>
      </c>
      <c r="F383" s="37" t="str">
        <f t="shared" si="68"/>
        <v>, "group":</v>
      </c>
      <c r="G383" s="37" t="str">
        <f ca="1">G382</f>
        <v>"17.6"</v>
      </c>
      <c r="H383" s="37" t="str">
        <f t="shared" si="69"/>
        <v>, "subgroup": "</v>
      </c>
      <c r="I383" s="37" t="s">
        <v>397</v>
      </c>
      <c r="J383" s="37" t="str">
        <f t="shared" si="61"/>
        <v>", "subgroupOrder":</v>
      </c>
      <c r="K383" s="37">
        <v>0</v>
      </c>
      <c r="L383" s="37" t="str">
        <f t="shared" si="62"/>
        <v>, "className": "</v>
      </c>
      <c r="M383" s="32" t="str">
        <f t="shared" ca="1" si="70"/>
        <v>pink-white</v>
      </c>
      <c r="N383" s="37" t="str">
        <f t="shared" si="63"/>
        <v>", "content": "</v>
      </c>
      <c r="O383" s="34" t="str">
        <f ca="1">IF(INDIRECT("Dashboard!P"&amp;((ROW()+1)/3+2))=1,"Completed",IF(INDIRECT("Dashboard!P"&amp;((ROW()+1)/3+2))="","","Pending"))</f>
        <v>Pending</v>
      </c>
      <c r="P383" s="37" t="str">
        <f t="shared" si="64"/>
        <v>", "start": "</v>
      </c>
      <c r="Q383" s="38" t="str">
        <f ca="1">IF(INDIRECT("Dashboard!K"&amp;((ROW()+1)/3+2))="","",INDIRECT("Dashboard!K"&amp;((ROW()+1)/3+2)))</f>
        <v/>
      </c>
      <c r="R383" s="37" t="str">
        <f t="shared" si="65"/>
        <v>", "end": "</v>
      </c>
      <c r="S383" s="38" t="str">
        <f ca="1">IF(INDIRECT("Dashboard!L"&amp;((ROW()+1)/3+2))="","",INDIRECT("Dashboard!L"&amp;((ROW()+1)/3+2)))</f>
        <v/>
      </c>
      <c r="T383" s="116" t="str">
        <f ca="1">IF(C386="]);",LEFT(T382,2),T382)</f>
        <v>"},</v>
      </c>
      <c r="V383" s="32" t="str">
        <f t="shared" ca="1" si="66"/>
        <v/>
      </c>
      <c r="W383" s="37" t="s">
        <v>2</v>
      </c>
      <c r="X383" s="32" t="str">
        <f ca="1">G383&amp;" : "&amp;INDIRECT("Dashboard!G"&amp;((ROW()+1)/3+2))</f>
        <v xml:space="preserve">"17.6" : Test report </v>
      </c>
    </row>
    <row r="384" spans="1:24" ht="15" thickBot="1">
      <c r="A384" s="36"/>
      <c r="C384" s="28" t="str">
        <f ca="1">IF(OR(INDIRECT("Dashboard!B"&amp;(ROW()/3+2))&lt;&gt;"&gt;",AND(Q384="",S384="")),"//","")</f>
        <v>//</v>
      </c>
      <c r="D384" s="43" t="str">
        <f t="shared" si="60"/>
        <v xml:space="preserve">{"id": </v>
      </c>
      <c r="E384" s="29">
        <f t="shared" si="67"/>
        <v>381</v>
      </c>
      <c r="F384" s="43" t="str">
        <f t="shared" si="68"/>
        <v>, "group":</v>
      </c>
      <c r="G384" s="43" t="str">
        <f ca="1">G383</f>
        <v>"17.6"</v>
      </c>
      <c r="H384" s="43" t="str">
        <f t="shared" si="69"/>
        <v>, "subgroup": "</v>
      </c>
      <c r="I384" s="43" t="s">
        <v>397</v>
      </c>
      <c r="J384" s="43" t="str">
        <f t="shared" si="61"/>
        <v>", "subgroupOrder":</v>
      </c>
      <c r="K384" s="43">
        <v>0</v>
      </c>
      <c r="L384" s="43" t="str">
        <f t="shared" si="62"/>
        <v>, "className": "</v>
      </c>
      <c r="M384" s="29" t="str">
        <f t="shared" si="70"/>
        <v>orange</v>
      </c>
      <c r="N384" s="43" t="str">
        <f t="shared" si="63"/>
        <v>", "content": "</v>
      </c>
      <c r="O384" s="49" t="s">
        <v>392</v>
      </c>
      <c r="P384" s="43" t="str">
        <f t="shared" si="64"/>
        <v>", "start": "</v>
      </c>
      <c r="Q384" s="44" t="str">
        <f ca="1">S383</f>
        <v/>
      </c>
      <c r="R384" s="43" t="str">
        <f t="shared" si="65"/>
        <v>", "end": "</v>
      </c>
      <c r="S384" s="113" t="str">
        <f ca="1">IF(INDIRECT("Dashboard!M"&amp;(ROW()/3+2))="","",INDIRECT("Dashboard!M"&amp;(ROW()/3+2)))</f>
        <v/>
      </c>
      <c r="T384" s="117" t="str">
        <f ca="1">IF(C386="]);",LEFT(T383,2),T383)</f>
        <v>"},</v>
      </c>
      <c r="V384" s="32" t="str">
        <f t="shared" ca="1" si="66"/>
        <v/>
      </c>
      <c r="W384" s="37" t="s">
        <v>2</v>
      </c>
    </row>
    <row r="385" spans="1:24">
      <c r="A385" s="36"/>
      <c r="C385" s="25"/>
      <c r="D385" s="41" t="str">
        <f t="shared" si="60"/>
        <v xml:space="preserve">{"id": </v>
      </c>
      <c r="E385" s="26">
        <f t="shared" si="67"/>
        <v>382</v>
      </c>
      <c r="F385" s="41" t="str">
        <f t="shared" si="68"/>
        <v>, "group":</v>
      </c>
      <c r="G385" s="111" t="str">
        <f ca="1">CHAR(34)&amp;INDIRECT("Dashboard!A"&amp;(ROW()-1)/3+3)&amp;CHAR(34)</f>
        <v>"18"</v>
      </c>
      <c r="H385" s="41" t="str">
        <f t="shared" si="69"/>
        <v>, "subgroup": "</v>
      </c>
      <c r="I385" s="41" t="s">
        <v>396</v>
      </c>
      <c r="J385" s="41" t="str">
        <f t="shared" si="61"/>
        <v>", "subgroupOrder":</v>
      </c>
      <c r="K385" s="41">
        <v>1</v>
      </c>
      <c r="L385" s="41" t="str">
        <f t="shared" si="62"/>
        <v>, "className": "</v>
      </c>
      <c r="M385" s="26" t="str">
        <f t="shared" si="70"/>
        <v>gray</v>
      </c>
      <c r="N385" s="41" t="str">
        <f t="shared" si="63"/>
        <v>", "content": "</v>
      </c>
      <c r="O385" s="40" t="s">
        <v>388</v>
      </c>
      <c r="P385" s="41" t="str">
        <f t="shared" si="64"/>
        <v>", "start": "</v>
      </c>
      <c r="Q385" s="42">
        <f ca="1">IF(INDIRECT("Dashboard!I"&amp;(ROW()-1)/3+3)="","",INDIRECT("Dashboard!I"&amp;(ROW()-1)/3+3))</f>
        <v>44835</v>
      </c>
      <c r="R385" s="41" t="str">
        <f t="shared" si="65"/>
        <v>", "end": "</v>
      </c>
      <c r="S385" s="42">
        <f ca="1">IF(INDIRECT("Dashboard!J"&amp;(ROW()-1)/3+3)="","",INDIRECT("Dashboard!J"&amp;(ROW()-1)/3+3))</f>
        <v>44924</v>
      </c>
      <c r="T385" s="118" t="str">
        <f ca="1">IF(C389="]);",LEFT(T384,2),T384)</f>
        <v>"},</v>
      </c>
      <c r="V385" s="32" t="str">
        <f t="shared" ca="1" si="66"/>
        <v>{"id": 382, "group":"18", "subgroup": "plan", "subgroupOrder":1, "className": "gray", "content": "Planned", "start": "2022-10-01", "end": "2022-12-29"},</v>
      </c>
      <c r="W385" s="37" t="s">
        <v>2</v>
      </c>
    </row>
    <row r="386" spans="1:24">
      <c r="A386" s="36"/>
      <c r="C386" s="31" t="str">
        <f ca="1">IF(AND(Q386="", S386=""),"//","")</f>
        <v>//</v>
      </c>
      <c r="D386" s="37" t="str">
        <f t="shared" si="60"/>
        <v xml:space="preserve">{"id": </v>
      </c>
      <c r="E386" s="32">
        <f t="shared" si="67"/>
        <v>383</v>
      </c>
      <c r="F386" s="37" t="str">
        <f t="shared" si="68"/>
        <v>, "group":</v>
      </c>
      <c r="G386" s="37" t="str">
        <f ca="1">G385</f>
        <v>"18"</v>
      </c>
      <c r="H386" s="37" t="str">
        <f t="shared" si="69"/>
        <v>, "subgroup": "</v>
      </c>
      <c r="I386" s="37" t="s">
        <v>397</v>
      </c>
      <c r="J386" s="37" t="str">
        <f t="shared" si="61"/>
        <v>", "subgroupOrder":</v>
      </c>
      <c r="K386" s="37">
        <v>0</v>
      </c>
      <c r="L386" s="37" t="str">
        <f t="shared" si="62"/>
        <v>, "className": "</v>
      </c>
      <c r="M386" s="32" t="str">
        <f t="shared" ca="1" si="70"/>
        <v>pink-white</v>
      </c>
      <c r="N386" s="37" t="str">
        <f t="shared" si="63"/>
        <v>", "content": "</v>
      </c>
      <c r="O386" s="34" t="str">
        <f ca="1">IF(INDIRECT("Dashboard!P"&amp;((ROW()+1)/3+2))=1,"Completed",IF(INDIRECT("Dashboard!P"&amp;((ROW()+1)/3+2))="","","Pending"))</f>
        <v>Pending</v>
      </c>
      <c r="P386" s="37" t="str">
        <f t="shared" si="64"/>
        <v>", "start": "</v>
      </c>
      <c r="Q386" s="38" t="str">
        <f ca="1">IF(INDIRECT("Dashboard!K"&amp;((ROW()+1)/3+2))="","",INDIRECT("Dashboard!K"&amp;((ROW()+1)/3+2)))</f>
        <v/>
      </c>
      <c r="R386" s="37" t="str">
        <f t="shared" si="65"/>
        <v>", "end": "</v>
      </c>
      <c r="S386" s="38" t="str">
        <f ca="1">IF(INDIRECT("Dashboard!L"&amp;((ROW()+1)/3+2))="","",INDIRECT("Dashboard!L"&amp;((ROW()+1)/3+2)))</f>
        <v/>
      </c>
      <c r="T386" s="116" t="str">
        <f ca="1">IF(C389="]);",LEFT(T385,2),T385)</f>
        <v>"},</v>
      </c>
      <c r="V386" s="32" t="str">
        <f t="shared" ca="1" si="66"/>
        <v/>
      </c>
      <c r="W386" s="37" t="s">
        <v>2</v>
      </c>
      <c r="X386" s="32" t="str">
        <f ca="1">G386&amp;" : "&amp;INDIRECT("Dashboard!G"&amp;((ROW()+1)/3+2))</f>
        <v>"18" : M17. Stakeholder management and updated usecases WebUI</v>
      </c>
    </row>
    <row r="387" spans="1:24" ht="15" thickBot="1">
      <c r="A387" s="36"/>
      <c r="C387" s="28" t="str">
        <f ca="1">IF(OR(INDIRECT("Dashboard!B"&amp;(ROW()/3+2))&lt;&gt;"&gt;",AND(Q387="",S387="")),"//","")</f>
        <v>//</v>
      </c>
      <c r="D387" s="43" t="str">
        <f t="shared" si="60"/>
        <v xml:space="preserve">{"id": </v>
      </c>
      <c r="E387" s="29">
        <f t="shared" si="67"/>
        <v>384</v>
      </c>
      <c r="F387" s="43" t="str">
        <f t="shared" si="68"/>
        <v>, "group":</v>
      </c>
      <c r="G387" s="43" t="str">
        <f ca="1">G386</f>
        <v>"18"</v>
      </c>
      <c r="H387" s="43" t="str">
        <f t="shared" si="69"/>
        <v>, "subgroup": "</v>
      </c>
      <c r="I387" s="43" t="s">
        <v>397</v>
      </c>
      <c r="J387" s="43" t="str">
        <f t="shared" si="61"/>
        <v>", "subgroupOrder":</v>
      </c>
      <c r="K387" s="43">
        <v>0</v>
      </c>
      <c r="L387" s="43" t="str">
        <f t="shared" si="62"/>
        <v>, "className": "</v>
      </c>
      <c r="M387" s="29" t="str">
        <f t="shared" si="70"/>
        <v>orange</v>
      </c>
      <c r="N387" s="43" t="str">
        <f t="shared" si="63"/>
        <v>", "content": "</v>
      </c>
      <c r="O387" s="49" t="s">
        <v>392</v>
      </c>
      <c r="P387" s="43" t="str">
        <f t="shared" si="64"/>
        <v>", "start": "</v>
      </c>
      <c r="Q387" s="44" t="str">
        <f ca="1">S386</f>
        <v/>
      </c>
      <c r="R387" s="43" t="str">
        <f t="shared" si="65"/>
        <v>", "end": "</v>
      </c>
      <c r="S387" s="113" t="str">
        <f ca="1">IF(INDIRECT("Dashboard!M"&amp;(ROW()/3+2))="","",INDIRECT("Dashboard!M"&amp;(ROW()/3+2)))</f>
        <v/>
      </c>
      <c r="T387" s="117" t="str">
        <f ca="1">IF(C389="]);",LEFT(T386,2),T386)</f>
        <v>"},</v>
      </c>
      <c r="V387" s="32" t="str">
        <f t="shared" ca="1" si="66"/>
        <v/>
      </c>
      <c r="W387" s="37" t="s">
        <v>2</v>
      </c>
    </row>
    <row r="388" spans="1:24">
      <c r="A388" s="36"/>
      <c r="C388" s="25"/>
      <c r="D388" s="41" t="str">
        <f t="shared" si="60"/>
        <v xml:space="preserve">{"id": </v>
      </c>
      <c r="E388" s="26">
        <f t="shared" si="67"/>
        <v>385</v>
      </c>
      <c r="F388" s="41" t="str">
        <f t="shared" si="68"/>
        <v>, "group":</v>
      </c>
      <c r="G388" s="111" t="str">
        <f ca="1">CHAR(34)&amp;INDIRECT("Dashboard!A"&amp;(ROW()-1)/3+3)&amp;CHAR(34)</f>
        <v>"18.1"</v>
      </c>
      <c r="H388" s="41" t="str">
        <f t="shared" si="69"/>
        <v>, "subgroup": "</v>
      </c>
      <c r="I388" s="41" t="s">
        <v>396</v>
      </c>
      <c r="J388" s="41" t="str">
        <f t="shared" si="61"/>
        <v>", "subgroupOrder":</v>
      </c>
      <c r="K388" s="41">
        <v>1</v>
      </c>
      <c r="L388" s="41" t="str">
        <f t="shared" si="62"/>
        <v>, "className": "</v>
      </c>
      <c r="M388" s="26" t="str">
        <f t="shared" si="70"/>
        <v>gray</v>
      </c>
      <c r="N388" s="41" t="str">
        <f t="shared" si="63"/>
        <v>", "content": "</v>
      </c>
      <c r="O388" s="40" t="s">
        <v>388</v>
      </c>
      <c r="P388" s="41" t="str">
        <f t="shared" si="64"/>
        <v>", "start": "</v>
      </c>
      <c r="Q388" s="42" t="str">
        <f ca="1">IF(INDIRECT("Dashboard!I"&amp;(ROW()-1)/3+3)="","",INDIRECT("Dashboard!I"&amp;(ROW()-1)/3+3))</f>
        <v/>
      </c>
      <c r="R388" s="41" t="str">
        <f t="shared" si="65"/>
        <v>", "end": "</v>
      </c>
      <c r="S388" s="42" t="str">
        <f ca="1">IF(INDIRECT("Dashboard!J"&amp;(ROW()-1)/3+3)="","",INDIRECT("Dashboard!J"&amp;(ROW()-1)/3+3))</f>
        <v/>
      </c>
      <c r="T388" s="118" t="str">
        <f ca="1">IF(C392="]);",LEFT(T387,2),T387)</f>
        <v>"},</v>
      </c>
      <c r="V388" s="32" t="str">
        <f t="shared" ca="1" si="66"/>
        <v>{"id": 385, "group":"18.1", "subgroup": "plan", "subgroupOrder":1, "className": "gray", "content": "Planned", "start": "", "end": ""},</v>
      </c>
      <c r="W388" s="37" t="s">
        <v>2</v>
      </c>
    </row>
    <row r="389" spans="1:24">
      <c r="A389" s="36"/>
      <c r="C389" s="31" t="str">
        <f ca="1">IF(AND(Q389="", S389=""),"//","")</f>
        <v>//</v>
      </c>
      <c r="D389" s="37" t="str">
        <f t="shared" ref="D389:D417" si="71">D388</f>
        <v xml:space="preserve">{"id": </v>
      </c>
      <c r="E389" s="32">
        <f t="shared" si="67"/>
        <v>386</v>
      </c>
      <c r="F389" s="37" t="str">
        <f t="shared" si="68"/>
        <v>, "group":</v>
      </c>
      <c r="G389" s="37" t="str">
        <f ca="1">G388</f>
        <v>"18.1"</v>
      </c>
      <c r="H389" s="37" t="str">
        <f t="shared" si="69"/>
        <v>, "subgroup": "</v>
      </c>
      <c r="I389" s="37" t="s">
        <v>397</v>
      </c>
      <c r="J389" s="37" t="str">
        <f t="shared" ref="J389:J417" si="72">J388</f>
        <v>", "subgroupOrder":</v>
      </c>
      <c r="K389" s="37">
        <v>0</v>
      </c>
      <c r="L389" s="37" t="str">
        <f t="shared" ref="L389:L417" si="73">L388</f>
        <v>, "className": "</v>
      </c>
      <c r="M389" s="32" t="str">
        <f t="shared" ca="1" si="70"/>
        <v/>
      </c>
      <c r="N389" s="37" t="str">
        <f t="shared" ref="N389:N417" si="74">N388</f>
        <v>", "content": "</v>
      </c>
      <c r="O389" s="34" t="str">
        <f ca="1">IF(INDIRECT("Dashboard!P"&amp;((ROW()+1)/3+2))=1,"Completed",IF(INDIRECT("Dashboard!P"&amp;((ROW()+1)/3+2))="","","Pending"))</f>
        <v/>
      </c>
      <c r="P389" s="37" t="str">
        <f t="shared" ref="P389:P417" si="75">P388</f>
        <v>", "start": "</v>
      </c>
      <c r="Q389" s="38" t="str">
        <f ca="1">IF(INDIRECT("Dashboard!K"&amp;((ROW()+1)/3+2))="","",INDIRECT("Dashboard!K"&amp;((ROW()+1)/3+2)))</f>
        <v/>
      </c>
      <c r="R389" s="37" t="str">
        <f t="shared" ref="R389:R417" si="76">R388</f>
        <v>", "end": "</v>
      </c>
      <c r="S389" s="38" t="str">
        <f ca="1">IF(INDIRECT("Dashboard!L"&amp;((ROW()+1)/3+2))="","",INDIRECT("Dashboard!L"&amp;((ROW()+1)/3+2)))</f>
        <v/>
      </c>
      <c r="T389" s="116" t="str">
        <f ca="1">IF(C392="]);",LEFT(T388,2),T388)</f>
        <v>"},</v>
      </c>
      <c r="V389" s="32" t="str">
        <f t="shared" ref="V389:V417" ca="1" si="77">IF(C389&lt;&gt;"//",D389&amp;E389&amp;F389&amp;G389&amp;H389&amp;I389&amp;J389&amp;K389&amp;L389&amp;M389&amp;N389&amp;O389&amp;P389&amp;TEXT(Q389,"yyyy-mm-dd")&amp;R389&amp;TEXT(S389,"yyyy-mm-dd")&amp;T389,"")</f>
        <v/>
      </c>
      <c r="W389" s="37" t="s">
        <v>2</v>
      </c>
      <c r="X389" s="32" t="str">
        <f ca="1">G389&amp;" : "&amp;INDIRECT("Dashboard!G"&amp;((ROW()+1)/3+2))</f>
        <v>"18.1" : Note : 1. Unit/block/cluster classification UI</v>
      </c>
    </row>
    <row r="390" spans="1:24" ht="15" thickBot="1">
      <c r="A390" s="36"/>
      <c r="C390" s="28" t="str">
        <f ca="1">IF(OR(INDIRECT("Dashboard!B"&amp;(ROW()/3+2))&lt;&gt;"&gt;",AND(Q390="",S390="")),"//","")</f>
        <v>//</v>
      </c>
      <c r="D390" s="43" t="str">
        <f t="shared" si="71"/>
        <v xml:space="preserve">{"id": </v>
      </c>
      <c r="E390" s="29">
        <f t="shared" si="67"/>
        <v>387</v>
      </c>
      <c r="F390" s="43" t="str">
        <f t="shared" si="68"/>
        <v>, "group":</v>
      </c>
      <c r="G390" s="43" t="str">
        <f ca="1">G389</f>
        <v>"18.1"</v>
      </c>
      <c r="H390" s="43" t="str">
        <f t="shared" si="69"/>
        <v>, "subgroup": "</v>
      </c>
      <c r="I390" s="43" t="s">
        <v>397</v>
      </c>
      <c r="J390" s="43" t="str">
        <f t="shared" si="72"/>
        <v>", "subgroupOrder":</v>
      </c>
      <c r="K390" s="43">
        <v>0</v>
      </c>
      <c r="L390" s="43" t="str">
        <f t="shared" si="73"/>
        <v>, "className": "</v>
      </c>
      <c r="M390" s="29" t="str">
        <f t="shared" si="70"/>
        <v>orange</v>
      </c>
      <c r="N390" s="43" t="str">
        <f t="shared" si="74"/>
        <v>", "content": "</v>
      </c>
      <c r="O390" s="49" t="s">
        <v>392</v>
      </c>
      <c r="P390" s="43" t="str">
        <f t="shared" si="75"/>
        <v>", "start": "</v>
      </c>
      <c r="Q390" s="44" t="str">
        <f ca="1">S389</f>
        <v/>
      </c>
      <c r="R390" s="43" t="str">
        <f t="shared" si="76"/>
        <v>", "end": "</v>
      </c>
      <c r="S390" s="113" t="str">
        <f ca="1">IF(INDIRECT("Dashboard!M"&amp;(ROW()/3+2))="","",INDIRECT("Dashboard!M"&amp;(ROW()/3+2)))</f>
        <v/>
      </c>
      <c r="T390" s="117" t="str">
        <f ca="1">IF(C392="]);",LEFT(T389,2),T389)</f>
        <v>"},</v>
      </c>
      <c r="V390" s="32" t="str">
        <f t="shared" ca="1" si="77"/>
        <v/>
      </c>
      <c r="W390" s="37" t="s">
        <v>2</v>
      </c>
    </row>
    <row r="391" spans="1:24">
      <c r="A391" s="36"/>
      <c r="C391" s="25"/>
      <c r="D391" s="41" t="str">
        <f t="shared" si="71"/>
        <v xml:space="preserve">{"id": </v>
      </c>
      <c r="E391" s="26">
        <f t="shared" ref="E391:E417" si="78">E390+1</f>
        <v>388</v>
      </c>
      <c r="F391" s="41" t="str">
        <f t="shared" ref="F391:F417" si="79">F390</f>
        <v>, "group":</v>
      </c>
      <c r="G391" s="111" t="str">
        <f ca="1">CHAR(34)&amp;INDIRECT("Dashboard!A"&amp;(ROW()-1)/3+3)&amp;CHAR(34)</f>
        <v>"18.2"</v>
      </c>
      <c r="H391" s="41" t="str">
        <f t="shared" ref="H391:H417" si="80">H390</f>
        <v>, "subgroup": "</v>
      </c>
      <c r="I391" s="41" t="s">
        <v>396</v>
      </c>
      <c r="J391" s="41" t="str">
        <f t="shared" si="72"/>
        <v>", "subgroupOrder":</v>
      </c>
      <c r="K391" s="41">
        <v>1</v>
      </c>
      <c r="L391" s="41" t="str">
        <f t="shared" si="73"/>
        <v>, "className": "</v>
      </c>
      <c r="M391" s="26" t="str">
        <f t="shared" si="70"/>
        <v>gray</v>
      </c>
      <c r="N391" s="41" t="str">
        <f t="shared" si="74"/>
        <v>", "content": "</v>
      </c>
      <c r="O391" s="40" t="s">
        <v>388</v>
      </c>
      <c r="P391" s="41" t="str">
        <f t="shared" si="75"/>
        <v>", "start": "</v>
      </c>
      <c r="Q391" s="42" t="str">
        <f ca="1">IF(INDIRECT("Dashboard!I"&amp;(ROW()-1)/3+3)="","",INDIRECT("Dashboard!I"&amp;(ROW()-1)/3+3))</f>
        <v/>
      </c>
      <c r="R391" s="41" t="str">
        <f t="shared" si="76"/>
        <v>", "end": "</v>
      </c>
      <c r="S391" s="42" t="str">
        <f ca="1">IF(INDIRECT("Dashboard!J"&amp;(ROW()-1)/3+3)="","",INDIRECT("Dashboard!J"&amp;(ROW()-1)/3+3))</f>
        <v/>
      </c>
      <c r="T391" s="118" t="str">
        <f ca="1">IF(C395="]);",LEFT(T390,2),T390)</f>
        <v>"},</v>
      </c>
      <c r="V391" s="32" t="str">
        <f t="shared" ca="1" si="77"/>
        <v>{"id": 388, "group":"18.2", "subgroup": "plan", "subgroupOrder":1, "className": "gray", "content": "Planned", "start": "", "end": ""},</v>
      </c>
      <c r="W391" s="37" t="s">
        <v>2</v>
      </c>
    </row>
    <row r="392" spans="1:24">
      <c r="A392" s="36"/>
      <c r="C392" s="31" t="str">
        <f ca="1">IF(AND(Q392="", S392=""),"//","")</f>
        <v>//</v>
      </c>
      <c r="D392" s="37" t="str">
        <f t="shared" si="71"/>
        <v xml:space="preserve">{"id": </v>
      </c>
      <c r="E392" s="32">
        <f t="shared" si="78"/>
        <v>389</v>
      </c>
      <c r="F392" s="37" t="str">
        <f t="shared" si="79"/>
        <v>, "group":</v>
      </c>
      <c r="G392" s="37" t="str">
        <f ca="1">G391</f>
        <v>"18.2"</v>
      </c>
      <c r="H392" s="37" t="str">
        <f t="shared" si="80"/>
        <v>, "subgroup": "</v>
      </c>
      <c r="I392" s="37" t="s">
        <v>397</v>
      </c>
      <c r="J392" s="37" t="str">
        <f t="shared" si="72"/>
        <v>", "subgroupOrder":</v>
      </c>
      <c r="K392" s="37">
        <v>0</v>
      </c>
      <c r="L392" s="37" t="str">
        <f t="shared" si="73"/>
        <v>, "className": "</v>
      </c>
      <c r="M392" s="32" t="str">
        <f t="shared" ca="1" si="70"/>
        <v/>
      </c>
      <c r="N392" s="37" t="str">
        <f t="shared" si="74"/>
        <v>", "content": "</v>
      </c>
      <c r="O392" s="34" t="str">
        <f ca="1">IF(INDIRECT("Dashboard!P"&amp;((ROW()+1)/3+2))=1,"Completed",IF(INDIRECT("Dashboard!P"&amp;((ROW()+1)/3+2))="","","Pending"))</f>
        <v/>
      </c>
      <c r="P392" s="37" t="str">
        <f t="shared" si="75"/>
        <v>", "start": "</v>
      </c>
      <c r="Q392" s="38" t="str">
        <f ca="1">IF(INDIRECT("Dashboard!K"&amp;((ROW()+1)/3+2))="","",INDIRECT("Dashboard!K"&amp;((ROW()+1)/3+2)))</f>
        <v/>
      </c>
      <c r="R392" s="37" t="str">
        <f t="shared" si="76"/>
        <v>", "end": "</v>
      </c>
      <c r="S392" s="38" t="str">
        <f ca="1">IF(INDIRECT("Dashboard!L"&amp;((ROW()+1)/3+2))="","",INDIRECT("Dashboard!L"&amp;((ROW()+1)/3+2)))</f>
        <v/>
      </c>
      <c r="T392" s="116" t="str">
        <f ca="1">IF(C395="]);",LEFT(T391,2),T391)</f>
        <v>"},</v>
      </c>
      <c r="V392" s="32" t="str">
        <f t="shared" ca="1" si="77"/>
        <v/>
      </c>
      <c r="W392" s="37" t="s">
        <v>2</v>
      </c>
      <c r="X392" s="32" t="str">
        <f ca="1">G392&amp;" : "&amp;INDIRECT("Dashboard!G"&amp;((ROW()+1)/3+2))</f>
        <v>"18.2" : Note : 2. User Management UI</v>
      </c>
    </row>
    <row r="393" spans="1:24" ht="15" thickBot="1">
      <c r="A393" s="36"/>
      <c r="C393" s="28" t="str">
        <f ca="1">IF(OR(INDIRECT("Dashboard!B"&amp;(ROW()/3+2))&lt;&gt;"&gt;",AND(Q393="",S393="")),"//","")</f>
        <v>//</v>
      </c>
      <c r="D393" s="43" t="str">
        <f t="shared" si="71"/>
        <v xml:space="preserve">{"id": </v>
      </c>
      <c r="E393" s="29">
        <f t="shared" si="78"/>
        <v>390</v>
      </c>
      <c r="F393" s="43" t="str">
        <f t="shared" si="79"/>
        <v>, "group":</v>
      </c>
      <c r="G393" s="43" t="str">
        <f ca="1">G392</f>
        <v>"18.2"</v>
      </c>
      <c r="H393" s="43" t="str">
        <f t="shared" si="80"/>
        <v>, "subgroup": "</v>
      </c>
      <c r="I393" s="43" t="s">
        <v>397</v>
      </c>
      <c r="J393" s="43" t="str">
        <f t="shared" si="72"/>
        <v>", "subgroupOrder":</v>
      </c>
      <c r="K393" s="43">
        <v>0</v>
      </c>
      <c r="L393" s="43" t="str">
        <f t="shared" si="73"/>
        <v>, "className": "</v>
      </c>
      <c r="M393" s="29" t="str">
        <f t="shared" si="70"/>
        <v>orange</v>
      </c>
      <c r="N393" s="43" t="str">
        <f t="shared" si="74"/>
        <v>", "content": "</v>
      </c>
      <c r="O393" s="49" t="s">
        <v>392</v>
      </c>
      <c r="P393" s="43" t="str">
        <f t="shared" si="75"/>
        <v>", "start": "</v>
      </c>
      <c r="Q393" s="44" t="str">
        <f ca="1">S392</f>
        <v/>
      </c>
      <c r="R393" s="43" t="str">
        <f t="shared" si="76"/>
        <v>", "end": "</v>
      </c>
      <c r="S393" s="113" t="str">
        <f ca="1">IF(INDIRECT("Dashboard!M"&amp;(ROW()/3+2))="","",INDIRECT("Dashboard!M"&amp;(ROW()/3+2)))</f>
        <v/>
      </c>
      <c r="T393" s="117" t="str">
        <f ca="1">IF(C395="]);",LEFT(T392,2),T392)</f>
        <v>"},</v>
      </c>
      <c r="V393" s="32" t="str">
        <f t="shared" ca="1" si="77"/>
        <v/>
      </c>
      <c r="W393" s="37" t="s">
        <v>2</v>
      </c>
    </row>
    <row r="394" spans="1:24">
      <c r="A394" s="36"/>
      <c r="C394" s="25"/>
      <c r="D394" s="41" t="str">
        <f t="shared" si="71"/>
        <v xml:space="preserve">{"id": </v>
      </c>
      <c r="E394" s="26">
        <f t="shared" si="78"/>
        <v>391</v>
      </c>
      <c r="F394" s="41" t="str">
        <f t="shared" si="79"/>
        <v>, "group":</v>
      </c>
      <c r="G394" s="111" t="str">
        <f ca="1">CHAR(34)&amp;INDIRECT("Dashboard!A"&amp;(ROW()-1)/3+3)&amp;CHAR(34)</f>
        <v>"18.3"</v>
      </c>
      <c r="H394" s="41" t="str">
        <f t="shared" si="80"/>
        <v>, "subgroup": "</v>
      </c>
      <c r="I394" s="41" t="s">
        <v>396</v>
      </c>
      <c r="J394" s="41" t="str">
        <f t="shared" si="72"/>
        <v>", "subgroupOrder":</v>
      </c>
      <c r="K394" s="41">
        <v>1</v>
      </c>
      <c r="L394" s="41" t="str">
        <f t="shared" si="73"/>
        <v>, "className": "</v>
      </c>
      <c r="M394" s="26" t="str">
        <f t="shared" si="70"/>
        <v>gray</v>
      </c>
      <c r="N394" s="41" t="str">
        <f t="shared" si="74"/>
        <v>", "content": "</v>
      </c>
      <c r="O394" s="40" t="s">
        <v>388</v>
      </c>
      <c r="P394" s="41" t="str">
        <f t="shared" si="75"/>
        <v>", "start": "</v>
      </c>
      <c r="Q394" s="42" t="str">
        <f ca="1">IF(INDIRECT("Dashboard!I"&amp;(ROW()-1)/3+3)="","",INDIRECT("Dashboard!I"&amp;(ROW()-1)/3+3))</f>
        <v/>
      </c>
      <c r="R394" s="41" t="str">
        <f t="shared" si="76"/>
        <v>", "end": "</v>
      </c>
      <c r="S394" s="42" t="str">
        <f ca="1">IF(INDIRECT("Dashboard!J"&amp;(ROW()-1)/3+3)="","",INDIRECT("Dashboard!J"&amp;(ROW()-1)/3+3))</f>
        <v/>
      </c>
      <c r="T394" s="118" t="str">
        <f ca="1">IF(C398="]);",LEFT(T393,2),T393)</f>
        <v>"},</v>
      </c>
      <c r="V394" s="32" t="str">
        <f t="shared" ca="1" si="77"/>
        <v>{"id": 391, "group":"18.3", "subgroup": "plan", "subgroupOrder":1, "className": "gray", "content": "Planned", "start": "", "end": ""},</v>
      </c>
      <c r="W394" s="37" t="s">
        <v>2</v>
      </c>
    </row>
    <row r="395" spans="1:24">
      <c r="A395" s="36"/>
      <c r="C395" s="31" t="str">
        <f ca="1">IF(AND(Q395="", S395=""),"//","")</f>
        <v>//</v>
      </c>
      <c r="D395" s="37" t="str">
        <f t="shared" si="71"/>
        <v xml:space="preserve">{"id": </v>
      </c>
      <c r="E395" s="32">
        <f t="shared" si="78"/>
        <v>392</v>
      </c>
      <c r="F395" s="37" t="str">
        <f t="shared" si="79"/>
        <v>, "group":</v>
      </c>
      <c r="G395" s="37" t="str">
        <f ca="1">G394</f>
        <v>"18.3"</v>
      </c>
      <c r="H395" s="37" t="str">
        <f t="shared" si="80"/>
        <v>, "subgroup": "</v>
      </c>
      <c r="I395" s="37" t="s">
        <v>397</v>
      </c>
      <c r="J395" s="37" t="str">
        <f t="shared" si="72"/>
        <v>", "subgroupOrder":</v>
      </c>
      <c r="K395" s="37">
        <v>0</v>
      </c>
      <c r="L395" s="37" t="str">
        <f t="shared" si="73"/>
        <v>, "className": "</v>
      </c>
      <c r="M395" s="32" t="str">
        <f t="shared" ca="1" si="70"/>
        <v/>
      </c>
      <c r="N395" s="37" t="str">
        <f t="shared" si="74"/>
        <v>", "content": "</v>
      </c>
      <c r="O395" s="34" t="str">
        <f ca="1">IF(INDIRECT("Dashboard!P"&amp;((ROW()+1)/3+2))=1,"Completed",IF(INDIRECT("Dashboard!P"&amp;((ROW()+1)/3+2))="","","Pending"))</f>
        <v/>
      </c>
      <c r="P395" s="37" t="str">
        <f t="shared" si="75"/>
        <v>", "start": "</v>
      </c>
      <c r="Q395" s="38" t="str">
        <f ca="1">IF(INDIRECT("Dashboard!K"&amp;((ROW()+1)/3+2))="","",INDIRECT("Dashboard!K"&amp;((ROW()+1)/3+2)))</f>
        <v/>
      </c>
      <c r="R395" s="37" t="str">
        <f t="shared" si="76"/>
        <v>", "end": "</v>
      </c>
      <c r="S395" s="38" t="str">
        <f ca="1">IF(INDIRECT("Dashboard!L"&amp;((ROW()+1)/3+2))="","",INDIRECT("Dashboard!L"&amp;((ROW()+1)/3+2)))</f>
        <v/>
      </c>
      <c r="T395" s="116" t="str">
        <f ca="1">IF(C398="]);",LEFT(T394,2),T394)</f>
        <v>"},</v>
      </c>
      <c r="V395" s="32" t="str">
        <f t="shared" ca="1" si="77"/>
        <v/>
      </c>
      <c r="W395" s="37" t="s">
        <v>2</v>
      </c>
      <c r="X395" s="32" t="str">
        <f ca="1">G395&amp;" : "&amp;INDIRECT("Dashboard!G"&amp;((ROW()+1)/3+2))</f>
        <v>"18.3" : Note : 3. Edge asset onboarding and management UI</v>
      </c>
    </row>
    <row r="396" spans="1:24" ht="15" thickBot="1">
      <c r="A396" s="36"/>
      <c r="C396" s="28" t="str">
        <f ca="1">IF(OR(INDIRECT("Dashboard!B"&amp;(ROW()/3+2))&lt;&gt;"&gt;",AND(Q396="",S396="")),"//","")</f>
        <v>//</v>
      </c>
      <c r="D396" s="43" t="str">
        <f t="shared" si="71"/>
        <v xml:space="preserve">{"id": </v>
      </c>
      <c r="E396" s="29">
        <f t="shared" si="78"/>
        <v>393</v>
      </c>
      <c r="F396" s="43" t="str">
        <f t="shared" si="79"/>
        <v>, "group":</v>
      </c>
      <c r="G396" s="43" t="str">
        <f ca="1">G395</f>
        <v>"18.3"</v>
      </c>
      <c r="H396" s="43" t="str">
        <f t="shared" si="80"/>
        <v>, "subgroup": "</v>
      </c>
      <c r="I396" s="43" t="s">
        <v>397</v>
      </c>
      <c r="J396" s="43" t="str">
        <f t="shared" si="72"/>
        <v>", "subgroupOrder":</v>
      </c>
      <c r="K396" s="43">
        <v>0</v>
      </c>
      <c r="L396" s="43" t="str">
        <f t="shared" si="73"/>
        <v>, "className": "</v>
      </c>
      <c r="M396" s="29" t="str">
        <f t="shared" si="70"/>
        <v>orange</v>
      </c>
      <c r="N396" s="43" t="str">
        <f t="shared" si="74"/>
        <v>", "content": "</v>
      </c>
      <c r="O396" s="49" t="s">
        <v>392</v>
      </c>
      <c r="P396" s="43" t="str">
        <f t="shared" si="75"/>
        <v>", "start": "</v>
      </c>
      <c r="Q396" s="44" t="str">
        <f ca="1">S395</f>
        <v/>
      </c>
      <c r="R396" s="43" t="str">
        <f t="shared" si="76"/>
        <v>", "end": "</v>
      </c>
      <c r="S396" s="113" t="str">
        <f ca="1">IF(INDIRECT("Dashboard!M"&amp;(ROW()/3+2))="","",INDIRECT("Dashboard!M"&amp;(ROW()/3+2)))</f>
        <v/>
      </c>
      <c r="T396" s="117" t="str">
        <f ca="1">IF(C398="]);",LEFT(T395,2),T395)</f>
        <v>"},</v>
      </c>
      <c r="V396" s="32" t="str">
        <f t="shared" ca="1" si="77"/>
        <v/>
      </c>
      <c r="W396" s="37" t="s">
        <v>2</v>
      </c>
    </row>
    <row r="397" spans="1:24">
      <c r="A397" s="36"/>
      <c r="C397" s="25"/>
      <c r="D397" s="41" t="str">
        <f t="shared" si="71"/>
        <v xml:space="preserve">{"id": </v>
      </c>
      <c r="E397" s="26">
        <f t="shared" si="78"/>
        <v>394</v>
      </c>
      <c r="F397" s="41" t="str">
        <f t="shared" si="79"/>
        <v>, "group":</v>
      </c>
      <c r="G397" s="111" t="str">
        <f ca="1">CHAR(34)&amp;INDIRECT("Dashboard!A"&amp;(ROW()-1)/3+3)&amp;CHAR(34)</f>
        <v>"18.4"</v>
      </c>
      <c r="H397" s="41" t="str">
        <f t="shared" si="80"/>
        <v>, "subgroup": "</v>
      </c>
      <c r="I397" s="41" t="s">
        <v>396</v>
      </c>
      <c r="J397" s="41" t="str">
        <f t="shared" si="72"/>
        <v>", "subgroupOrder":</v>
      </c>
      <c r="K397" s="41">
        <v>1</v>
      </c>
      <c r="L397" s="41" t="str">
        <f t="shared" si="73"/>
        <v>, "className": "</v>
      </c>
      <c r="M397" s="26" t="str">
        <f t="shared" si="70"/>
        <v>gray</v>
      </c>
      <c r="N397" s="41" t="str">
        <f t="shared" si="74"/>
        <v>", "content": "</v>
      </c>
      <c r="O397" s="40" t="s">
        <v>388</v>
      </c>
      <c r="P397" s="41" t="str">
        <f t="shared" si="75"/>
        <v>", "start": "</v>
      </c>
      <c r="Q397" s="42">
        <f ca="1">IF(INDIRECT("Dashboard!I"&amp;(ROW()-1)/3+3)="","",INDIRECT("Dashboard!I"&amp;(ROW()-1)/3+3))</f>
        <v>44835</v>
      </c>
      <c r="R397" s="41" t="str">
        <f t="shared" si="76"/>
        <v>", "end": "</v>
      </c>
      <c r="S397" s="42">
        <f ca="1">IF(INDIRECT("Dashboard!J"&amp;(ROW()-1)/3+3)="","",INDIRECT("Dashboard!J"&amp;(ROW()-1)/3+3))</f>
        <v>44924</v>
      </c>
      <c r="T397" s="118" t="str">
        <f ca="1">IF(C401="]);",LEFT(T396,2),T396)</f>
        <v>"},</v>
      </c>
      <c r="V397" s="32" t="str">
        <f t="shared" ca="1" si="77"/>
        <v>{"id": 394, "group":"18.4", "subgroup": "plan", "subgroupOrder":1, "className": "gray", "content": "Planned", "start": "2022-10-01", "end": "2022-12-29"},</v>
      </c>
      <c r="W397" s="37" t="s">
        <v>2</v>
      </c>
    </row>
    <row r="398" spans="1:24">
      <c r="A398" s="36"/>
      <c r="C398" s="31" t="str">
        <f ca="1">IF(AND(Q398="", S398=""),"//","")</f>
        <v>//</v>
      </c>
      <c r="D398" s="37" t="str">
        <f t="shared" si="71"/>
        <v xml:space="preserve">{"id": </v>
      </c>
      <c r="E398" s="32">
        <f t="shared" si="78"/>
        <v>395</v>
      </c>
      <c r="F398" s="37" t="str">
        <f t="shared" si="79"/>
        <v>, "group":</v>
      </c>
      <c r="G398" s="37" t="str">
        <f ca="1">G397</f>
        <v>"18.4"</v>
      </c>
      <c r="H398" s="37" t="str">
        <f t="shared" si="80"/>
        <v>, "subgroup": "</v>
      </c>
      <c r="I398" s="37" t="s">
        <v>397</v>
      </c>
      <c r="J398" s="37" t="str">
        <f t="shared" si="72"/>
        <v>", "subgroupOrder":</v>
      </c>
      <c r="K398" s="37">
        <v>0</v>
      </c>
      <c r="L398" s="37" t="str">
        <f t="shared" si="73"/>
        <v>, "className": "</v>
      </c>
      <c r="M398" s="32" t="str">
        <f t="shared" ca="1" si="70"/>
        <v>pink-white</v>
      </c>
      <c r="N398" s="37" t="str">
        <f t="shared" si="74"/>
        <v>", "content": "</v>
      </c>
      <c r="O398" s="34" t="str">
        <f ca="1">IF(INDIRECT("Dashboard!P"&amp;((ROW()+1)/3+2))=1,"Completed",IF(INDIRECT("Dashboard!P"&amp;((ROW()+1)/3+2))="","","Pending"))</f>
        <v>Pending</v>
      </c>
      <c r="P398" s="37" t="str">
        <f t="shared" si="75"/>
        <v>", "start": "</v>
      </c>
      <c r="Q398" s="38" t="str">
        <f ca="1">IF(INDIRECT("Dashboard!K"&amp;((ROW()+1)/3+2))="","",INDIRECT("Dashboard!K"&amp;((ROW()+1)/3+2)))</f>
        <v/>
      </c>
      <c r="R398" s="37" t="str">
        <f t="shared" si="76"/>
        <v>", "end": "</v>
      </c>
      <c r="S398" s="38" t="str">
        <f ca="1">IF(INDIRECT("Dashboard!L"&amp;((ROW()+1)/3+2))="","",INDIRECT("Dashboard!L"&amp;((ROW()+1)/3+2)))</f>
        <v/>
      </c>
      <c r="T398" s="116" t="str">
        <f ca="1">IF(C401="]);",LEFT(T397,2),T397)</f>
        <v>"},</v>
      </c>
      <c r="V398" s="32" t="str">
        <f t="shared" ca="1" si="77"/>
        <v/>
      </c>
      <c r="W398" s="37" t="s">
        <v>2</v>
      </c>
      <c r="X398" s="32" t="str">
        <f ca="1">G398&amp;" : "&amp;INDIRECT("Dashboard!G"&amp;((ROW()+1)/3+2))</f>
        <v>"18.4" : Technical design document explaining the data schema and algorithm</v>
      </c>
    </row>
    <row r="399" spans="1:24" ht="15" thickBot="1">
      <c r="A399" s="36"/>
      <c r="C399" s="28" t="str">
        <f ca="1">IF(OR(INDIRECT("Dashboard!B"&amp;(ROW()/3+2))&lt;&gt;"&gt;",AND(Q399="",S399="")),"//","")</f>
        <v>//</v>
      </c>
      <c r="D399" s="43" t="str">
        <f t="shared" si="71"/>
        <v xml:space="preserve">{"id": </v>
      </c>
      <c r="E399" s="29">
        <f t="shared" si="78"/>
        <v>396</v>
      </c>
      <c r="F399" s="43" t="str">
        <f t="shared" si="79"/>
        <v>, "group":</v>
      </c>
      <c r="G399" s="43" t="str">
        <f ca="1">G398</f>
        <v>"18.4"</v>
      </c>
      <c r="H399" s="43" t="str">
        <f t="shared" si="80"/>
        <v>, "subgroup": "</v>
      </c>
      <c r="I399" s="43" t="s">
        <v>397</v>
      </c>
      <c r="J399" s="43" t="str">
        <f t="shared" si="72"/>
        <v>", "subgroupOrder":</v>
      </c>
      <c r="K399" s="43">
        <v>0</v>
      </c>
      <c r="L399" s="43" t="str">
        <f t="shared" si="73"/>
        <v>, "className": "</v>
      </c>
      <c r="M399" s="29" t="str">
        <f t="shared" si="70"/>
        <v>orange</v>
      </c>
      <c r="N399" s="43" t="str">
        <f t="shared" si="74"/>
        <v>", "content": "</v>
      </c>
      <c r="O399" s="49" t="s">
        <v>392</v>
      </c>
      <c r="P399" s="43" t="str">
        <f t="shared" si="75"/>
        <v>", "start": "</v>
      </c>
      <c r="Q399" s="44" t="str">
        <f ca="1">S398</f>
        <v/>
      </c>
      <c r="R399" s="43" t="str">
        <f t="shared" si="76"/>
        <v>", "end": "</v>
      </c>
      <c r="S399" s="113" t="str">
        <f ca="1">IF(INDIRECT("Dashboard!M"&amp;(ROW()/3+2))="","",INDIRECT("Dashboard!M"&amp;(ROW()/3+2)))</f>
        <v/>
      </c>
      <c r="T399" s="117" t="str">
        <f ca="1">IF(C401="]);",LEFT(T398,2),T398)</f>
        <v>"},</v>
      </c>
      <c r="V399" s="32" t="str">
        <f t="shared" ca="1" si="77"/>
        <v/>
      </c>
      <c r="W399" s="37" t="s">
        <v>2</v>
      </c>
    </row>
    <row r="400" spans="1:24">
      <c r="A400" s="36"/>
      <c r="C400" s="25"/>
      <c r="D400" s="41" t="str">
        <f t="shared" si="71"/>
        <v xml:space="preserve">{"id": </v>
      </c>
      <c r="E400" s="26">
        <f t="shared" si="78"/>
        <v>397</v>
      </c>
      <c r="F400" s="41" t="str">
        <f t="shared" si="79"/>
        <v>, "group":</v>
      </c>
      <c r="G400" s="111" t="str">
        <f ca="1">CHAR(34)&amp;INDIRECT("Dashboard!A"&amp;(ROW()-1)/3+3)&amp;CHAR(34)</f>
        <v>"18.5"</v>
      </c>
      <c r="H400" s="41" t="str">
        <f t="shared" si="80"/>
        <v>, "subgroup": "</v>
      </c>
      <c r="I400" s="41" t="s">
        <v>396</v>
      </c>
      <c r="J400" s="41" t="str">
        <f t="shared" si="72"/>
        <v>", "subgroupOrder":</v>
      </c>
      <c r="K400" s="41">
        <v>1</v>
      </c>
      <c r="L400" s="41" t="str">
        <f t="shared" si="73"/>
        <v>, "className": "</v>
      </c>
      <c r="M400" s="26" t="str">
        <f t="shared" si="70"/>
        <v>gray</v>
      </c>
      <c r="N400" s="41" t="str">
        <f t="shared" si="74"/>
        <v>", "content": "</v>
      </c>
      <c r="O400" s="40" t="s">
        <v>388</v>
      </c>
      <c r="P400" s="41" t="str">
        <f t="shared" si="75"/>
        <v>", "start": "</v>
      </c>
      <c r="Q400" s="42">
        <f ca="1">IF(INDIRECT("Dashboard!I"&amp;(ROW()-1)/3+3)="","",INDIRECT("Dashboard!I"&amp;(ROW()-1)/3+3))</f>
        <v>44835</v>
      </c>
      <c r="R400" s="41" t="str">
        <f t="shared" si="76"/>
        <v>", "end": "</v>
      </c>
      <c r="S400" s="42">
        <f ca="1">IF(INDIRECT("Dashboard!J"&amp;(ROW()-1)/3+3)="","",INDIRECT("Dashboard!J"&amp;(ROW()-1)/3+3))</f>
        <v>44924</v>
      </c>
      <c r="T400" s="118" t="str">
        <f ca="1">IF(C404="]);",LEFT(T399,2),T399)</f>
        <v>"},</v>
      </c>
      <c r="V400" s="32" t="str">
        <f t="shared" ca="1" si="77"/>
        <v>{"id": 397, "group":"18.5", "subgroup": "plan", "subgroupOrder":1, "className": "gray", "content": "Planned", "start": "2022-10-01", "end": "2022-12-29"},</v>
      </c>
      <c r="W400" s="37" t="s">
        <v>2</v>
      </c>
    </row>
    <row r="401" spans="1:24">
      <c r="A401" s="36"/>
      <c r="C401" s="31" t="str">
        <f ca="1">IF(AND(Q401="", S401=""),"//","")</f>
        <v>//</v>
      </c>
      <c r="D401" s="37" t="str">
        <f t="shared" si="71"/>
        <v xml:space="preserve">{"id": </v>
      </c>
      <c r="E401" s="32">
        <f t="shared" si="78"/>
        <v>398</v>
      </c>
      <c r="F401" s="37" t="str">
        <f t="shared" si="79"/>
        <v>, "group":</v>
      </c>
      <c r="G401" s="37" t="str">
        <f ca="1">G400</f>
        <v>"18.5"</v>
      </c>
      <c r="H401" s="37" t="str">
        <f t="shared" si="80"/>
        <v>, "subgroup": "</v>
      </c>
      <c r="I401" s="37" t="s">
        <v>397</v>
      </c>
      <c r="J401" s="37" t="str">
        <f t="shared" si="72"/>
        <v>", "subgroupOrder":</v>
      </c>
      <c r="K401" s="37">
        <v>0</v>
      </c>
      <c r="L401" s="37" t="str">
        <f t="shared" si="73"/>
        <v>, "className": "</v>
      </c>
      <c r="M401" s="32" t="str">
        <f t="shared" ca="1" si="70"/>
        <v>pink-white</v>
      </c>
      <c r="N401" s="37" t="str">
        <f t="shared" si="74"/>
        <v>", "content": "</v>
      </c>
      <c r="O401" s="34" t="str">
        <f ca="1">IF(INDIRECT("Dashboard!P"&amp;((ROW()+1)/3+2))=1,"Completed",IF(INDIRECT("Dashboard!P"&amp;((ROW()+1)/3+2))="","","Pending"))</f>
        <v>Pending</v>
      </c>
      <c r="P401" s="37" t="str">
        <f t="shared" si="75"/>
        <v>", "start": "</v>
      </c>
      <c r="Q401" s="38" t="str">
        <f ca="1">IF(INDIRECT("Dashboard!K"&amp;((ROW()+1)/3+2))="","",INDIRECT("Dashboard!K"&amp;((ROW()+1)/3+2)))</f>
        <v/>
      </c>
      <c r="R401" s="37" t="str">
        <f t="shared" si="76"/>
        <v>", "end": "</v>
      </c>
      <c r="S401" s="38" t="str">
        <f ca="1">IF(INDIRECT("Dashboard!L"&amp;((ROW()+1)/3+2))="","",INDIRECT("Dashboard!L"&amp;((ROW()+1)/3+2)))</f>
        <v/>
      </c>
      <c r="T401" s="116" t="str">
        <f ca="1">IF(C404="]);",LEFT(T400,2),T400)</f>
        <v>"},</v>
      </c>
      <c r="V401" s="32" t="str">
        <f t="shared" ca="1" si="77"/>
        <v/>
      </c>
      <c r="W401" s="37" t="s">
        <v>2</v>
      </c>
      <c r="X401" s="32" t="str">
        <f ca="1">G401&amp;" : "&amp;INDIRECT("Dashboard!G"&amp;((ROW()+1)/3+2))</f>
        <v>"18.5" : Software Code</v>
      </c>
    </row>
    <row r="402" spans="1:24" ht="15" thickBot="1">
      <c r="A402" s="36"/>
      <c r="C402" s="28" t="str">
        <f ca="1">IF(OR(INDIRECT("Dashboard!B"&amp;(ROW()/3+2))&lt;&gt;"&gt;",AND(Q402="",S402="")),"//","")</f>
        <v>//</v>
      </c>
      <c r="D402" s="43" t="str">
        <f t="shared" si="71"/>
        <v xml:space="preserve">{"id": </v>
      </c>
      <c r="E402" s="29">
        <f t="shared" si="78"/>
        <v>399</v>
      </c>
      <c r="F402" s="43" t="str">
        <f t="shared" si="79"/>
        <v>, "group":</v>
      </c>
      <c r="G402" s="43" t="str">
        <f ca="1">G401</f>
        <v>"18.5"</v>
      </c>
      <c r="H402" s="43" t="str">
        <f t="shared" si="80"/>
        <v>, "subgroup": "</v>
      </c>
      <c r="I402" s="43" t="s">
        <v>397</v>
      </c>
      <c r="J402" s="43" t="str">
        <f t="shared" si="72"/>
        <v>", "subgroupOrder":</v>
      </c>
      <c r="K402" s="43">
        <v>0</v>
      </c>
      <c r="L402" s="43" t="str">
        <f t="shared" si="73"/>
        <v>, "className": "</v>
      </c>
      <c r="M402" s="29" t="str">
        <f t="shared" si="70"/>
        <v>orange</v>
      </c>
      <c r="N402" s="43" t="str">
        <f t="shared" si="74"/>
        <v>", "content": "</v>
      </c>
      <c r="O402" s="49" t="s">
        <v>392</v>
      </c>
      <c r="P402" s="43" t="str">
        <f t="shared" si="75"/>
        <v>", "start": "</v>
      </c>
      <c r="Q402" s="44" t="str">
        <f ca="1">S401</f>
        <v/>
      </c>
      <c r="R402" s="43" t="str">
        <f t="shared" si="76"/>
        <v>", "end": "</v>
      </c>
      <c r="S402" s="113" t="str">
        <f ca="1">IF(INDIRECT("Dashboard!M"&amp;(ROW()/3+2))="","",INDIRECT("Dashboard!M"&amp;(ROW()/3+2)))</f>
        <v/>
      </c>
      <c r="T402" s="117" t="str">
        <f ca="1">IF(C404="]);",LEFT(T401,2),T401)</f>
        <v>"},</v>
      </c>
      <c r="V402" s="32" t="str">
        <f t="shared" ca="1" si="77"/>
        <v/>
      </c>
      <c r="W402" s="37" t="s">
        <v>2</v>
      </c>
    </row>
    <row r="403" spans="1:24">
      <c r="A403" s="36"/>
      <c r="C403" s="25"/>
      <c r="D403" s="41" t="str">
        <f t="shared" si="71"/>
        <v xml:space="preserve">{"id": </v>
      </c>
      <c r="E403" s="26">
        <f t="shared" si="78"/>
        <v>400</v>
      </c>
      <c r="F403" s="41" t="str">
        <f t="shared" si="79"/>
        <v>, "group":</v>
      </c>
      <c r="G403" s="111" t="str">
        <f ca="1">CHAR(34)&amp;INDIRECT("Dashboard!A"&amp;(ROW()-1)/3+3)&amp;CHAR(34)</f>
        <v>"18.6"</v>
      </c>
      <c r="H403" s="41" t="str">
        <f t="shared" si="80"/>
        <v>, "subgroup": "</v>
      </c>
      <c r="I403" s="41" t="s">
        <v>396</v>
      </c>
      <c r="J403" s="41" t="str">
        <f t="shared" si="72"/>
        <v>", "subgroupOrder":</v>
      </c>
      <c r="K403" s="41">
        <v>1</v>
      </c>
      <c r="L403" s="41" t="str">
        <f t="shared" si="73"/>
        <v>, "className": "</v>
      </c>
      <c r="M403" s="26" t="str">
        <f t="shared" si="70"/>
        <v>gray</v>
      </c>
      <c r="N403" s="41" t="str">
        <f t="shared" si="74"/>
        <v>", "content": "</v>
      </c>
      <c r="O403" s="40" t="s">
        <v>388</v>
      </c>
      <c r="P403" s="41" t="str">
        <f t="shared" si="75"/>
        <v>", "start": "</v>
      </c>
      <c r="Q403" s="42">
        <f ca="1">IF(INDIRECT("Dashboard!I"&amp;(ROW()-1)/3+3)="","",INDIRECT("Dashboard!I"&amp;(ROW()-1)/3+3))</f>
        <v>44835</v>
      </c>
      <c r="R403" s="41" t="str">
        <f t="shared" si="76"/>
        <v>", "end": "</v>
      </c>
      <c r="S403" s="42">
        <f ca="1">IF(INDIRECT("Dashboard!J"&amp;(ROW()-1)/3+3)="","",INDIRECT("Dashboard!J"&amp;(ROW()-1)/3+3))</f>
        <v>44924</v>
      </c>
      <c r="T403" s="118" t="str">
        <f ca="1">IF(C407="]);",LEFT(T402,2),T402)</f>
        <v>"},</v>
      </c>
      <c r="V403" s="32" t="str">
        <f t="shared" ca="1" si="77"/>
        <v>{"id": 400, "group":"18.6", "subgroup": "plan", "subgroupOrder":1, "className": "gray", "content": "Planned", "start": "2022-10-01", "end": "2022-12-29"},</v>
      </c>
      <c r="W403" s="37" t="s">
        <v>2</v>
      </c>
    </row>
    <row r="404" spans="1:24">
      <c r="A404" s="36"/>
      <c r="C404" s="31" t="str">
        <f ca="1">IF(AND(Q404="", S404=""),"//","")</f>
        <v>//</v>
      </c>
      <c r="D404" s="37" t="str">
        <f t="shared" si="71"/>
        <v xml:space="preserve">{"id": </v>
      </c>
      <c r="E404" s="32">
        <f t="shared" si="78"/>
        <v>401</v>
      </c>
      <c r="F404" s="37" t="str">
        <f t="shared" si="79"/>
        <v>, "group":</v>
      </c>
      <c r="G404" s="37" t="str">
        <f ca="1">G403</f>
        <v>"18.6"</v>
      </c>
      <c r="H404" s="37" t="str">
        <f t="shared" si="80"/>
        <v>, "subgroup": "</v>
      </c>
      <c r="I404" s="37" t="s">
        <v>397</v>
      </c>
      <c r="J404" s="37" t="str">
        <f t="shared" si="72"/>
        <v>", "subgroupOrder":</v>
      </c>
      <c r="K404" s="37">
        <v>0</v>
      </c>
      <c r="L404" s="37" t="str">
        <f t="shared" si="73"/>
        <v>, "className": "</v>
      </c>
      <c r="M404" s="32" t="str">
        <f t="shared" ca="1" si="70"/>
        <v>pink-white</v>
      </c>
      <c r="N404" s="37" t="str">
        <f t="shared" si="74"/>
        <v>", "content": "</v>
      </c>
      <c r="O404" s="34" t="str">
        <f ca="1">IF(INDIRECT("Dashboard!P"&amp;((ROW()+1)/3+2))=1,"Completed",IF(INDIRECT("Dashboard!P"&amp;((ROW()+1)/3+2))="","","Pending"))</f>
        <v>Pending</v>
      </c>
      <c r="P404" s="37" t="str">
        <f t="shared" si="75"/>
        <v>", "start": "</v>
      </c>
      <c r="Q404" s="38" t="str">
        <f ca="1">IF(INDIRECT("Dashboard!K"&amp;((ROW()+1)/3+2))="","",INDIRECT("Dashboard!K"&amp;((ROW()+1)/3+2)))</f>
        <v/>
      </c>
      <c r="R404" s="37" t="str">
        <f t="shared" si="76"/>
        <v>", "end": "</v>
      </c>
      <c r="S404" s="38" t="str">
        <f ca="1">IF(INDIRECT("Dashboard!L"&amp;((ROW()+1)/3+2))="","",INDIRECT("Dashboard!L"&amp;((ROW()+1)/3+2)))</f>
        <v/>
      </c>
      <c r="T404" s="116" t="str">
        <f ca="1">IF(C407="]);",LEFT(T403,2),T403)</f>
        <v>"},</v>
      </c>
      <c r="V404" s="32" t="str">
        <f t="shared" ca="1" si="77"/>
        <v/>
      </c>
      <c r="W404" s="37" t="s">
        <v>2</v>
      </c>
      <c r="X404" s="32" t="str">
        <f ca="1">G404&amp;" : "&amp;INDIRECT("Dashboard!G"&amp;((ROW()+1)/3+2))</f>
        <v>"18.6" : Deployment Procedure of the code</v>
      </c>
    </row>
    <row r="405" spans="1:24" ht="15" thickBot="1">
      <c r="A405" s="36"/>
      <c r="C405" s="28" t="str">
        <f ca="1">IF(OR(INDIRECT("Dashboard!B"&amp;(ROW()/3+2))&lt;&gt;"&gt;",AND(Q405="",S405="")),"//","")</f>
        <v>//</v>
      </c>
      <c r="D405" s="43" t="str">
        <f t="shared" si="71"/>
        <v xml:space="preserve">{"id": </v>
      </c>
      <c r="E405" s="29">
        <f t="shared" si="78"/>
        <v>402</v>
      </c>
      <c r="F405" s="43" t="str">
        <f t="shared" si="79"/>
        <v>, "group":</v>
      </c>
      <c r="G405" s="43" t="str">
        <f ca="1">G404</f>
        <v>"18.6"</v>
      </c>
      <c r="H405" s="43" t="str">
        <f t="shared" si="80"/>
        <v>, "subgroup": "</v>
      </c>
      <c r="I405" s="43" t="s">
        <v>397</v>
      </c>
      <c r="J405" s="43" t="str">
        <f t="shared" si="72"/>
        <v>", "subgroupOrder":</v>
      </c>
      <c r="K405" s="43">
        <v>0</v>
      </c>
      <c r="L405" s="43" t="str">
        <f t="shared" si="73"/>
        <v>, "className": "</v>
      </c>
      <c r="M405" s="29" t="str">
        <f t="shared" si="70"/>
        <v>orange</v>
      </c>
      <c r="N405" s="43" t="str">
        <f t="shared" si="74"/>
        <v>", "content": "</v>
      </c>
      <c r="O405" s="49" t="s">
        <v>392</v>
      </c>
      <c r="P405" s="43" t="str">
        <f t="shared" si="75"/>
        <v>", "start": "</v>
      </c>
      <c r="Q405" s="44" t="str">
        <f ca="1">S404</f>
        <v/>
      </c>
      <c r="R405" s="43" t="str">
        <f t="shared" si="76"/>
        <v>", "end": "</v>
      </c>
      <c r="S405" s="113" t="str">
        <f ca="1">IF(INDIRECT("Dashboard!M"&amp;(ROW()/3+2))="","",INDIRECT("Dashboard!M"&amp;(ROW()/3+2)))</f>
        <v/>
      </c>
      <c r="T405" s="117" t="str">
        <f ca="1">IF(C407="]);",LEFT(T404,2),T404)</f>
        <v>"},</v>
      </c>
      <c r="V405" s="32" t="str">
        <f t="shared" ca="1" si="77"/>
        <v/>
      </c>
      <c r="W405" s="37" t="s">
        <v>2</v>
      </c>
    </row>
    <row r="406" spans="1:24">
      <c r="A406" s="36"/>
      <c r="C406" s="25"/>
      <c r="D406" s="41" t="str">
        <f t="shared" si="71"/>
        <v xml:space="preserve">{"id": </v>
      </c>
      <c r="E406" s="26">
        <f t="shared" si="78"/>
        <v>403</v>
      </c>
      <c r="F406" s="41" t="str">
        <f t="shared" si="79"/>
        <v>, "group":</v>
      </c>
      <c r="G406" s="111" t="str">
        <f ca="1">CHAR(34)&amp;INDIRECT("Dashboard!A"&amp;(ROW()-1)/3+3)&amp;CHAR(34)</f>
        <v>"18.7"</v>
      </c>
      <c r="H406" s="41" t="str">
        <f t="shared" si="80"/>
        <v>, "subgroup": "</v>
      </c>
      <c r="I406" s="41" t="s">
        <v>396</v>
      </c>
      <c r="J406" s="41" t="str">
        <f t="shared" si="72"/>
        <v>", "subgroupOrder":</v>
      </c>
      <c r="K406" s="41">
        <v>1</v>
      </c>
      <c r="L406" s="41" t="str">
        <f t="shared" si="73"/>
        <v>, "className": "</v>
      </c>
      <c r="M406" s="26" t="str">
        <f t="shared" si="70"/>
        <v>gray</v>
      </c>
      <c r="N406" s="41" t="str">
        <f t="shared" si="74"/>
        <v>", "content": "</v>
      </c>
      <c r="O406" s="40" t="s">
        <v>388</v>
      </c>
      <c r="P406" s="41" t="str">
        <f t="shared" si="75"/>
        <v>", "start": "</v>
      </c>
      <c r="Q406" s="42">
        <f ca="1">IF(INDIRECT("Dashboard!I"&amp;(ROW()-1)/3+3)="","",INDIRECT("Dashboard!I"&amp;(ROW()-1)/3+3))</f>
        <v>44835</v>
      </c>
      <c r="R406" s="41" t="str">
        <f t="shared" si="76"/>
        <v>", "end": "</v>
      </c>
      <c r="S406" s="42">
        <f ca="1">IF(INDIRECT("Dashboard!J"&amp;(ROW()-1)/3+3)="","",INDIRECT("Dashboard!J"&amp;(ROW()-1)/3+3))</f>
        <v>44924</v>
      </c>
      <c r="T406" s="118" t="str">
        <f ca="1">IF(C410="]);",LEFT(T405,2),T405)</f>
        <v>"},</v>
      </c>
      <c r="V406" s="32" t="str">
        <f t="shared" ca="1" si="77"/>
        <v>{"id": 403, "group":"18.7", "subgroup": "plan", "subgroupOrder":1, "className": "gray", "content": "Planned", "start": "2022-10-01", "end": "2022-12-29"},</v>
      </c>
      <c r="W406" s="37" t="s">
        <v>2</v>
      </c>
    </row>
    <row r="407" spans="1:24">
      <c r="A407" s="36"/>
      <c r="C407" s="31" t="str">
        <f ca="1">IF(AND(Q407="", S407=""),"//","")</f>
        <v>//</v>
      </c>
      <c r="D407" s="37" t="str">
        <f t="shared" si="71"/>
        <v xml:space="preserve">{"id": </v>
      </c>
      <c r="E407" s="32">
        <f t="shared" si="78"/>
        <v>404</v>
      </c>
      <c r="F407" s="37" t="str">
        <f t="shared" si="79"/>
        <v>, "group":</v>
      </c>
      <c r="G407" s="37" t="str">
        <f ca="1">G406</f>
        <v>"18.7"</v>
      </c>
      <c r="H407" s="37" t="str">
        <f t="shared" si="80"/>
        <v>, "subgroup": "</v>
      </c>
      <c r="I407" s="37" t="s">
        <v>397</v>
      </c>
      <c r="J407" s="37" t="str">
        <f t="shared" si="72"/>
        <v>", "subgroupOrder":</v>
      </c>
      <c r="K407" s="37">
        <v>0</v>
      </c>
      <c r="L407" s="37" t="str">
        <f t="shared" si="73"/>
        <v>, "className": "</v>
      </c>
      <c r="M407" s="32" t="str">
        <f t="shared" ca="1" si="70"/>
        <v>pink-white</v>
      </c>
      <c r="N407" s="37" t="str">
        <f t="shared" si="74"/>
        <v>", "content": "</v>
      </c>
      <c r="O407" s="34" t="str">
        <f ca="1">IF(INDIRECT("Dashboard!P"&amp;((ROW()+1)/3+2))=1,"Completed",IF(INDIRECT("Dashboard!P"&amp;((ROW()+1)/3+2))="","","Pending"))</f>
        <v>Pending</v>
      </c>
      <c r="P407" s="37" t="str">
        <f t="shared" si="75"/>
        <v>", "start": "</v>
      </c>
      <c r="Q407" s="38" t="str">
        <f ca="1">IF(INDIRECT("Dashboard!K"&amp;((ROW()+1)/3+2))="","",INDIRECT("Dashboard!K"&amp;((ROW()+1)/3+2)))</f>
        <v/>
      </c>
      <c r="R407" s="37" t="str">
        <f t="shared" si="76"/>
        <v>", "end": "</v>
      </c>
      <c r="S407" s="38" t="str">
        <f ca="1">IF(INDIRECT("Dashboard!L"&amp;((ROW()+1)/3+2))="","",INDIRECT("Dashboard!L"&amp;((ROW()+1)/3+2)))</f>
        <v/>
      </c>
      <c r="T407" s="116" t="str">
        <f ca="1">IF(C410="]);",LEFT(T406,2),T406)</f>
        <v>"},</v>
      </c>
      <c r="V407" s="32" t="str">
        <f t="shared" ca="1" si="77"/>
        <v/>
      </c>
      <c r="W407" s="37" t="s">
        <v>2</v>
      </c>
      <c r="X407" s="32" t="str">
        <f ca="1">G407&amp;" : "&amp;INDIRECT("Dashboard!G"&amp;((ROW()+1)/3+2))</f>
        <v>"18.7" : Product usage guide with examples for all the functional usecases</v>
      </c>
    </row>
    <row r="408" spans="1:24" ht="15" thickBot="1">
      <c r="A408" s="36"/>
      <c r="C408" s="28" t="str">
        <f ca="1">IF(OR(INDIRECT("Dashboard!B"&amp;(ROW()/3+2))&lt;&gt;"&gt;",AND(Q408="",S408="")),"//","")</f>
        <v>//</v>
      </c>
      <c r="D408" s="43" t="str">
        <f t="shared" si="71"/>
        <v xml:space="preserve">{"id": </v>
      </c>
      <c r="E408" s="29">
        <f t="shared" si="78"/>
        <v>405</v>
      </c>
      <c r="F408" s="43" t="str">
        <f t="shared" si="79"/>
        <v>, "group":</v>
      </c>
      <c r="G408" s="43" t="str">
        <f ca="1">G407</f>
        <v>"18.7"</v>
      </c>
      <c r="H408" s="43" t="str">
        <f t="shared" si="80"/>
        <v>, "subgroup": "</v>
      </c>
      <c r="I408" s="43" t="s">
        <v>397</v>
      </c>
      <c r="J408" s="43" t="str">
        <f t="shared" si="72"/>
        <v>", "subgroupOrder":</v>
      </c>
      <c r="K408" s="43">
        <v>0</v>
      </c>
      <c r="L408" s="43" t="str">
        <f t="shared" si="73"/>
        <v>, "className": "</v>
      </c>
      <c r="M408" s="29" t="str">
        <f t="shared" si="70"/>
        <v>orange</v>
      </c>
      <c r="N408" s="43" t="str">
        <f t="shared" si="74"/>
        <v>", "content": "</v>
      </c>
      <c r="O408" s="49" t="s">
        <v>392</v>
      </c>
      <c r="P408" s="43" t="str">
        <f t="shared" si="75"/>
        <v>", "start": "</v>
      </c>
      <c r="Q408" s="44" t="str">
        <f ca="1">S407</f>
        <v/>
      </c>
      <c r="R408" s="43" t="str">
        <f t="shared" si="76"/>
        <v>", "end": "</v>
      </c>
      <c r="S408" s="113" t="str">
        <f ca="1">IF(INDIRECT("Dashboard!M"&amp;(ROW()/3+2))="","",INDIRECT("Dashboard!M"&amp;(ROW()/3+2)))</f>
        <v/>
      </c>
      <c r="T408" s="117" t="str">
        <f ca="1">IF(C410="]);",LEFT(T407,2),T407)</f>
        <v>"},</v>
      </c>
      <c r="V408" s="32" t="str">
        <f t="shared" ca="1" si="77"/>
        <v/>
      </c>
      <c r="W408" s="37" t="s">
        <v>2</v>
      </c>
    </row>
    <row r="409" spans="1:24">
      <c r="A409" s="36"/>
      <c r="C409" s="25"/>
      <c r="D409" s="41" t="str">
        <f t="shared" si="71"/>
        <v xml:space="preserve">{"id": </v>
      </c>
      <c r="E409" s="26">
        <f t="shared" si="78"/>
        <v>406</v>
      </c>
      <c r="F409" s="41" t="str">
        <f t="shared" si="79"/>
        <v>, "group":</v>
      </c>
      <c r="G409" s="111" t="str">
        <f ca="1">CHAR(34)&amp;INDIRECT("Dashboard!A"&amp;(ROW()-1)/3+3)&amp;CHAR(34)</f>
        <v>"18.8"</v>
      </c>
      <c r="H409" s="41" t="str">
        <f t="shared" si="80"/>
        <v>, "subgroup": "</v>
      </c>
      <c r="I409" s="41" t="s">
        <v>396</v>
      </c>
      <c r="J409" s="41" t="str">
        <f t="shared" si="72"/>
        <v>", "subgroupOrder":</v>
      </c>
      <c r="K409" s="41">
        <v>1</v>
      </c>
      <c r="L409" s="41" t="str">
        <f t="shared" si="73"/>
        <v>, "className": "</v>
      </c>
      <c r="M409" s="26" t="str">
        <f t="shared" si="70"/>
        <v>gray</v>
      </c>
      <c r="N409" s="41" t="str">
        <f t="shared" si="74"/>
        <v>", "content": "</v>
      </c>
      <c r="O409" s="40" t="s">
        <v>388</v>
      </c>
      <c r="P409" s="41" t="str">
        <f t="shared" si="75"/>
        <v>", "start": "</v>
      </c>
      <c r="Q409" s="42">
        <f ca="1">IF(INDIRECT("Dashboard!I"&amp;(ROW()-1)/3+3)="","",INDIRECT("Dashboard!I"&amp;(ROW()-1)/3+3))</f>
        <v>44835</v>
      </c>
      <c r="R409" s="41" t="str">
        <f t="shared" si="76"/>
        <v>", "end": "</v>
      </c>
      <c r="S409" s="42">
        <f ca="1">IF(INDIRECT("Dashboard!J"&amp;(ROW()-1)/3+3)="","",INDIRECT("Dashboard!J"&amp;(ROW()-1)/3+3))</f>
        <v>44924</v>
      </c>
      <c r="T409" s="118" t="str">
        <f ca="1">IF(C413="]);",LEFT(T408,2),T408)</f>
        <v>"},</v>
      </c>
      <c r="V409" s="32" t="str">
        <f t="shared" ca="1" si="77"/>
        <v>{"id": 406, "group":"18.8", "subgroup": "plan", "subgroupOrder":1, "className": "gray", "content": "Planned", "start": "2022-10-01", "end": "2022-12-29"},</v>
      </c>
      <c r="W409" s="37" t="s">
        <v>2</v>
      </c>
    </row>
    <row r="410" spans="1:24">
      <c r="A410" s="36"/>
      <c r="C410" s="31" t="str">
        <f ca="1">IF(AND(Q410="", S410=""),"//","")</f>
        <v>//</v>
      </c>
      <c r="D410" s="37" t="str">
        <f t="shared" si="71"/>
        <v xml:space="preserve">{"id": </v>
      </c>
      <c r="E410" s="32">
        <f t="shared" si="78"/>
        <v>407</v>
      </c>
      <c r="F410" s="37" t="str">
        <f t="shared" si="79"/>
        <v>, "group":</v>
      </c>
      <c r="G410" s="37" t="str">
        <f ca="1">G409</f>
        <v>"18.8"</v>
      </c>
      <c r="H410" s="37" t="str">
        <f t="shared" si="80"/>
        <v>, "subgroup": "</v>
      </c>
      <c r="I410" s="37" t="s">
        <v>397</v>
      </c>
      <c r="J410" s="37" t="str">
        <f t="shared" si="72"/>
        <v>", "subgroupOrder":</v>
      </c>
      <c r="K410" s="37">
        <v>0</v>
      </c>
      <c r="L410" s="37" t="str">
        <f t="shared" si="73"/>
        <v>, "className": "</v>
      </c>
      <c r="M410" s="32" t="str">
        <f t="shared" ca="1" si="70"/>
        <v>pink-white</v>
      </c>
      <c r="N410" s="37" t="str">
        <f t="shared" si="74"/>
        <v>", "content": "</v>
      </c>
      <c r="O410" s="34" t="str">
        <f ca="1">IF(INDIRECT("Dashboard!P"&amp;((ROW()+1)/3+2))=1,"Completed",IF(INDIRECT("Dashboard!P"&amp;((ROW()+1)/3+2))="","","Pending"))</f>
        <v>Pending</v>
      </c>
      <c r="P410" s="37" t="str">
        <f t="shared" si="75"/>
        <v>", "start": "</v>
      </c>
      <c r="Q410" s="38" t="str">
        <f ca="1">IF(INDIRECT("Dashboard!K"&amp;((ROW()+1)/3+2))="","",INDIRECT("Dashboard!K"&amp;((ROW()+1)/3+2)))</f>
        <v/>
      </c>
      <c r="R410" s="37" t="str">
        <f t="shared" si="76"/>
        <v>", "end": "</v>
      </c>
      <c r="S410" s="38" t="str">
        <f ca="1">IF(INDIRECT("Dashboard!L"&amp;((ROW()+1)/3+2))="","",INDIRECT("Dashboard!L"&amp;((ROW()+1)/3+2)))</f>
        <v/>
      </c>
      <c r="T410" s="116" t="str">
        <f ca="1">IF(C413="]);",LEFT(T409,2),T409)</f>
        <v>"},</v>
      </c>
      <c r="V410" s="32" t="str">
        <f t="shared" ca="1" si="77"/>
        <v/>
      </c>
      <c r="W410" s="37" t="s">
        <v>2</v>
      </c>
      <c r="X410" s="32" t="str">
        <f ca="1">G410&amp;" : "&amp;INDIRECT("Dashboard!G"&amp;((ROW()+1)/3+2))</f>
        <v xml:space="preserve">"18.8" : Test report </v>
      </c>
    </row>
    <row r="411" spans="1:24" ht="15" thickBot="1">
      <c r="A411" s="36"/>
      <c r="C411" s="28" t="str">
        <f ca="1">IF(OR(INDIRECT("Dashboard!B"&amp;(ROW()/3+2))&lt;&gt;"&gt;",AND(Q411="",S411="")),"//","")</f>
        <v>//</v>
      </c>
      <c r="D411" s="43" t="str">
        <f t="shared" si="71"/>
        <v xml:space="preserve">{"id": </v>
      </c>
      <c r="E411" s="29">
        <f t="shared" si="78"/>
        <v>408</v>
      </c>
      <c r="F411" s="43" t="str">
        <f t="shared" si="79"/>
        <v>, "group":</v>
      </c>
      <c r="G411" s="43" t="str">
        <f ca="1">G410</f>
        <v>"18.8"</v>
      </c>
      <c r="H411" s="43" t="str">
        <f t="shared" si="80"/>
        <v>, "subgroup": "</v>
      </c>
      <c r="I411" s="43" t="s">
        <v>397</v>
      </c>
      <c r="J411" s="43" t="str">
        <f t="shared" si="72"/>
        <v>", "subgroupOrder":</v>
      </c>
      <c r="K411" s="43">
        <v>0</v>
      </c>
      <c r="L411" s="43" t="str">
        <f t="shared" si="73"/>
        <v>, "className": "</v>
      </c>
      <c r="M411" s="29" t="str">
        <f t="shared" si="70"/>
        <v>orange</v>
      </c>
      <c r="N411" s="43" t="str">
        <f t="shared" si="74"/>
        <v>", "content": "</v>
      </c>
      <c r="O411" s="49" t="s">
        <v>392</v>
      </c>
      <c r="P411" s="43" t="str">
        <f t="shared" si="75"/>
        <v>", "start": "</v>
      </c>
      <c r="Q411" s="44" t="str">
        <f ca="1">S410</f>
        <v/>
      </c>
      <c r="R411" s="43" t="str">
        <f t="shared" si="76"/>
        <v>", "end": "</v>
      </c>
      <c r="S411" s="113" t="str">
        <f ca="1">IF(INDIRECT("Dashboard!M"&amp;(ROW()/3+2))="","",INDIRECT("Dashboard!M"&amp;(ROW()/3+2)))</f>
        <v/>
      </c>
      <c r="T411" s="117" t="str">
        <f ca="1">IF(C413="]);",LEFT(T410,2),T410)</f>
        <v>"},</v>
      </c>
      <c r="V411" s="32" t="str">
        <f t="shared" ca="1" si="77"/>
        <v/>
      </c>
      <c r="W411" s="37" t="s">
        <v>2</v>
      </c>
    </row>
    <row r="412" spans="1:24">
      <c r="A412" s="36"/>
      <c r="C412" s="25"/>
      <c r="D412" s="41" t="str">
        <f t="shared" si="71"/>
        <v xml:space="preserve">{"id": </v>
      </c>
      <c r="E412" s="26">
        <f t="shared" si="78"/>
        <v>409</v>
      </c>
      <c r="F412" s="41" t="str">
        <f t="shared" si="79"/>
        <v>, "group":</v>
      </c>
      <c r="G412" s="111" t="str">
        <f ca="1">CHAR(34)&amp;INDIRECT("Dashboard!A"&amp;(ROW()-1)/3+3)&amp;CHAR(34)</f>
        <v>"19"</v>
      </c>
      <c r="H412" s="41" t="str">
        <f t="shared" si="80"/>
        <v>, "subgroup": "</v>
      </c>
      <c r="I412" s="41" t="s">
        <v>396</v>
      </c>
      <c r="J412" s="41" t="str">
        <f t="shared" si="72"/>
        <v>", "subgroupOrder":</v>
      </c>
      <c r="K412" s="41">
        <v>1</v>
      </c>
      <c r="L412" s="41" t="str">
        <f t="shared" si="73"/>
        <v>, "className": "</v>
      </c>
      <c r="M412" s="26" t="str">
        <f t="shared" ref="M412:M417" si="81">IF(ISNA(VLOOKUP(O412,$X$1:$Y$4,2,FALSE)),"",VLOOKUP(O412,$X$1:$Y$4,2,FALSE))</f>
        <v>gray</v>
      </c>
      <c r="N412" s="41" t="str">
        <f t="shared" si="74"/>
        <v>", "content": "</v>
      </c>
      <c r="O412" s="40" t="s">
        <v>388</v>
      </c>
      <c r="P412" s="41" t="str">
        <f t="shared" si="75"/>
        <v>", "start": "</v>
      </c>
      <c r="Q412" s="42">
        <f ca="1">IF(INDIRECT("Dashboard!I"&amp;(ROW()-1)/3+3)="","",INDIRECT("Dashboard!I"&amp;(ROW()-1)/3+3))</f>
        <v>45839</v>
      </c>
      <c r="R412" s="41" t="str">
        <f t="shared" si="76"/>
        <v>", "end": "</v>
      </c>
      <c r="S412" s="42">
        <f ca="1">IF(INDIRECT("Dashboard!J"&amp;(ROW()-1)/3+3)="","",INDIRECT("Dashboard!J"&amp;(ROW()-1)/3+3))</f>
        <v>45899</v>
      </c>
      <c r="T412" s="118" t="str">
        <f ca="1">IF(C416="]);",LEFT(T411,2),T411)</f>
        <v>"},</v>
      </c>
      <c r="V412" s="32" t="str">
        <f t="shared" ca="1" si="77"/>
        <v>{"id": 409, "group":"19", "subgroup": "plan", "subgroupOrder":1, "className": "gray", "content": "Planned", "start": "2025-07-01", "end": "2025-08-30"},</v>
      </c>
      <c r="W412" s="37" t="s">
        <v>2</v>
      </c>
    </row>
    <row r="413" spans="1:24">
      <c r="A413" s="36"/>
      <c r="C413" s="31" t="str">
        <f ca="1">IF(AND(Q413="", S413=""),"//","")</f>
        <v>//</v>
      </c>
      <c r="D413" s="37" t="str">
        <f t="shared" si="71"/>
        <v xml:space="preserve">{"id": </v>
      </c>
      <c r="E413" s="32">
        <f t="shared" si="78"/>
        <v>410</v>
      </c>
      <c r="F413" s="37" t="str">
        <f t="shared" si="79"/>
        <v>, "group":</v>
      </c>
      <c r="G413" s="37" t="str">
        <f ca="1">G412</f>
        <v>"19"</v>
      </c>
      <c r="H413" s="37" t="str">
        <f t="shared" si="80"/>
        <v>, "subgroup": "</v>
      </c>
      <c r="I413" s="37" t="s">
        <v>397</v>
      </c>
      <c r="J413" s="37" t="str">
        <f t="shared" si="72"/>
        <v>", "subgroupOrder":</v>
      </c>
      <c r="K413" s="37">
        <v>0</v>
      </c>
      <c r="L413" s="37" t="str">
        <f t="shared" si="73"/>
        <v>, "className": "</v>
      </c>
      <c r="M413" s="32" t="str">
        <f t="shared" ca="1" si="81"/>
        <v>pink-white</v>
      </c>
      <c r="N413" s="37" t="str">
        <f t="shared" si="74"/>
        <v>", "content": "</v>
      </c>
      <c r="O413" s="34" t="str">
        <f ca="1">IF(INDIRECT("Dashboard!P"&amp;((ROW()+1)/3+2))=1,"Completed",IF(INDIRECT("Dashboard!P"&amp;((ROW()+1)/3+2))="","","Pending"))</f>
        <v>Pending</v>
      </c>
      <c r="P413" s="37" t="str">
        <f t="shared" si="75"/>
        <v>", "start": "</v>
      </c>
      <c r="Q413" s="38" t="str">
        <f ca="1">IF(INDIRECT("Dashboard!K"&amp;((ROW()+1)/3+2))="","",INDIRECT("Dashboard!K"&amp;((ROW()+1)/3+2)))</f>
        <v/>
      </c>
      <c r="R413" s="37" t="str">
        <f t="shared" si="76"/>
        <v>", "end": "</v>
      </c>
      <c r="S413" s="38" t="str">
        <f ca="1">IF(INDIRECT("Dashboard!L"&amp;((ROW()+1)/3+2))="","",INDIRECT("Dashboard!L"&amp;((ROW()+1)/3+2)))</f>
        <v/>
      </c>
      <c r="T413" s="116" t="str">
        <f ca="1">IF(C416="]);",LEFT(T412,2),T412)</f>
        <v>"},</v>
      </c>
      <c r="V413" s="32" t="str">
        <f t="shared" ca="1" si="77"/>
        <v/>
      </c>
      <c r="W413" s="37" t="s">
        <v>2</v>
      </c>
      <c r="X413" s="32" t="str">
        <f ca="1">G413&amp;" : "&amp;INDIRECT("Dashboard!G"&amp;((ROW()+1)/3+2))</f>
        <v>"19" : M18. Final Report</v>
      </c>
    </row>
    <row r="414" spans="1:24" ht="15" thickBot="1">
      <c r="A414" s="36"/>
      <c r="C414" s="31" t="str">
        <f ca="1">IF(OR(INDIRECT("Dashboard!B"&amp;(ROW()/3+2))&lt;&gt;"&gt;",AND(Q414="",S414="")),"//","")</f>
        <v>//</v>
      </c>
      <c r="D414" s="37" t="str">
        <f t="shared" si="71"/>
        <v xml:space="preserve">{"id": </v>
      </c>
      <c r="E414" s="32">
        <f t="shared" si="78"/>
        <v>411</v>
      </c>
      <c r="F414" s="37" t="str">
        <f t="shared" si="79"/>
        <v>, "group":</v>
      </c>
      <c r="G414" s="37" t="str">
        <f ca="1">G413</f>
        <v>"19"</v>
      </c>
      <c r="H414" s="37" t="str">
        <f t="shared" si="80"/>
        <v>, "subgroup": "</v>
      </c>
      <c r="I414" s="37" t="s">
        <v>397</v>
      </c>
      <c r="J414" s="37" t="str">
        <f t="shared" si="72"/>
        <v>", "subgroupOrder":</v>
      </c>
      <c r="K414" s="37">
        <v>0</v>
      </c>
      <c r="L414" s="37" t="str">
        <f t="shared" si="73"/>
        <v>, "className": "</v>
      </c>
      <c r="M414" s="32" t="str">
        <f t="shared" si="81"/>
        <v>orange</v>
      </c>
      <c r="N414" s="37" t="str">
        <f t="shared" si="74"/>
        <v>", "content": "</v>
      </c>
      <c r="O414" s="34" t="s">
        <v>392</v>
      </c>
      <c r="P414" s="37" t="str">
        <f t="shared" si="75"/>
        <v>", "start": "</v>
      </c>
      <c r="Q414" s="38" t="str">
        <f ca="1">S413</f>
        <v/>
      </c>
      <c r="R414" s="37" t="str">
        <f t="shared" si="76"/>
        <v>", "end": "</v>
      </c>
      <c r="S414" s="112" t="str">
        <f ca="1">IF(INDIRECT("Dashboard!M"&amp;(ROW()/3+2))="","",INDIRECT("Dashboard!M"&amp;(ROW()/3+2)))</f>
        <v/>
      </c>
      <c r="T414" s="117" t="str">
        <f ca="1">IF(C416="]);",LEFT(T413,2),T413)</f>
        <v>"},</v>
      </c>
      <c r="V414" s="32" t="str">
        <f t="shared" ca="1" si="77"/>
        <v/>
      </c>
      <c r="W414" s="37" t="s">
        <v>2</v>
      </c>
    </row>
    <row r="415" spans="1:24">
      <c r="A415" s="36"/>
      <c r="C415" s="25"/>
      <c r="D415" s="41" t="str">
        <f t="shared" si="71"/>
        <v xml:space="preserve">{"id": </v>
      </c>
      <c r="E415" s="26">
        <f t="shared" si="78"/>
        <v>412</v>
      </c>
      <c r="F415" s="41" t="str">
        <f t="shared" si="79"/>
        <v>, "group":</v>
      </c>
      <c r="G415" s="111" t="str">
        <f ca="1">CHAR(34)&amp;INDIRECT("Dashboard!A"&amp;(ROW()-1)/3+3)&amp;CHAR(34)</f>
        <v>"19.1"</v>
      </c>
      <c r="H415" s="41" t="str">
        <f t="shared" si="80"/>
        <v>, "subgroup": "</v>
      </c>
      <c r="I415" s="41" t="s">
        <v>396</v>
      </c>
      <c r="J415" s="41" t="str">
        <f t="shared" si="72"/>
        <v>", "subgroupOrder":</v>
      </c>
      <c r="K415" s="41">
        <v>1</v>
      </c>
      <c r="L415" s="41" t="str">
        <f t="shared" si="73"/>
        <v>, "className": "</v>
      </c>
      <c r="M415" s="26" t="str">
        <f t="shared" si="81"/>
        <v>gray</v>
      </c>
      <c r="N415" s="41" t="str">
        <f t="shared" si="74"/>
        <v>", "content": "</v>
      </c>
      <c r="O415" s="40" t="s">
        <v>388</v>
      </c>
      <c r="P415" s="41" t="str">
        <f t="shared" si="75"/>
        <v>", "start": "</v>
      </c>
      <c r="Q415" s="42">
        <f ca="1">IF(INDIRECT("Dashboard!I"&amp;(ROW()-1)/3+3)="","",INDIRECT("Dashboard!I"&amp;(ROW()-1)/3+3))</f>
        <v>45839</v>
      </c>
      <c r="R415" s="41" t="str">
        <f t="shared" si="76"/>
        <v>", "end": "</v>
      </c>
      <c r="S415" s="42">
        <f ca="1">IF(INDIRECT("Dashboard!J"&amp;(ROW()-1)/3+3)="","",INDIRECT("Dashboard!J"&amp;(ROW()-1)/3+3))</f>
        <v>45899</v>
      </c>
      <c r="T415" s="118" t="str">
        <f ca="1">IF(C419="]);",LEFT(T414,2),T414)</f>
        <v>"}</v>
      </c>
      <c r="V415" s="32" t="str">
        <f t="shared" ca="1" si="77"/>
        <v>{"id": 412, "group":"19.1", "subgroup": "plan", "subgroupOrder":1, "className": "gray", "content": "Planned", "start": "2025-07-01", "end": "2025-08-30"}</v>
      </c>
      <c r="W415" s="37" t="s">
        <v>2</v>
      </c>
    </row>
    <row r="416" spans="1:24">
      <c r="A416" s="36"/>
      <c r="C416" s="31" t="str">
        <f ca="1">IF(AND(Q416="", S416=""),"//","")</f>
        <v>//</v>
      </c>
      <c r="D416" s="37" t="str">
        <f t="shared" si="71"/>
        <v xml:space="preserve">{"id": </v>
      </c>
      <c r="E416" s="32">
        <f t="shared" si="78"/>
        <v>413</v>
      </c>
      <c r="F416" s="37" t="str">
        <f t="shared" si="79"/>
        <v>, "group":</v>
      </c>
      <c r="G416" s="37" t="str">
        <f ca="1">G415</f>
        <v>"19.1"</v>
      </c>
      <c r="H416" s="37" t="str">
        <f t="shared" si="80"/>
        <v>, "subgroup": "</v>
      </c>
      <c r="I416" s="37" t="s">
        <v>397</v>
      </c>
      <c r="J416" s="37" t="str">
        <f t="shared" si="72"/>
        <v>", "subgroupOrder":</v>
      </c>
      <c r="K416" s="37">
        <v>0</v>
      </c>
      <c r="L416" s="37" t="str">
        <f t="shared" si="73"/>
        <v>, "className": "</v>
      </c>
      <c r="M416" s="32" t="str">
        <f t="shared" ca="1" si="81"/>
        <v>pink-white</v>
      </c>
      <c r="N416" s="37" t="str">
        <f t="shared" si="74"/>
        <v>", "content": "</v>
      </c>
      <c r="O416" s="34" t="str">
        <f ca="1">IF(INDIRECT("Dashboard!P"&amp;((ROW()+1)/3+2))=1,"Completed",IF(INDIRECT("Dashboard!P"&amp;((ROW()+1)/3+2))="","","Pending"))</f>
        <v>Pending</v>
      </c>
      <c r="P416" s="37" t="str">
        <f t="shared" si="75"/>
        <v>", "start": "</v>
      </c>
      <c r="Q416" s="38" t="str">
        <f ca="1">IF(INDIRECT("Dashboard!K"&amp;((ROW()+1)/3+2))="","",INDIRECT("Dashboard!K"&amp;((ROW()+1)/3+2)))</f>
        <v/>
      </c>
      <c r="R416" s="37" t="str">
        <f t="shared" si="76"/>
        <v>", "end": "</v>
      </c>
      <c r="S416" s="38" t="str">
        <f ca="1">IF(INDIRECT("Dashboard!L"&amp;((ROW()+1)/3+2))="","",INDIRECT("Dashboard!L"&amp;((ROW()+1)/3+2)))</f>
        <v/>
      </c>
      <c r="T416" s="116" t="str">
        <f ca="1">IF(C419="]);",LEFT(T415,2),T415)</f>
        <v>"}</v>
      </c>
      <c r="V416" s="32" t="str">
        <f t="shared" ca="1" si="77"/>
        <v/>
      </c>
      <c r="W416" s="37" t="s">
        <v>2</v>
      </c>
      <c r="X416" s="32" t="str">
        <f ca="1">G416&amp;" : "&amp;INDIRECT("Dashboard!G"&amp;((ROW()+1)/3+2))</f>
        <v>"19.1" : Final version of WP4 report - compiled</v>
      </c>
    </row>
    <row r="417" spans="1:23" ht="15" thickBot="1">
      <c r="A417" s="36"/>
      <c r="C417" s="28" t="str">
        <f ca="1">IF(OR(INDIRECT("Dashboard!B"&amp;(ROW()/3+2))&lt;&gt;"&gt;",AND(Q417="",S417="")),"//","")</f>
        <v>//</v>
      </c>
      <c r="D417" s="43" t="str">
        <f t="shared" si="71"/>
        <v xml:space="preserve">{"id": </v>
      </c>
      <c r="E417" s="29">
        <f t="shared" si="78"/>
        <v>414</v>
      </c>
      <c r="F417" s="43" t="str">
        <f t="shared" si="79"/>
        <v>, "group":</v>
      </c>
      <c r="G417" s="43" t="str">
        <f ca="1">G416</f>
        <v>"19.1"</v>
      </c>
      <c r="H417" s="43" t="str">
        <f t="shared" si="80"/>
        <v>, "subgroup": "</v>
      </c>
      <c r="I417" s="43" t="s">
        <v>397</v>
      </c>
      <c r="J417" s="43" t="str">
        <f t="shared" si="72"/>
        <v>", "subgroupOrder":</v>
      </c>
      <c r="K417" s="43">
        <v>0</v>
      </c>
      <c r="L417" s="43" t="str">
        <f t="shared" si="73"/>
        <v>, "className": "</v>
      </c>
      <c r="M417" s="29" t="str">
        <f t="shared" si="81"/>
        <v>orange</v>
      </c>
      <c r="N417" s="43" t="str">
        <f t="shared" si="74"/>
        <v>", "content": "</v>
      </c>
      <c r="O417" s="49" t="s">
        <v>392</v>
      </c>
      <c r="P417" s="43" t="str">
        <f t="shared" si="75"/>
        <v>", "start": "</v>
      </c>
      <c r="Q417" s="44" t="str">
        <f ca="1">S416</f>
        <v/>
      </c>
      <c r="R417" s="43" t="str">
        <f t="shared" si="76"/>
        <v>", "end": "</v>
      </c>
      <c r="S417" s="113" t="str">
        <f ca="1">IF(INDIRECT("Dashboard!M"&amp;(ROW()/3+2))="","",INDIRECT("Dashboard!M"&amp;(ROW()/3+2)))</f>
        <v/>
      </c>
      <c r="T417" s="117" t="str">
        <f ca="1">IF(C419="]);",LEFT(T416,2),T416)</f>
        <v>"}</v>
      </c>
      <c r="V417" s="32" t="str">
        <f t="shared" ca="1" si="77"/>
        <v/>
      </c>
      <c r="W417" s="37" t="s">
        <v>2</v>
      </c>
    </row>
    <row r="418" spans="1:23">
      <c r="A418" s="36"/>
      <c r="D418" s="37"/>
      <c r="F418" s="37"/>
      <c r="G418" s="37"/>
      <c r="H418" s="37"/>
      <c r="I418" s="37"/>
      <c r="J418" s="37"/>
      <c r="K418" s="37"/>
      <c r="L418" s="37"/>
      <c r="N418" s="37"/>
      <c r="O418" s="37"/>
      <c r="P418" s="37"/>
      <c r="Q418" s="38"/>
      <c r="R418" s="37"/>
      <c r="S418" s="112"/>
      <c r="T418" s="116"/>
      <c r="W418" s="37"/>
    </row>
    <row r="419" spans="1:23" ht="15" thickBot="1">
      <c r="A419" s="39"/>
      <c r="B419" s="29"/>
      <c r="C419" s="29" t="s">
        <v>380</v>
      </c>
      <c r="D419" s="29"/>
      <c r="E419" s="29"/>
      <c r="F419" s="29"/>
      <c r="G419" s="29"/>
      <c r="H419" s="29"/>
      <c r="I419" s="29"/>
      <c r="J419" s="29"/>
      <c r="K419" s="29"/>
      <c r="L419" s="29"/>
      <c r="M419" s="29"/>
      <c r="N419" s="29"/>
      <c r="O419" s="29"/>
      <c r="P419" s="29"/>
      <c r="Q419" s="29"/>
      <c r="R419" s="29"/>
      <c r="S419" s="43"/>
      <c r="T419" s="30"/>
      <c r="V419" s="34" t="s">
        <v>370</v>
      </c>
    </row>
    <row r="420" spans="1:23">
      <c r="A420" s="37"/>
    </row>
    <row r="421" spans="1:23">
      <c r="A421" s="37"/>
    </row>
    <row r="422" spans="1:23">
      <c r="A422" s="37"/>
    </row>
  </sheetData>
  <autoFilter ref="C1:T417"/>
  <conditionalFormatting sqref="A1:XFD1048576">
    <cfRule type="expression" dxfId="1" priority="142">
      <formula>_xlfn.ISFORMULA(A1)</formula>
    </cfRule>
  </conditionalFormatting>
  <conditionalFormatting sqref="E1:E1048576">
    <cfRule type="duplicateValues" dxfId="0" priority="1"/>
  </conditionalFormatting>
  <dataValidations count="1">
    <dataValidation type="list" allowBlank="1" showInputMessage="1" showErrorMessage="1" sqref="O4:O418">
      <formula1>$X$1:$X$4</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G119"/>
  <sheetViews>
    <sheetView workbookViewId="0">
      <selection activeCell="E9" sqref="E9:E10"/>
    </sheetView>
  </sheetViews>
  <sheetFormatPr defaultRowHeight="14.5"/>
  <cols>
    <col min="3" max="3" width="6.54296875" customWidth="1"/>
    <col min="4" max="4" width="32.453125" customWidth="1"/>
    <col min="5" max="5" width="41.7265625" customWidth="1"/>
    <col min="6" max="6" width="44.453125" customWidth="1"/>
    <col min="7" max="7" width="59.1796875" customWidth="1"/>
  </cols>
  <sheetData>
    <row r="1" spans="3:7" ht="15" thickBot="1"/>
    <row r="2" spans="3:7" ht="15" thickBot="1">
      <c r="C2" s="9" t="s">
        <v>224</v>
      </c>
      <c r="D2" s="10" t="s">
        <v>225</v>
      </c>
      <c r="E2" s="11" t="s">
        <v>226</v>
      </c>
      <c r="F2" s="10" t="s">
        <v>227</v>
      </c>
      <c r="G2" s="11" t="s">
        <v>228</v>
      </c>
    </row>
    <row r="3" spans="3:7">
      <c r="C3" s="125" t="s">
        <v>229</v>
      </c>
      <c r="D3" s="128" t="s">
        <v>230</v>
      </c>
      <c r="E3" s="128" t="s">
        <v>231</v>
      </c>
      <c r="F3" s="128" t="s">
        <v>232</v>
      </c>
      <c r="G3" s="5" t="s">
        <v>233</v>
      </c>
    </row>
    <row r="4" spans="3:7">
      <c r="C4" s="125"/>
      <c r="D4" s="128"/>
      <c r="E4" s="128"/>
      <c r="F4" s="128"/>
      <c r="G4" s="6"/>
    </row>
    <row r="5" spans="3:7" ht="15" thickBot="1">
      <c r="C5" s="126"/>
      <c r="D5" s="129"/>
      <c r="E5" s="129"/>
      <c r="F5" s="129"/>
      <c r="G5" s="7" t="s">
        <v>234</v>
      </c>
    </row>
    <row r="6" spans="3:7">
      <c r="C6" s="124" t="s">
        <v>235</v>
      </c>
      <c r="D6" s="127" t="s">
        <v>236</v>
      </c>
      <c r="E6" s="127" t="s">
        <v>237</v>
      </c>
      <c r="F6" s="6"/>
      <c r="G6" s="5" t="s">
        <v>238</v>
      </c>
    </row>
    <row r="7" spans="3:7" ht="168">
      <c r="C7" s="125"/>
      <c r="D7" s="128"/>
      <c r="E7" s="128"/>
      <c r="F7" s="5" t="s">
        <v>239</v>
      </c>
      <c r="G7" s="6"/>
    </row>
    <row r="8" spans="3:7" ht="15" thickBot="1">
      <c r="C8" s="126"/>
      <c r="D8" s="129"/>
      <c r="E8" s="129"/>
      <c r="F8" s="8"/>
      <c r="G8" s="7" t="s">
        <v>240</v>
      </c>
    </row>
    <row r="9" spans="3:7">
      <c r="C9" s="124" t="s">
        <v>241</v>
      </c>
      <c r="D9" s="127" t="s">
        <v>242</v>
      </c>
      <c r="E9" s="127" t="s">
        <v>243</v>
      </c>
      <c r="F9" s="127" t="s">
        <v>244</v>
      </c>
      <c r="G9" s="5" t="s">
        <v>245</v>
      </c>
    </row>
    <row r="10" spans="3:7" ht="37.5" customHeight="1" thickBot="1">
      <c r="C10" s="126"/>
      <c r="D10" s="129"/>
      <c r="E10" s="129"/>
      <c r="F10" s="129"/>
      <c r="G10" s="7" t="s">
        <v>246</v>
      </c>
    </row>
    <row r="11" spans="3:7" ht="28">
      <c r="C11" s="124" t="s">
        <v>247</v>
      </c>
      <c r="D11" s="127" t="s">
        <v>248</v>
      </c>
      <c r="E11" s="5" t="s">
        <v>249</v>
      </c>
      <c r="F11" s="127" t="s">
        <v>250</v>
      </c>
      <c r="G11" s="127" t="s">
        <v>251</v>
      </c>
    </row>
    <row r="12" spans="3:7">
      <c r="C12" s="125"/>
      <c r="D12" s="128"/>
      <c r="E12" s="5" t="s">
        <v>252</v>
      </c>
      <c r="F12" s="128"/>
      <c r="G12" s="128"/>
    </row>
    <row r="13" spans="3:7">
      <c r="C13" s="125"/>
      <c r="D13" s="128"/>
      <c r="E13" s="5" t="s">
        <v>253</v>
      </c>
      <c r="F13" s="128"/>
      <c r="G13" s="128"/>
    </row>
    <row r="14" spans="3:7" ht="28">
      <c r="C14" s="125"/>
      <c r="D14" s="128"/>
      <c r="E14" s="5" t="s">
        <v>254</v>
      </c>
      <c r="F14" s="128"/>
      <c r="G14" s="128"/>
    </row>
    <row r="15" spans="3:7" ht="15" thickBot="1">
      <c r="C15" s="126"/>
      <c r="D15" s="129"/>
      <c r="E15" s="7" t="s">
        <v>255</v>
      </c>
      <c r="F15" s="129"/>
      <c r="G15" s="129"/>
    </row>
    <row r="16" spans="3:7" ht="28">
      <c r="C16" s="124" t="s">
        <v>256</v>
      </c>
      <c r="D16" s="127" t="s">
        <v>257</v>
      </c>
      <c r="E16" s="5" t="s">
        <v>249</v>
      </c>
      <c r="F16" s="127" t="s">
        <v>250</v>
      </c>
      <c r="G16" s="127" t="s">
        <v>258</v>
      </c>
    </row>
    <row r="17" spans="3:7">
      <c r="C17" s="125"/>
      <c r="D17" s="128"/>
      <c r="E17" s="5" t="s">
        <v>252</v>
      </c>
      <c r="F17" s="128"/>
      <c r="G17" s="128"/>
    </row>
    <row r="18" spans="3:7">
      <c r="C18" s="125"/>
      <c r="D18" s="128"/>
      <c r="E18" s="5" t="s">
        <v>253</v>
      </c>
      <c r="F18" s="128"/>
      <c r="G18" s="128"/>
    </row>
    <row r="19" spans="3:7" ht="28">
      <c r="C19" s="125"/>
      <c r="D19" s="128"/>
      <c r="E19" s="5" t="s">
        <v>254</v>
      </c>
      <c r="F19" s="128"/>
      <c r="G19" s="128"/>
    </row>
    <row r="20" spans="3:7" ht="15" thickBot="1">
      <c r="C20" s="126"/>
      <c r="D20" s="129"/>
      <c r="E20" s="7" t="s">
        <v>255</v>
      </c>
      <c r="F20" s="129"/>
      <c r="G20" s="129"/>
    </row>
    <row r="21" spans="3:7" ht="28">
      <c r="C21" s="124" t="s">
        <v>259</v>
      </c>
      <c r="D21" s="127" t="s">
        <v>260</v>
      </c>
      <c r="E21" s="5" t="s">
        <v>249</v>
      </c>
      <c r="F21" s="5" t="s">
        <v>261</v>
      </c>
      <c r="G21" s="127" t="s">
        <v>262</v>
      </c>
    </row>
    <row r="22" spans="3:7" ht="28">
      <c r="C22" s="125"/>
      <c r="D22" s="128"/>
      <c r="E22" s="5" t="s">
        <v>252</v>
      </c>
      <c r="F22" s="5" t="s">
        <v>263</v>
      </c>
      <c r="G22" s="128"/>
    </row>
    <row r="23" spans="3:7" ht="28">
      <c r="C23" s="125"/>
      <c r="D23" s="128"/>
      <c r="E23" s="5" t="s">
        <v>253</v>
      </c>
      <c r="F23" s="5" t="s">
        <v>264</v>
      </c>
      <c r="G23" s="128"/>
    </row>
    <row r="24" spans="3:7" ht="28">
      <c r="C24" s="125"/>
      <c r="D24" s="128"/>
      <c r="E24" s="5" t="s">
        <v>254</v>
      </c>
      <c r="F24" s="5" t="s">
        <v>265</v>
      </c>
      <c r="G24" s="128"/>
    </row>
    <row r="25" spans="3:7">
      <c r="C25" s="125"/>
      <c r="D25" s="128"/>
      <c r="E25" s="5" t="s">
        <v>255</v>
      </c>
      <c r="F25" s="5" t="s">
        <v>266</v>
      </c>
      <c r="G25" s="128"/>
    </row>
    <row r="26" spans="3:7">
      <c r="C26" s="125"/>
      <c r="D26" s="128"/>
      <c r="E26" s="6"/>
      <c r="F26" s="5" t="s">
        <v>267</v>
      </c>
      <c r="G26" s="128"/>
    </row>
    <row r="27" spans="3:7">
      <c r="C27" s="125"/>
      <c r="D27" s="128"/>
      <c r="E27" s="6"/>
      <c r="F27" s="5" t="s">
        <v>268</v>
      </c>
      <c r="G27" s="128"/>
    </row>
    <row r="28" spans="3:7">
      <c r="C28" s="125"/>
      <c r="D28" s="128"/>
      <c r="E28" s="6"/>
      <c r="F28" s="5" t="s">
        <v>269</v>
      </c>
      <c r="G28" s="128"/>
    </row>
    <row r="29" spans="3:7" ht="28.5" thickBot="1">
      <c r="C29" s="126"/>
      <c r="D29" s="129"/>
      <c r="E29" s="8"/>
      <c r="F29" s="7" t="s">
        <v>270</v>
      </c>
      <c r="G29" s="129"/>
    </row>
    <row r="30" spans="3:7" ht="28">
      <c r="C30" s="124" t="s">
        <v>271</v>
      </c>
      <c r="D30" s="127" t="s">
        <v>272</v>
      </c>
      <c r="E30" s="5" t="s">
        <v>249</v>
      </c>
      <c r="F30" s="127" t="s">
        <v>273</v>
      </c>
      <c r="G30" s="127" t="s">
        <v>274</v>
      </c>
    </row>
    <row r="31" spans="3:7">
      <c r="C31" s="125"/>
      <c r="D31" s="128"/>
      <c r="E31" s="5" t="s">
        <v>252</v>
      </c>
      <c r="F31" s="128"/>
      <c r="G31" s="128"/>
    </row>
    <row r="32" spans="3:7">
      <c r="C32" s="125"/>
      <c r="D32" s="128"/>
      <c r="E32" s="5" t="s">
        <v>253</v>
      </c>
      <c r="F32" s="128"/>
      <c r="G32" s="128"/>
    </row>
    <row r="33" spans="3:7" ht="28">
      <c r="C33" s="125"/>
      <c r="D33" s="128"/>
      <c r="E33" s="5" t="s">
        <v>254</v>
      </c>
      <c r="F33" s="128"/>
      <c r="G33" s="128"/>
    </row>
    <row r="34" spans="3:7" ht="15" thickBot="1">
      <c r="C34" s="126"/>
      <c r="D34" s="129"/>
      <c r="E34" s="7" t="s">
        <v>275</v>
      </c>
      <c r="F34" s="129"/>
      <c r="G34" s="129"/>
    </row>
    <row r="35" spans="3:7" ht="28">
      <c r="C35" s="124" t="s">
        <v>276</v>
      </c>
      <c r="D35" s="127" t="s">
        <v>277</v>
      </c>
      <c r="E35" s="5" t="s">
        <v>249</v>
      </c>
      <c r="F35" s="127" t="s">
        <v>273</v>
      </c>
      <c r="G35" s="127" t="s">
        <v>278</v>
      </c>
    </row>
    <row r="36" spans="3:7">
      <c r="C36" s="125"/>
      <c r="D36" s="128"/>
      <c r="E36" s="5" t="s">
        <v>252</v>
      </c>
      <c r="F36" s="128"/>
      <c r="G36" s="128"/>
    </row>
    <row r="37" spans="3:7">
      <c r="C37" s="125"/>
      <c r="D37" s="128"/>
      <c r="E37" s="5" t="s">
        <v>253</v>
      </c>
      <c r="F37" s="128"/>
      <c r="G37" s="128"/>
    </row>
    <row r="38" spans="3:7" ht="28">
      <c r="C38" s="125"/>
      <c r="D38" s="128"/>
      <c r="E38" s="5" t="s">
        <v>254</v>
      </c>
      <c r="F38" s="128"/>
      <c r="G38" s="128"/>
    </row>
    <row r="39" spans="3:7" ht="15" thickBot="1">
      <c r="C39" s="126"/>
      <c r="D39" s="129"/>
      <c r="E39" s="7" t="s">
        <v>255</v>
      </c>
      <c r="F39" s="129"/>
      <c r="G39" s="129"/>
    </row>
    <row r="40" spans="3:7">
      <c r="C40" s="12" t="s">
        <v>279</v>
      </c>
    </row>
    <row r="41" spans="3:7" ht="28">
      <c r="C41" s="125" t="s">
        <v>280</v>
      </c>
      <c r="D41" s="128" t="s">
        <v>281</v>
      </c>
      <c r="E41" s="5" t="s">
        <v>249</v>
      </c>
      <c r="F41" s="5" t="s">
        <v>282</v>
      </c>
      <c r="G41" s="128" t="s">
        <v>283</v>
      </c>
    </row>
    <row r="42" spans="3:7" ht="28">
      <c r="C42" s="125"/>
      <c r="D42" s="128"/>
      <c r="E42" s="5" t="s">
        <v>252</v>
      </c>
      <c r="F42" s="5" t="s">
        <v>284</v>
      </c>
      <c r="G42" s="128"/>
    </row>
    <row r="43" spans="3:7" ht="56">
      <c r="C43" s="125"/>
      <c r="D43" s="128"/>
      <c r="E43" s="5" t="s">
        <v>253</v>
      </c>
      <c r="F43" s="5" t="s">
        <v>285</v>
      </c>
      <c r="G43" s="128"/>
    </row>
    <row r="44" spans="3:7" ht="28">
      <c r="C44" s="125"/>
      <c r="D44" s="128"/>
      <c r="E44" s="5" t="s">
        <v>254</v>
      </c>
      <c r="F44" s="6"/>
      <c r="G44" s="128"/>
    </row>
    <row r="45" spans="3:7" ht="15" thickBot="1">
      <c r="C45" s="126"/>
      <c r="D45" s="129"/>
      <c r="E45" s="7" t="s">
        <v>255</v>
      </c>
      <c r="F45" s="8"/>
      <c r="G45" s="129"/>
    </row>
    <row r="46" spans="3:7" ht="28">
      <c r="C46" s="124" t="s">
        <v>286</v>
      </c>
      <c r="D46" s="127" t="s">
        <v>287</v>
      </c>
      <c r="E46" s="5" t="s">
        <v>249</v>
      </c>
      <c r="F46" s="5" t="s">
        <v>288</v>
      </c>
      <c r="G46" s="127" t="s">
        <v>289</v>
      </c>
    </row>
    <row r="47" spans="3:7" ht="42">
      <c r="C47" s="125"/>
      <c r="D47" s="128"/>
      <c r="E47" s="5" t="s">
        <v>252</v>
      </c>
      <c r="F47" s="5" t="s">
        <v>290</v>
      </c>
      <c r="G47" s="128"/>
    </row>
    <row r="48" spans="3:7">
      <c r="C48" s="125"/>
      <c r="D48" s="128"/>
      <c r="E48" s="5" t="s">
        <v>253</v>
      </c>
      <c r="F48" s="5"/>
      <c r="G48" s="128"/>
    </row>
    <row r="49" spans="3:7" ht="28">
      <c r="C49" s="125"/>
      <c r="D49" s="128"/>
      <c r="E49" s="5" t="s">
        <v>254</v>
      </c>
      <c r="F49" s="5" t="s">
        <v>291</v>
      </c>
      <c r="G49" s="128"/>
    </row>
    <row r="50" spans="3:7" ht="15" thickBot="1">
      <c r="C50" s="126"/>
      <c r="D50" s="129"/>
      <c r="E50" s="7" t="s">
        <v>255</v>
      </c>
      <c r="F50" s="8"/>
      <c r="G50" s="129"/>
    </row>
    <row r="51" spans="3:7" ht="28">
      <c r="C51" s="124" t="s">
        <v>292</v>
      </c>
      <c r="D51" s="127" t="s">
        <v>293</v>
      </c>
      <c r="E51" s="5" t="s">
        <v>249</v>
      </c>
      <c r="F51" s="127" t="s">
        <v>294</v>
      </c>
      <c r="G51" s="127" t="s">
        <v>295</v>
      </c>
    </row>
    <row r="52" spans="3:7">
      <c r="C52" s="125"/>
      <c r="D52" s="128"/>
      <c r="E52" s="5" t="s">
        <v>252</v>
      </c>
      <c r="F52" s="128"/>
      <c r="G52" s="128"/>
    </row>
    <row r="53" spans="3:7">
      <c r="C53" s="125"/>
      <c r="D53" s="128"/>
      <c r="E53" s="5" t="s">
        <v>253</v>
      </c>
      <c r="F53" s="128"/>
      <c r="G53" s="128"/>
    </row>
    <row r="54" spans="3:7" ht="28">
      <c r="C54" s="125"/>
      <c r="D54" s="128"/>
      <c r="E54" s="5" t="s">
        <v>254</v>
      </c>
      <c r="F54" s="128"/>
      <c r="G54" s="128"/>
    </row>
    <row r="55" spans="3:7" ht="15" thickBot="1">
      <c r="C55" s="126"/>
      <c r="D55" s="129"/>
      <c r="E55" s="7" t="s">
        <v>255</v>
      </c>
      <c r="F55" s="129"/>
      <c r="G55" s="129"/>
    </row>
    <row r="56" spans="3:7" ht="28">
      <c r="C56" s="124" t="s">
        <v>296</v>
      </c>
      <c r="D56" s="127" t="s">
        <v>297</v>
      </c>
      <c r="E56" s="5" t="s">
        <v>249</v>
      </c>
      <c r="F56" s="127" t="s">
        <v>298</v>
      </c>
      <c r="G56" s="127" t="s">
        <v>299</v>
      </c>
    </row>
    <row r="57" spans="3:7">
      <c r="C57" s="125"/>
      <c r="D57" s="128"/>
      <c r="E57" s="5" t="s">
        <v>252</v>
      </c>
      <c r="F57" s="128"/>
      <c r="G57" s="128"/>
    </row>
    <row r="58" spans="3:7">
      <c r="C58" s="125"/>
      <c r="D58" s="128"/>
      <c r="E58" s="5" t="s">
        <v>253</v>
      </c>
      <c r="F58" s="128"/>
      <c r="G58" s="128"/>
    </row>
    <row r="59" spans="3:7" ht="28">
      <c r="C59" s="125"/>
      <c r="D59" s="128"/>
      <c r="E59" s="5" t="s">
        <v>254</v>
      </c>
      <c r="F59" s="128"/>
      <c r="G59" s="128"/>
    </row>
    <row r="60" spans="3:7" ht="15" thickBot="1">
      <c r="C60" s="126"/>
      <c r="D60" s="129"/>
      <c r="E60" s="7" t="s">
        <v>255</v>
      </c>
      <c r="F60" s="129"/>
      <c r="G60" s="129"/>
    </row>
    <row r="61" spans="3:7" ht="28">
      <c r="C61" s="124" t="s">
        <v>300</v>
      </c>
      <c r="D61" s="127" t="s">
        <v>301</v>
      </c>
      <c r="E61" s="5" t="s">
        <v>249</v>
      </c>
      <c r="F61" s="127" t="s">
        <v>302</v>
      </c>
      <c r="G61" s="127" t="s">
        <v>303</v>
      </c>
    </row>
    <row r="62" spans="3:7">
      <c r="C62" s="125"/>
      <c r="D62" s="128"/>
      <c r="E62" s="5" t="s">
        <v>252</v>
      </c>
      <c r="F62" s="128"/>
      <c r="G62" s="128"/>
    </row>
    <row r="63" spans="3:7">
      <c r="C63" s="125"/>
      <c r="D63" s="128"/>
      <c r="E63" s="5" t="s">
        <v>253</v>
      </c>
      <c r="F63" s="128"/>
      <c r="G63" s="128"/>
    </row>
    <row r="64" spans="3:7" ht="28">
      <c r="C64" s="125"/>
      <c r="D64" s="128"/>
      <c r="E64" s="5" t="s">
        <v>254</v>
      </c>
      <c r="F64" s="128"/>
      <c r="G64" s="128"/>
    </row>
    <row r="65" spans="3:7" ht="15" thickBot="1">
      <c r="C65" s="126"/>
      <c r="D65" s="129"/>
      <c r="E65" s="7" t="s">
        <v>255</v>
      </c>
      <c r="F65" s="129"/>
      <c r="G65" s="129"/>
    </row>
    <row r="66" spans="3:7" ht="28">
      <c r="C66" s="124" t="s">
        <v>304</v>
      </c>
      <c r="D66" s="127" t="s">
        <v>305</v>
      </c>
      <c r="E66" s="5" t="s">
        <v>249</v>
      </c>
      <c r="F66" s="127" t="s">
        <v>302</v>
      </c>
      <c r="G66" s="127" t="s">
        <v>306</v>
      </c>
    </row>
    <row r="67" spans="3:7">
      <c r="C67" s="125"/>
      <c r="D67" s="128"/>
      <c r="E67" s="5" t="s">
        <v>252</v>
      </c>
      <c r="F67" s="128"/>
      <c r="G67" s="128"/>
    </row>
    <row r="68" spans="3:7">
      <c r="C68" s="125"/>
      <c r="D68" s="128"/>
      <c r="E68" s="5" t="s">
        <v>253</v>
      </c>
      <c r="F68" s="128"/>
      <c r="G68" s="128"/>
    </row>
    <row r="69" spans="3:7" ht="28">
      <c r="C69" s="125"/>
      <c r="D69" s="128"/>
      <c r="E69" s="5" t="s">
        <v>254</v>
      </c>
      <c r="F69" s="128"/>
      <c r="G69" s="128"/>
    </row>
    <row r="70" spans="3:7" ht="15" thickBot="1">
      <c r="C70" s="126"/>
      <c r="D70" s="129"/>
      <c r="E70" s="7" t="s">
        <v>255</v>
      </c>
      <c r="F70" s="129"/>
      <c r="G70" s="129"/>
    </row>
    <row r="71" spans="3:7" ht="28">
      <c r="C71" s="124" t="s">
        <v>307</v>
      </c>
      <c r="D71" s="127" t="s">
        <v>308</v>
      </c>
      <c r="E71" s="5" t="s">
        <v>249</v>
      </c>
      <c r="F71" s="127" t="s">
        <v>309</v>
      </c>
      <c r="G71" s="127" t="s">
        <v>310</v>
      </c>
    </row>
    <row r="72" spans="3:7">
      <c r="C72" s="125"/>
      <c r="D72" s="128"/>
      <c r="E72" s="5" t="s">
        <v>252</v>
      </c>
      <c r="F72" s="128"/>
      <c r="G72" s="128"/>
    </row>
    <row r="73" spans="3:7">
      <c r="C73" s="125"/>
      <c r="D73" s="128"/>
      <c r="E73" s="5" t="s">
        <v>253</v>
      </c>
      <c r="F73" s="128"/>
      <c r="G73" s="128"/>
    </row>
    <row r="74" spans="3:7" ht="28">
      <c r="C74" s="125"/>
      <c r="D74" s="128"/>
      <c r="E74" s="5" t="s">
        <v>254</v>
      </c>
      <c r="F74" s="128"/>
      <c r="G74" s="128"/>
    </row>
    <row r="75" spans="3:7" ht="15" thickBot="1">
      <c r="C75" s="126"/>
      <c r="D75" s="129"/>
      <c r="E75" s="7" t="s">
        <v>255</v>
      </c>
      <c r="F75" s="129"/>
      <c r="G75" s="129"/>
    </row>
    <row r="76" spans="3:7" ht="28">
      <c r="C76" s="124" t="s">
        <v>311</v>
      </c>
      <c r="D76" s="127" t="s">
        <v>312</v>
      </c>
      <c r="E76" s="5" t="s">
        <v>249</v>
      </c>
      <c r="F76" s="127" t="s">
        <v>309</v>
      </c>
      <c r="G76" s="127" t="s">
        <v>313</v>
      </c>
    </row>
    <row r="77" spans="3:7">
      <c r="C77" s="125"/>
      <c r="D77" s="128"/>
      <c r="E77" s="5" t="s">
        <v>252</v>
      </c>
      <c r="F77" s="128"/>
      <c r="G77" s="128"/>
    </row>
    <row r="78" spans="3:7">
      <c r="C78" s="125"/>
      <c r="D78" s="128"/>
      <c r="E78" s="5" t="s">
        <v>253</v>
      </c>
      <c r="F78" s="128"/>
      <c r="G78" s="128"/>
    </row>
    <row r="79" spans="3:7" ht="28">
      <c r="C79" s="125"/>
      <c r="D79" s="128"/>
      <c r="E79" s="5" t="s">
        <v>254</v>
      </c>
      <c r="F79" s="128"/>
      <c r="G79" s="128"/>
    </row>
    <row r="80" spans="3:7" ht="15" thickBot="1">
      <c r="C80" s="126"/>
      <c r="D80" s="129"/>
      <c r="E80" s="7" t="s">
        <v>255</v>
      </c>
      <c r="F80" s="129"/>
      <c r="G80" s="129"/>
    </row>
    <row r="81" spans="3:7" ht="28">
      <c r="C81" s="124" t="s">
        <v>314</v>
      </c>
      <c r="D81" s="127" t="s">
        <v>315</v>
      </c>
      <c r="E81" s="5" t="s">
        <v>249</v>
      </c>
      <c r="F81" s="127" t="s">
        <v>309</v>
      </c>
      <c r="G81" s="127" t="s">
        <v>316</v>
      </c>
    </row>
    <row r="82" spans="3:7">
      <c r="C82" s="125"/>
      <c r="D82" s="128"/>
      <c r="E82" s="5" t="s">
        <v>252</v>
      </c>
      <c r="F82" s="128"/>
      <c r="G82" s="128"/>
    </row>
    <row r="83" spans="3:7">
      <c r="C83" s="125"/>
      <c r="D83" s="128"/>
      <c r="E83" s="5" t="s">
        <v>253</v>
      </c>
      <c r="F83" s="128"/>
      <c r="G83" s="128"/>
    </row>
    <row r="84" spans="3:7" ht="28">
      <c r="C84" s="125"/>
      <c r="D84" s="128"/>
      <c r="E84" s="5" t="s">
        <v>254</v>
      </c>
      <c r="F84" s="128"/>
      <c r="G84" s="128"/>
    </row>
    <row r="85" spans="3:7" ht="15" thickBot="1">
      <c r="C85" s="126"/>
      <c r="D85" s="129"/>
      <c r="E85" s="7" t="s">
        <v>255</v>
      </c>
      <c r="F85" s="129"/>
      <c r="G85" s="129"/>
    </row>
    <row r="86" spans="3:7" ht="28">
      <c r="C86" s="124" t="s">
        <v>317</v>
      </c>
      <c r="D86" s="127" t="s">
        <v>318</v>
      </c>
      <c r="E86" s="5" t="s">
        <v>249</v>
      </c>
      <c r="F86" s="5" t="s">
        <v>319</v>
      </c>
      <c r="G86" s="127" t="s">
        <v>258</v>
      </c>
    </row>
    <row r="87" spans="3:7">
      <c r="C87" s="125"/>
      <c r="D87" s="128"/>
      <c r="E87" s="5" t="s">
        <v>252</v>
      </c>
      <c r="F87" s="5" t="s">
        <v>320</v>
      </c>
      <c r="G87" s="128"/>
    </row>
    <row r="88" spans="3:7">
      <c r="C88" s="125"/>
      <c r="D88" s="128"/>
      <c r="E88" s="5" t="s">
        <v>253</v>
      </c>
      <c r="F88" s="5" t="s">
        <v>321</v>
      </c>
      <c r="G88" s="128"/>
    </row>
    <row r="89" spans="3:7" ht="28">
      <c r="C89" s="125"/>
      <c r="D89" s="128"/>
      <c r="E89" s="5" t="s">
        <v>254</v>
      </c>
      <c r="F89" s="6"/>
      <c r="G89" s="128"/>
    </row>
    <row r="90" spans="3:7" ht="15" thickBot="1">
      <c r="C90" s="126"/>
      <c r="D90" s="129"/>
      <c r="E90" s="7" t="s">
        <v>255</v>
      </c>
      <c r="F90" s="8"/>
      <c r="G90" s="129"/>
    </row>
    <row r="91" spans="3:7" ht="15" thickBot="1">
      <c r="C91" s="13" t="s">
        <v>322</v>
      </c>
      <c r="D91" s="14" t="s">
        <v>323</v>
      </c>
      <c r="E91" s="14" t="s">
        <v>223</v>
      </c>
      <c r="F91" s="7" t="s">
        <v>250</v>
      </c>
      <c r="G91" s="7" t="s">
        <v>278</v>
      </c>
    </row>
    <row r="93" spans="3:7">
      <c r="C93" s="15" t="s">
        <v>324</v>
      </c>
    </row>
    <row r="94" spans="3:7">
      <c r="C94" s="15"/>
    </row>
    <row r="95" spans="3:7">
      <c r="C95" s="16" t="s">
        <v>325</v>
      </c>
    </row>
    <row r="96" spans="3:7">
      <c r="C96" s="16" t="s">
        <v>326</v>
      </c>
    </row>
    <row r="97" spans="3:3">
      <c r="C97" s="16" t="s">
        <v>327</v>
      </c>
    </row>
    <row r="98" spans="3:3">
      <c r="C98" s="16"/>
    </row>
    <row r="99" spans="3:3" ht="409.5">
      <c r="C99" s="17" t="s">
        <v>328</v>
      </c>
    </row>
    <row r="100" spans="3:3">
      <c r="C100" s="17"/>
    </row>
    <row r="101" spans="3:3" ht="409.5">
      <c r="C101" s="17" t="s">
        <v>329</v>
      </c>
    </row>
    <row r="102" spans="3:3">
      <c r="C102" s="18"/>
    </row>
    <row r="103" spans="3:3" ht="409.5">
      <c r="C103" s="17" t="s">
        <v>330</v>
      </c>
    </row>
    <row r="104" spans="3:3">
      <c r="C104" s="17"/>
    </row>
    <row r="105" spans="3:3" ht="182">
      <c r="C105" s="17" t="s">
        <v>331</v>
      </c>
    </row>
    <row r="106" spans="3:3" ht="252">
      <c r="C106" s="19" t="s">
        <v>332</v>
      </c>
    </row>
    <row r="107" spans="3:3" ht="378">
      <c r="C107" s="19" t="s">
        <v>333</v>
      </c>
    </row>
    <row r="108" spans="3:3" ht="409.5">
      <c r="C108" s="19" t="s">
        <v>334</v>
      </c>
    </row>
    <row r="109" spans="3:3" ht="409.5">
      <c r="C109" s="19" t="s">
        <v>335</v>
      </c>
    </row>
    <row r="110" spans="3:3">
      <c r="C110" s="17"/>
    </row>
    <row r="111" spans="3:3" ht="409.5">
      <c r="C111" s="17" t="s">
        <v>336</v>
      </c>
    </row>
    <row r="112" spans="3:3">
      <c r="C112" s="15"/>
    </row>
    <row r="113" spans="3:3">
      <c r="C113" s="15" t="s">
        <v>337</v>
      </c>
    </row>
    <row r="114" spans="3:3">
      <c r="C114" s="15"/>
    </row>
    <row r="115" spans="3:3">
      <c r="C115" s="15" t="s">
        <v>338</v>
      </c>
    </row>
    <row r="116" spans="3:3">
      <c r="C116" s="15" t="s">
        <v>339</v>
      </c>
    </row>
    <row r="117" spans="3:3">
      <c r="C117" s="16"/>
    </row>
    <row r="118" spans="3:3">
      <c r="C118" s="16" t="s">
        <v>340</v>
      </c>
    </row>
    <row r="119" spans="3:3">
      <c r="C119" s="15"/>
    </row>
  </sheetData>
  <mergeCells count="67">
    <mergeCell ref="C3:C5"/>
    <mergeCell ref="D3:D5"/>
    <mergeCell ref="E3:E5"/>
    <mergeCell ref="F3:F5"/>
    <mergeCell ref="C6:C8"/>
    <mergeCell ref="D6:D8"/>
    <mergeCell ref="E6:E8"/>
    <mergeCell ref="C21:C29"/>
    <mergeCell ref="D21:D29"/>
    <mergeCell ref="G21:G29"/>
    <mergeCell ref="C9:C10"/>
    <mergeCell ref="D9:D10"/>
    <mergeCell ref="E9:E10"/>
    <mergeCell ref="F9:F10"/>
    <mergeCell ref="C11:C15"/>
    <mergeCell ref="D11:D15"/>
    <mergeCell ref="F11:F15"/>
    <mergeCell ref="G11:G15"/>
    <mergeCell ref="C16:C20"/>
    <mergeCell ref="D16:D20"/>
    <mergeCell ref="F16:F20"/>
    <mergeCell ref="G16:G20"/>
    <mergeCell ref="C30:C34"/>
    <mergeCell ref="D30:D34"/>
    <mergeCell ref="F30:F34"/>
    <mergeCell ref="G30:G34"/>
    <mergeCell ref="C35:C39"/>
    <mergeCell ref="D35:D39"/>
    <mergeCell ref="F35:F39"/>
    <mergeCell ref="G35:G39"/>
    <mergeCell ref="C41:C45"/>
    <mergeCell ref="D41:D45"/>
    <mergeCell ref="G41:G45"/>
    <mergeCell ref="C46:C50"/>
    <mergeCell ref="D46:D50"/>
    <mergeCell ref="G46:G50"/>
    <mergeCell ref="C51:C55"/>
    <mergeCell ref="D51:D55"/>
    <mergeCell ref="F51:F55"/>
    <mergeCell ref="G51:G55"/>
    <mergeCell ref="C56:C60"/>
    <mergeCell ref="D56:D60"/>
    <mergeCell ref="F56:F60"/>
    <mergeCell ref="G56:G60"/>
    <mergeCell ref="C61:C65"/>
    <mergeCell ref="D61:D65"/>
    <mergeCell ref="F61:F65"/>
    <mergeCell ref="G61:G65"/>
    <mergeCell ref="C66:C70"/>
    <mergeCell ref="D66:D70"/>
    <mergeCell ref="F66:F70"/>
    <mergeCell ref="G66:G70"/>
    <mergeCell ref="C71:C75"/>
    <mergeCell ref="D71:D75"/>
    <mergeCell ref="F71:F75"/>
    <mergeCell ref="G71:G75"/>
    <mergeCell ref="C76:C80"/>
    <mergeCell ref="D76:D80"/>
    <mergeCell ref="F76:F80"/>
    <mergeCell ref="G76:G80"/>
    <mergeCell ref="C81:C85"/>
    <mergeCell ref="D81:D85"/>
    <mergeCell ref="F81:F85"/>
    <mergeCell ref="G81:G85"/>
    <mergeCell ref="C86:C90"/>
    <mergeCell ref="D86:D90"/>
    <mergeCell ref="G86:G9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E19"/>
  <sheetViews>
    <sheetView workbookViewId="0">
      <selection activeCell="B3" sqref="B3:D17"/>
    </sheetView>
  </sheetViews>
  <sheetFormatPr defaultRowHeight="14.5"/>
  <cols>
    <col min="2" max="2" width="33.1796875" customWidth="1"/>
    <col min="3" max="3" width="39.54296875" customWidth="1"/>
    <col min="4" max="4" width="59.7265625" bestFit="1" customWidth="1"/>
  </cols>
  <sheetData>
    <row r="2" spans="2:5">
      <c r="B2" s="1" t="s">
        <v>341</v>
      </c>
      <c r="C2" s="1" t="s">
        <v>342</v>
      </c>
      <c r="D2" s="1" t="s">
        <v>343</v>
      </c>
      <c r="E2" s="1" t="s">
        <v>344</v>
      </c>
    </row>
    <row r="19" spans="2:2">
      <c r="B19" t="s">
        <v>345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6"/>
  <sheetViews>
    <sheetView zoomScaleNormal="100" workbookViewId="0">
      <selection activeCell="C1" sqref="B1:C1048576"/>
    </sheetView>
  </sheetViews>
  <sheetFormatPr defaultRowHeight="14.5"/>
  <cols>
    <col min="7" max="8" width="20.54296875" customWidth="1"/>
  </cols>
  <sheetData>
    <row r="1" spans="1:9">
      <c r="A1" t="s">
        <v>545</v>
      </c>
    </row>
    <row r="2" spans="1:9">
      <c r="A2" t="s">
        <v>546</v>
      </c>
      <c r="D2" s="2" t="s">
        <v>346</v>
      </c>
      <c r="G2" s="1" t="s">
        <v>347</v>
      </c>
      <c r="H2" s="1" t="s">
        <v>348</v>
      </c>
      <c r="I2" t="s">
        <v>349</v>
      </c>
    </row>
    <row r="3" spans="1:9">
      <c r="A3" t="s">
        <v>547</v>
      </c>
      <c r="D3" t="s">
        <v>350</v>
      </c>
      <c r="G3" t="s">
        <v>351</v>
      </c>
      <c r="H3" s="3" t="str">
        <f>UPPER(G3)</f>
        <v>PROPOSAL</v>
      </c>
      <c r="I3" t="str">
        <f>LOWER(G3)</f>
        <v>proposal</v>
      </c>
    </row>
    <row r="4" spans="1:9">
      <c r="A4" t="s">
        <v>548</v>
      </c>
      <c r="D4" t="s">
        <v>352</v>
      </c>
      <c r="G4" t="s">
        <v>353</v>
      </c>
      <c r="H4" s="3" t="str">
        <f t="shared" ref="H4:H15" si="0">UPPER(G4)</f>
        <v>AWARDING AND CONTRACTING</v>
      </c>
      <c r="I4" t="str">
        <f t="shared" ref="I4:I8" si="1">LOWER(G4)</f>
        <v>awarding and contracting</v>
      </c>
    </row>
    <row r="5" spans="1:9">
      <c r="A5" t="s">
        <v>549</v>
      </c>
      <c r="B5" s="109"/>
      <c r="D5" t="s">
        <v>354</v>
      </c>
      <c r="G5" t="s">
        <v>355</v>
      </c>
      <c r="H5" s="3" t="str">
        <f t="shared" si="0"/>
        <v>PREPARATION</v>
      </c>
      <c r="I5" t="str">
        <f t="shared" si="1"/>
        <v>preparation</v>
      </c>
    </row>
    <row r="6" spans="1:9">
      <c r="A6" t="s">
        <v>550</v>
      </c>
      <c r="B6" s="109"/>
      <c r="D6" t="s">
        <v>356</v>
      </c>
      <c r="G6" t="s">
        <v>357</v>
      </c>
      <c r="H6" s="3" t="str">
        <f t="shared" si="0"/>
        <v>DEVELOPMENT, TESTING AND DEPLOYMENT</v>
      </c>
      <c r="I6" t="str">
        <f t="shared" si="1"/>
        <v>development, testing and deployment</v>
      </c>
    </row>
    <row r="7" spans="1:9">
      <c r="A7" t="s">
        <v>551</v>
      </c>
      <c r="B7" s="109"/>
      <c r="G7" t="s">
        <v>358</v>
      </c>
      <c r="H7" s="3" t="str">
        <f t="shared" si="0"/>
        <v>PUBLISH</v>
      </c>
      <c r="I7" t="str">
        <f t="shared" si="1"/>
        <v>publish</v>
      </c>
    </row>
    <row r="8" spans="1:9">
      <c r="A8" t="s">
        <v>552</v>
      </c>
      <c r="B8" s="109"/>
      <c r="G8" t="s">
        <v>359</v>
      </c>
      <c r="H8" s="3" t="str">
        <f t="shared" si="0"/>
        <v>AFTER-SALES SUPPORT</v>
      </c>
      <c r="I8" t="str">
        <f t="shared" si="1"/>
        <v>after-sales support</v>
      </c>
    </row>
    <row r="9" spans="1:9">
      <c r="A9" t="s">
        <v>553</v>
      </c>
      <c r="B9" s="109"/>
      <c r="H9" s="3" t="str">
        <f t="shared" si="0"/>
        <v/>
      </c>
    </row>
    <row r="10" spans="1:9">
      <c r="A10" t="s">
        <v>554</v>
      </c>
      <c r="B10" s="109"/>
      <c r="H10" s="3" t="str">
        <f t="shared" si="0"/>
        <v/>
      </c>
    </row>
    <row r="11" spans="1:9">
      <c r="A11" t="s">
        <v>555</v>
      </c>
      <c r="B11" s="109"/>
      <c r="H11" s="3" t="str">
        <f t="shared" si="0"/>
        <v/>
      </c>
    </row>
    <row r="12" spans="1:9">
      <c r="A12" t="s">
        <v>556</v>
      </c>
      <c r="B12" s="109"/>
      <c r="H12" s="3" t="str">
        <f t="shared" si="0"/>
        <v/>
      </c>
    </row>
    <row r="13" spans="1:9">
      <c r="A13" t="s">
        <v>557</v>
      </c>
      <c r="B13" s="109"/>
      <c r="H13" s="3" t="str">
        <f t="shared" si="0"/>
        <v/>
      </c>
    </row>
    <row r="14" spans="1:9">
      <c r="A14" t="s">
        <v>558</v>
      </c>
      <c r="B14" s="109"/>
      <c r="H14" s="3" t="str">
        <f t="shared" si="0"/>
        <v/>
      </c>
    </row>
    <row r="15" spans="1:9">
      <c r="A15" t="s">
        <v>559</v>
      </c>
      <c r="B15" s="109"/>
      <c r="H15" s="3" t="str">
        <f t="shared" si="0"/>
        <v/>
      </c>
    </row>
    <row r="16" spans="1:9">
      <c r="A16" t="s">
        <v>560</v>
      </c>
      <c r="B16" s="109"/>
      <c r="G16" s="4"/>
    </row>
    <row r="17" spans="1:7">
      <c r="A17" t="s">
        <v>561</v>
      </c>
      <c r="B17" s="109"/>
      <c r="G17" s="4"/>
    </row>
    <row r="18" spans="1:7">
      <c r="A18" t="s">
        <v>562</v>
      </c>
      <c r="B18" s="109"/>
      <c r="D18" s="2"/>
    </row>
    <row r="19" spans="1:7">
      <c r="A19" t="s">
        <v>563</v>
      </c>
      <c r="B19" s="109"/>
    </row>
    <row r="20" spans="1:7">
      <c r="A20" t="s">
        <v>564</v>
      </c>
      <c r="B20" s="109"/>
    </row>
    <row r="21" spans="1:7">
      <c r="A21" t="s">
        <v>565</v>
      </c>
      <c r="B21" s="109"/>
    </row>
    <row r="22" spans="1:7">
      <c r="A22" t="s">
        <v>566</v>
      </c>
      <c r="B22" s="109"/>
    </row>
    <row r="23" spans="1:7">
      <c r="A23" t="s">
        <v>567</v>
      </c>
      <c r="B23" s="109"/>
    </row>
    <row r="24" spans="1:7">
      <c r="A24" t="s">
        <v>568</v>
      </c>
      <c r="B24" s="109"/>
    </row>
    <row r="25" spans="1:7">
      <c r="A25" t="s">
        <v>569</v>
      </c>
      <c r="B25" s="109"/>
    </row>
    <row r="26" spans="1:7">
      <c r="A26" t="s">
        <v>570</v>
      </c>
      <c r="B26" s="109"/>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90a0988-93ec-4250-b35b-e16e66f2b3ac">
      <Terms xmlns="http://schemas.microsoft.com/office/infopath/2007/PartnerControls"/>
    </lcf76f155ced4ddcb4097134ff3c332f>
    <TaxCatchAll xmlns="4104923f-0ca0-457c-9569-3312f746d70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509C5EAB0618E4A81A411D96FD0BFBF" ma:contentTypeVersion="11" ma:contentTypeDescription="Create a new document." ma:contentTypeScope="" ma:versionID="bb5427c1f0419dce06d434394d2c282c">
  <xsd:schema xmlns:xsd="http://www.w3.org/2001/XMLSchema" xmlns:xs="http://www.w3.org/2001/XMLSchema" xmlns:p="http://schemas.microsoft.com/office/2006/metadata/properties" xmlns:ns2="b90a0988-93ec-4250-b35b-e16e66f2b3ac" xmlns:ns3="4104923f-0ca0-457c-9569-3312f746d709" targetNamespace="http://schemas.microsoft.com/office/2006/metadata/properties" ma:root="true" ma:fieldsID="c5bb1e19a2ae771a584f8fa144a32199" ns2:_="" ns3:_="">
    <xsd:import namespace="b90a0988-93ec-4250-b35b-e16e66f2b3ac"/>
    <xsd:import namespace="4104923f-0ca0-457c-9569-3312f746d70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90a0988-93ec-4250-b35b-e16e66f2b3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fbc49540-5c35-4aa1-8e74-ce7972271726"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04923f-0ca0-457c-9569-3312f746d70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92c9f97c-57cb-4915-ad96-b99744e57a66}" ma:internalName="TaxCatchAll" ma:showField="CatchAllData" ma:web="4104923f-0ca0-457c-9569-3312f746d7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27298F-014F-44BD-ADF6-8C6D8DFCD52F}">
  <ds:schemaRefs>
    <ds:schemaRef ds:uri="http://purl.org/dc/terms/"/>
    <ds:schemaRef ds:uri="http://schemas.microsoft.com/office/2006/metadata/properties"/>
    <ds:schemaRef ds:uri="http://purl.org/dc/dcmitype/"/>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4104923f-0ca0-457c-9569-3312f746d709"/>
    <ds:schemaRef ds:uri="b90a0988-93ec-4250-b35b-e16e66f2b3ac"/>
    <ds:schemaRef ds:uri="http://www.w3.org/XML/1998/namespace"/>
  </ds:schemaRefs>
</ds:datastoreItem>
</file>

<file path=customXml/itemProps2.xml><?xml version="1.0" encoding="utf-8"?>
<ds:datastoreItem xmlns:ds="http://schemas.openxmlformats.org/officeDocument/2006/customXml" ds:itemID="{80A16C15-9EA9-40AE-A83D-D507F4928A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90a0988-93ec-4250-b35b-e16e66f2b3ac"/>
    <ds:schemaRef ds:uri="4104923f-0ca0-457c-9569-3312f746d7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D428CE-8DA1-48DD-9D36-A096C428A8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visjs Group</vt:lpstr>
      <vt:lpstr>visjs Item</vt:lpstr>
      <vt:lpstr>VA WP4 content</vt:lpstr>
      <vt:lpstr>Stakeholder</vt:lpstr>
      <vt:lpstr>Ref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Gabriel Chen</dc:creator>
  <cp:keywords/>
  <dc:description/>
  <cp:lastModifiedBy>Gabriel Chen</cp:lastModifiedBy>
  <cp:revision/>
  <dcterms:created xsi:type="dcterms:W3CDTF">2023-03-30T01:31:48Z</dcterms:created>
  <dcterms:modified xsi:type="dcterms:W3CDTF">2023-06-19T10:05:19Z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bc96a22-336c-4f29-90dc-9992d2c9564c_Enabled">
    <vt:lpwstr>true</vt:lpwstr>
  </property>
  <property fmtid="{D5CDD505-2E9C-101B-9397-08002B2CF9AE}" pid="3" name="MSIP_Label_abc96a22-336c-4f29-90dc-9992d2c9564c_SetDate">
    <vt:lpwstr>2023-03-30T01:34:34Z</vt:lpwstr>
  </property>
  <property fmtid="{D5CDD505-2E9C-101B-9397-08002B2CF9AE}" pid="4" name="MSIP_Label_abc96a22-336c-4f29-90dc-9992d2c9564c_Method">
    <vt:lpwstr>Privileged</vt:lpwstr>
  </property>
  <property fmtid="{D5CDD505-2E9C-101B-9397-08002B2CF9AE}" pid="5" name="MSIP_Label_abc96a22-336c-4f29-90dc-9992d2c9564c_Name">
    <vt:lpwstr>abc96a22-336c-4f29-90dc-9992d2c9564c</vt:lpwstr>
  </property>
  <property fmtid="{D5CDD505-2E9C-101B-9397-08002B2CF9AE}" pid="6" name="MSIP_Label_abc96a22-336c-4f29-90dc-9992d2c9564c_SiteId">
    <vt:lpwstr>5a7a259b-6730-404b-bc25-5c6c773229ca</vt:lpwstr>
  </property>
  <property fmtid="{D5CDD505-2E9C-101B-9397-08002B2CF9AE}" pid="7" name="MSIP_Label_abc96a22-336c-4f29-90dc-9992d2c9564c_ActionId">
    <vt:lpwstr>162a2e53-3b1c-4b98-a19b-1405824cfcf8</vt:lpwstr>
  </property>
  <property fmtid="{D5CDD505-2E9C-101B-9397-08002B2CF9AE}" pid="8" name="MSIP_Label_abc96a22-336c-4f29-90dc-9992d2c9564c_ContentBits">
    <vt:lpwstr>0</vt:lpwstr>
  </property>
  <property fmtid="{D5CDD505-2E9C-101B-9397-08002B2CF9AE}" pid="9" name="ContentTypeId">
    <vt:lpwstr>0x0101008509C5EAB0618E4A81A411D96FD0BFBF</vt:lpwstr>
  </property>
  <property fmtid="{D5CDD505-2E9C-101B-9397-08002B2CF9AE}" pid="10" name="MediaServiceImageTags">
    <vt:lpwstr/>
  </property>
</Properties>
</file>